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pivotCache/pivotCacheDefinition11.xml" ContentType="application/vnd.openxmlformats-officedocument.spreadsheetml.pivotCacheDefinition+xml"/>
  <Override PartName="/xl/pivotCache/pivotCacheRecords1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3.xml" ContentType="application/vnd.openxmlformats-officedocument.spreadsheetml.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tables/table4.xml" ContentType="application/vnd.openxmlformats-officedocument.spreadsheetml.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oshn\Downloads\"/>
    </mc:Choice>
  </mc:AlternateContent>
  <xr:revisionPtr revIDLastSave="0" documentId="8_{93A03D77-9076-4C4C-8E97-55E5F1A10A7F}" xr6:coauthVersionLast="47" xr6:coauthVersionMax="47" xr10:uidLastSave="{00000000-0000-0000-0000-000000000000}"/>
  <bookViews>
    <workbookView xWindow="19090" yWindow="-110" windowWidth="38620" windowHeight="21100" firstSheet="4" activeTab="4" xr2:uid="{00000000-000D-0000-FFFF-FFFF00000000}"/>
  </bookViews>
  <sheets>
    <sheet name="products_2026" sheetId="1" r:id="rId1"/>
    <sheet name="Rough data" sheetId="7" r:id="rId2"/>
    <sheet name="PT FOR Q3" sheetId="9" r:id="rId3"/>
    <sheet name="sellers_2026" sheetId="2" r:id="rId4"/>
    <sheet name="customers" sheetId="3" r:id="rId5"/>
    <sheet name="orders" sheetId="4" r:id="rId6"/>
    <sheet name="order_items" sheetId="5" r:id="rId7"/>
    <sheet name="seller_delivery_status" sheetId="10" r:id="rId8"/>
    <sheet name="Sheet1" sheetId="12" r:id="rId9"/>
    <sheet name="Reviews" sheetId="11" r:id="rId10"/>
  </sheets>
  <definedNames>
    <definedName name="_xlnm._FilterDatabase" localSheetId="6" hidden="1">order_items!$A$1:$AB$797</definedName>
    <definedName name="_xlnm._FilterDatabase" localSheetId="5" hidden="1">orders!$A$1:$AA$479</definedName>
    <definedName name="_xlnm._FilterDatabase" localSheetId="7" hidden="1">seller_delivery_status!$J$18:$J$18</definedName>
  </definedNames>
  <calcPr calcId="191028"/>
  <pivotCaches>
    <pivotCache cacheId="0" r:id="rId11"/>
    <pivotCache cacheId="1" r:id="rId12"/>
    <pivotCache cacheId="2" r:id="rId13"/>
    <pivotCache cacheId="3" r:id="rId14"/>
    <pivotCache cacheId="4" r:id="rId15"/>
    <pivotCache cacheId="5" r:id="rId16"/>
    <pivotCache cacheId="6" r:id="rId17"/>
    <pivotCache cacheId="7" r:id="rId18"/>
    <pivotCache cacheId="8" r:id="rId19"/>
    <pivotCache cacheId="9" r:id="rId20"/>
    <pivotCache cacheId="10" r:id="rId2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22" roundtripDataChecksum="YzSlg/V21MVNG8LDgWsNCIGQBq5TC7jsIGJzmxuhxSw="/>
    </ext>
  </extLst>
</workbook>
</file>

<file path=xl/calcChain.xml><?xml version="1.0" encoding="utf-8"?>
<calcChain xmlns="http://schemas.openxmlformats.org/spreadsheetml/2006/main">
  <c r="F481" i="4" l="1"/>
  <c r="K219" i="11"/>
  <c r="J219" i="11"/>
  <c r="P49" i="4"/>
  <c r="H16" i="1"/>
  <c r="L418" i="4"/>
  <c r="L167" i="4"/>
  <c r="L135" i="4"/>
  <c r="G252" i="1"/>
  <c r="E3" i="7"/>
  <c r="F3" i="7" s="1"/>
  <c r="E4" i="7"/>
  <c r="F4" i="7" s="1"/>
  <c r="E5" i="7"/>
  <c r="F5" i="7" s="1"/>
  <c r="E6" i="7"/>
  <c r="F6" i="7" s="1"/>
  <c r="E7" i="7"/>
  <c r="F7" i="7" s="1"/>
  <c r="E8" i="7"/>
  <c r="F8" i="7" s="1"/>
  <c r="E9" i="7"/>
  <c r="F9" i="7" s="1"/>
  <c r="E10" i="7"/>
  <c r="F10" i="7" s="1"/>
  <c r="E11" i="7"/>
  <c r="F11" i="7" s="1"/>
  <c r="E12" i="7"/>
  <c r="F12" i="7" s="1"/>
  <c r="E13" i="7"/>
  <c r="F13" i="7" s="1"/>
  <c r="E14" i="7"/>
  <c r="F14" i="7" s="1"/>
  <c r="E15" i="7"/>
  <c r="F15" i="7" s="1"/>
  <c r="E16" i="7"/>
  <c r="F16" i="7" s="1"/>
  <c r="E17" i="7"/>
  <c r="F17" i="7" s="1"/>
  <c r="E18" i="7"/>
  <c r="F18" i="7" s="1"/>
  <c r="E19" i="7"/>
  <c r="F19" i="7" s="1"/>
  <c r="E20" i="7"/>
  <c r="F20" i="7" s="1"/>
  <c r="E21" i="7"/>
  <c r="F21" i="7" s="1"/>
  <c r="E22" i="7"/>
  <c r="F22" i="7" s="1"/>
  <c r="E23" i="7"/>
  <c r="F23" i="7" s="1"/>
  <c r="E24" i="7"/>
  <c r="F24" i="7" s="1"/>
  <c r="E25" i="7"/>
  <c r="F25" i="7" s="1"/>
  <c r="E26" i="7"/>
  <c r="F26" i="7" s="1"/>
  <c r="E27" i="7"/>
  <c r="F27" i="7" s="1"/>
  <c r="E28" i="7"/>
  <c r="F28" i="7" s="1"/>
  <c r="E29" i="7"/>
  <c r="F29" i="7" s="1"/>
  <c r="E30" i="7"/>
  <c r="F30" i="7" s="1"/>
  <c r="E31" i="7"/>
  <c r="F31" i="7" s="1"/>
  <c r="E32" i="7"/>
  <c r="F32" i="7" s="1"/>
  <c r="E33" i="7"/>
  <c r="F33" i="7" s="1"/>
  <c r="E34" i="7"/>
  <c r="F34" i="7" s="1"/>
  <c r="E35" i="7"/>
  <c r="F35" i="7" s="1"/>
  <c r="E36" i="7"/>
  <c r="F36" i="7" s="1"/>
  <c r="E37" i="7"/>
  <c r="F37" i="7" s="1"/>
  <c r="E38" i="7"/>
  <c r="F38" i="7" s="1"/>
  <c r="E39" i="7"/>
  <c r="F39" i="7" s="1"/>
  <c r="E40" i="7"/>
  <c r="F40" i="7" s="1"/>
  <c r="E41" i="7"/>
  <c r="F41" i="7" s="1"/>
  <c r="E42" i="7"/>
  <c r="F42" i="7" s="1"/>
  <c r="E43" i="7"/>
  <c r="F43" i="7" s="1"/>
  <c r="E44" i="7"/>
  <c r="F44" i="7" s="1"/>
  <c r="E45" i="7"/>
  <c r="F45" i="7" s="1"/>
  <c r="E46" i="7"/>
  <c r="F46" i="7" s="1"/>
  <c r="E47" i="7"/>
  <c r="F47" i="7" s="1"/>
  <c r="E48" i="7"/>
  <c r="F48" i="7" s="1"/>
  <c r="E49" i="7"/>
  <c r="F49" i="7" s="1"/>
  <c r="E50" i="7"/>
  <c r="F50" i="7" s="1"/>
  <c r="E51" i="7"/>
  <c r="F51" i="7" s="1"/>
  <c r="E52" i="7"/>
  <c r="F52" i="7" s="1"/>
  <c r="E53" i="7"/>
  <c r="F53" i="7" s="1"/>
  <c r="E54" i="7"/>
  <c r="F54" i="7" s="1"/>
  <c r="E55" i="7"/>
  <c r="F55" i="7" s="1"/>
  <c r="E56" i="7"/>
  <c r="F56" i="7" s="1"/>
  <c r="E57" i="7"/>
  <c r="F57" i="7" s="1"/>
  <c r="E58" i="7"/>
  <c r="F58" i="7" s="1"/>
  <c r="E59" i="7"/>
  <c r="F59" i="7" s="1"/>
  <c r="E60" i="7"/>
  <c r="F60" i="7" s="1"/>
  <c r="E61" i="7"/>
  <c r="F61" i="7" s="1"/>
  <c r="E62" i="7"/>
  <c r="F62" i="7" s="1"/>
  <c r="E63" i="7"/>
  <c r="F63" i="7" s="1"/>
  <c r="E64" i="7"/>
  <c r="F64" i="7" s="1"/>
  <c r="E65" i="7"/>
  <c r="F65" i="7" s="1"/>
  <c r="E66" i="7"/>
  <c r="F66" i="7" s="1"/>
  <c r="E67" i="7"/>
  <c r="F67" i="7" s="1"/>
  <c r="E68" i="7"/>
  <c r="F68" i="7" s="1"/>
  <c r="E69" i="7"/>
  <c r="F69" i="7" s="1"/>
  <c r="E70" i="7"/>
  <c r="F70" i="7" s="1"/>
  <c r="E71" i="7"/>
  <c r="F71" i="7" s="1"/>
  <c r="E72" i="7"/>
  <c r="F72" i="7" s="1"/>
  <c r="E73" i="7"/>
  <c r="F73" i="7" s="1"/>
  <c r="E74" i="7"/>
  <c r="F74" i="7" s="1"/>
  <c r="E75" i="7"/>
  <c r="F75" i="7" s="1"/>
  <c r="E76" i="7"/>
  <c r="F76" i="7" s="1"/>
  <c r="E77" i="7"/>
  <c r="F77" i="7" s="1"/>
  <c r="E78" i="7"/>
  <c r="F78" i="7" s="1"/>
  <c r="E79" i="7"/>
  <c r="F79" i="7" s="1"/>
  <c r="E80" i="7"/>
  <c r="F80" i="7" s="1"/>
  <c r="E81" i="7"/>
  <c r="F81" i="7" s="1"/>
  <c r="E82" i="7"/>
  <c r="F82" i="7" s="1"/>
  <c r="E83" i="7"/>
  <c r="F83" i="7" s="1"/>
  <c r="E84" i="7"/>
  <c r="F84" i="7" s="1"/>
  <c r="E85" i="7"/>
  <c r="F85" i="7" s="1"/>
  <c r="E86" i="7"/>
  <c r="F86" i="7" s="1"/>
  <c r="E87" i="7"/>
  <c r="F87" i="7" s="1"/>
  <c r="E88" i="7"/>
  <c r="F88" i="7" s="1"/>
  <c r="E89" i="7"/>
  <c r="F89" i="7" s="1"/>
  <c r="E90" i="7"/>
  <c r="F90" i="7" s="1"/>
  <c r="E91" i="7"/>
  <c r="F91" i="7" s="1"/>
  <c r="E92" i="7"/>
  <c r="F92" i="7" s="1"/>
  <c r="E93" i="7"/>
  <c r="F93" i="7" s="1"/>
  <c r="E94" i="7"/>
  <c r="F94" i="7" s="1"/>
  <c r="E95" i="7"/>
  <c r="F95" i="7" s="1"/>
  <c r="E96" i="7"/>
  <c r="F96" i="7" s="1"/>
  <c r="E97" i="7"/>
  <c r="F97" i="7" s="1"/>
  <c r="E98" i="7"/>
  <c r="F98" i="7" s="1"/>
  <c r="E99" i="7"/>
  <c r="F99" i="7" s="1"/>
  <c r="E100" i="7"/>
  <c r="F100" i="7" s="1"/>
  <c r="E101" i="7"/>
  <c r="F101" i="7" s="1"/>
  <c r="E102" i="7"/>
  <c r="F102" i="7" s="1"/>
  <c r="E103" i="7"/>
  <c r="F103" i="7" s="1"/>
  <c r="E104" i="7"/>
  <c r="F104" i="7" s="1"/>
  <c r="E105" i="7"/>
  <c r="F105" i="7" s="1"/>
  <c r="E106" i="7"/>
  <c r="F106" i="7" s="1"/>
  <c r="E107" i="7"/>
  <c r="F107" i="7" s="1"/>
  <c r="E108" i="7"/>
  <c r="F108" i="7" s="1"/>
  <c r="E109" i="7"/>
  <c r="F109" i="7" s="1"/>
  <c r="E110" i="7"/>
  <c r="F110" i="7" s="1"/>
  <c r="E111" i="7"/>
  <c r="F111" i="7" s="1"/>
  <c r="E112" i="7"/>
  <c r="F112" i="7" s="1"/>
  <c r="E113" i="7"/>
  <c r="F113" i="7" s="1"/>
  <c r="E114" i="7"/>
  <c r="F114" i="7" s="1"/>
  <c r="E115" i="7"/>
  <c r="F115" i="7" s="1"/>
  <c r="E116" i="7"/>
  <c r="F116" i="7" s="1"/>
  <c r="E117" i="7"/>
  <c r="F117" i="7" s="1"/>
  <c r="E118" i="7"/>
  <c r="F118" i="7" s="1"/>
  <c r="E119" i="7"/>
  <c r="F119" i="7" s="1"/>
  <c r="E120" i="7"/>
  <c r="F120" i="7" s="1"/>
  <c r="E121" i="7"/>
  <c r="F121" i="7" s="1"/>
  <c r="E122" i="7"/>
  <c r="F122" i="7" s="1"/>
  <c r="E123" i="7"/>
  <c r="F123" i="7" s="1"/>
  <c r="E124" i="7"/>
  <c r="F124" i="7" s="1"/>
  <c r="E125" i="7"/>
  <c r="F125" i="7" s="1"/>
  <c r="E126" i="7"/>
  <c r="F126" i="7" s="1"/>
  <c r="E127" i="7"/>
  <c r="F127" i="7" s="1"/>
  <c r="E128" i="7"/>
  <c r="F128" i="7" s="1"/>
  <c r="E129" i="7"/>
  <c r="F129" i="7" s="1"/>
  <c r="E130" i="7"/>
  <c r="F130" i="7" s="1"/>
  <c r="E131" i="7"/>
  <c r="F131" i="7" s="1"/>
  <c r="E132" i="7"/>
  <c r="F132" i="7" s="1"/>
  <c r="E133" i="7"/>
  <c r="F133" i="7" s="1"/>
  <c r="E134" i="7"/>
  <c r="F134" i="7" s="1"/>
  <c r="E135" i="7"/>
  <c r="F135" i="7" s="1"/>
  <c r="E136" i="7"/>
  <c r="F136" i="7" s="1"/>
  <c r="E137" i="7"/>
  <c r="F137" i="7" s="1"/>
  <c r="E138" i="7"/>
  <c r="F138" i="7" s="1"/>
  <c r="E139" i="7"/>
  <c r="F139" i="7" s="1"/>
  <c r="E140" i="7"/>
  <c r="F140" i="7" s="1"/>
  <c r="E141" i="7"/>
  <c r="F141" i="7" s="1"/>
  <c r="E142" i="7"/>
  <c r="F142" i="7" s="1"/>
  <c r="E143" i="7"/>
  <c r="F143" i="7" s="1"/>
  <c r="E144" i="7"/>
  <c r="F144" i="7" s="1"/>
  <c r="E145" i="7"/>
  <c r="F145" i="7" s="1"/>
  <c r="E146" i="7"/>
  <c r="F146" i="7" s="1"/>
  <c r="E147" i="7"/>
  <c r="F147" i="7" s="1"/>
  <c r="E148" i="7"/>
  <c r="F148" i="7" s="1"/>
  <c r="E149" i="7"/>
  <c r="F149" i="7" s="1"/>
  <c r="E150" i="7"/>
  <c r="F150" i="7" s="1"/>
  <c r="E151" i="7"/>
  <c r="F151" i="7" s="1"/>
  <c r="E152" i="7"/>
  <c r="F152" i="7" s="1"/>
  <c r="E153" i="7"/>
  <c r="F153" i="7" s="1"/>
  <c r="E154" i="7"/>
  <c r="F154" i="7" s="1"/>
  <c r="E155" i="7"/>
  <c r="F155" i="7" s="1"/>
  <c r="E156" i="7"/>
  <c r="F156" i="7" s="1"/>
  <c r="E157" i="7"/>
  <c r="F157" i="7" s="1"/>
  <c r="E158" i="7"/>
  <c r="F158" i="7" s="1"/>
  <c r="E159" i="7"/>
  <c r="F159" i="7" s="1"/>
  <c r="E160" i="7"/>
  <c r="F160" i="7" s="1"/>
  <c r="E161" i="7"/>
  <c r="F161" i="7" s="1"/>
  <c r="E162" i="7"/>
  <c r="F162" i="7" s="1"/>
  <c r="E163" i="7"/>
  <c r="F163" i="7" s="1"/>
  <c r="E164" i="7"/>
  <c r="F164" i="7" s="1"/>
  <c r="E165" i="7"/>
  <c r="F165" i="7" s="1"/>
  <c r="E166" i="7"/>
  <c r="F166" i="7" s="1"/>
  <c r="E167" i="7"/>
  <c r="F167" i="7" s="1"/>
  <c r="E168" i="7"/>
  <c r="F168" i="7" s="1"/>
  <c r="E169" i="7"/>
  <c r="F169" i="7" s="1"/>
  <c r="E170" i="7"/>
  <c r="F170" i="7" s="1"/>
  <c r="E171" i="7"/>
  <c r="F171" i="7" s="1"/>
  <c r="E172" i="7"/>
  <c r="F172" i="7" s="1"/>
  <c r="E173" i="7"/>
  <c r="F173" i="7" s="1"/>
  <c r="E174" i="7"/>
  <c r="F174" i="7" s="1"/>
  <c r="E175" i="7"/>
  <c r="F175" i="7" s="1"/>
  <c r="E176" i="7"/>
  <c r="F176" i="7" s="1"/>
  <c r="E177" i="7"/>
  <c r="F177" i="7" s="1"/>
  <c r="E178" i="7"/>
  <c r="F178" i="7" s="1"/>
  <c r="E179" i="7"/>
  <c r="F179" i="7" s="1"/>
  <c r="E180" i="7"/>
  <c r="F180" i="7" s="1"/>
  <c r="E181" i="7"/>
  <c r="F181" i="7" s="1"/>
  <c r="E182" i="7"/>
  <c r="F182" i="7" s="1"/>
  <c r="E183" i="7"/>
  <c r="F183" i="7" s="1"/>
  <c r="E184" i="7"/>
  <c r="F184" i="7" s="1"/>
  <c r="E185" i="7"/>
  <c r="F185" i="7" s="1"/>
  <c r="E186" i="7"/>
  <c r="F186" i="7" s="1"/>
  <c r="E187" i="7"/>
  <c r="F187" i="7" s="1"/>
  <c r="E188" i="7"/>
  <c r="F188" i="7" s="1"/>
  <c r="E189" i="7"/>
  <c r="F189" i="7" s="1"/>
  <c r="E190" i="7"/>
  <c r="F190" i="7" s="1"/>
  <c r="E191" i="7"/>
  <c r="F191" i="7" s="1"/>
  <c r="E192" i="7"/>
  <c r="F192" i="7" s="1"/>
  <c r="E193" i="7"/>
  <c r="F193" i="7" s="1"/>
  <c r="E194" i="7"/>
  <c r="F194" i="7" s="1"/>
  <c r="E195" i="7"/>
  <c r="F195" i="7" s="1"/>
  <c r="E196" i="7"/>
  <c r="F196" i="7" s="1"/>
  <c r="E197" i="7"/>
  <c r="F197" i="7" s="1"/>
  <c r="E198" i="7"/>
  <c r="F198" i="7" s="1"/>
  <c r="E199" i="7"/>
  <c r="F199" i="7" s="1"/>
  <c r="E200" i="7"/>
  <c r="F200" i="7" s="1"/>
  <c r="E201" i="7"/>
  <c r="F201" i="7" s="1"/>
  <c r="E202" i="7"/>
  <c r="F202" i="7" s="1"/>
  <c r="E203" i="7"/>
  <c r="F203" i="7" s="1"/>
  <c r="E204" i="7"/>
  <c r="F204" i="7" s="1"/>
  <c r="E205" i="7"/>
  <c r="F205" i="7" s="1"/>
  <c r="E206" i="7"/>
  <c r="F206" i="7" s="1"/>
  <c r="E207" i="7"/>
  <c r="F207" i="7" s="1"/>
  <c r="E208" i="7"/>
  <c r="F208" i="7" s="1"/>
  <c r="E209" i="7"/>
  <c r="F209" i="7" s="1"/>
  <c r="E210" i="7"/>
  <c r="F210" i="7" s="1"/>
  <c r="E211" i="7"/>
  <c r="F211" i="7" s="1"/>
  <c r="E212" i="7"/>
  <c r="F212" i="7" s="1"/>
  <c r="E213" i="7"/>
  <c r="F213" i="7" s="1"/>
  <c r="E214" i="7"/>
  <c r="F214" i="7" s="1"/>
  <c r="E215" i="7"/>
  <c r="F215" i="7" s="1"/>
  <c r="E216" i="7"/>
  <c r="F216" i="7" s="1"/>
  <c r="E217" i="7"/>
  <c r="F217" i="7" s="1"/>
  <c r="E218" i="7"/>
  <c r="F218" i="7" s="1"/>
  <c r="E219" i="7"/>
  <c r="F219" i="7" s="1"/>
  <c r="E220" i="7"/>
  <c r="F220" i="7" s="1"/>
  <c r="E221" i="7"/>
  <c r="F221" i="7" s="1"/>
  <c r="E222" i="7"/>
  <c r="F222" i="7" s="1"/>
  <c r="E223" i="7"/>
  <c r="F223" i="7" s="1"/>
  <c r="E224" i="7"/>
  <c r="F224" i="7" s="1"/>
  <c r="E225" i="7"/>
  <c r="F225" i="7" s="1"/>
  <c r="E226" i="7"/>
  <c r="F226" i="7" s="1"/>
  <c r="E227" i="7"/>
  <c r="F227" i="7" s="1"/>
  <c r="E228" i="7"/>
  <c r="F228" i="7" s="1"/>
  <c r="E229" i="7"/>
  <c r="F229" i="7" s="1"/>
  <c r="E230" i="7"/>
  <c r="F230" i="7" s="1"/>
  <c r="E231" i="7"/>
  <c r="F231" i="7" s="1"/>
  <c r="E232" i="7"/>
  <c r="F232" i="7" s="1"/>
  <c r="E233" i="7"/>
  <c r="F233" i="7" s="1"/>
  <c r="E234" i="7"/>
  <c r="F234" i="7" s="1"/>
  <c r="E235" i="7"/>
  <c r="F235" i="7" s="1"/>
  <c r="E236" i="7"/>
  <c r="F236" i="7" s="1"/>
  <c r="E237" i="7"/>
  <c r="F237" i="7" s="1"/>
  <c r="E238" i="7"/>
  <c r="F238" i="7" s="1"/>
  <c r="E239" i="7"/>
  <c r="F239" i="7" s="1"/>
  <c r="E240" i="7"/>
  <c r="F240" i="7" s="1"/>
  <c r="E241" i="7"/>
  <c r="F241" i="7" s="1"/>
  <c r="E242" i="7"/>
  <c r="F242" i="7" s="1"/>
  <c r="E243" i="7"/>
  <c r="F243" i="7" s="1"/>
  <c r="E244" i="7"/>
  <c r="F244" i="7" s="1"/>
  <c r="E245" i="7"/>
  <c r="F245" i="7" s="1"/>
  <c r="E246" i="7"/>
  <c r="F246" i="7" s="1"/>
  <c r="E247" i="7"/>
  <c r="F247" i="7" s="1"/>
  <c r="E248" i="7"/>
  <c r="F248" i="7" s="1"/>
  <c r="E249" i="7"/>
  <c r="F249" i="7" s="1"/>
  <c r="E250" i="7"/>
  <c r="F250" i="7" s="1"/>
  <c r="E251" i="7"/>
  <c r="F251" i="7" s="1"/>
  <c r="E252" i="7"/>
  <c r="F252" i="7" s="1"/>
  <c r="E253" i="7"/>
  <c r="F253" i="7" s="1"/>
  <c r="E254" i="7"/>
  <c r="F254" i="7" s="1"/>
  <c r="E255" i="7"/>
  <c r="F255" i="7" s="1"/>
  <c r="E256" i="7"/>
  <c r="F256" i="7" s="1"/>
  <c r="E257" i="7"/>
  <c r="F257" i="7" s="1"/>
  <c r="E258" i="7"/>
  <c r="F258" i="7" s="1"/>
  <c r="E259" i="7"/>
  <c r="F259" i="7" s="1"/>
  <c r="E260" i="7"/>
  <c r="F260" i="7" s="1"/>
  <c r="E261" i="7"/>
  <c r="F261" i="7" s="1"/>
  <c r="E262" i="7"/>
  <c r="F262" i="7" s="1"/>
  <c r="E263" i="7"/>
  <c r="F263" i="7" s="1"/>
  <c r="E264" i="7"/>
  <c r="F264" i="7" s="1"/>
  <c r="E265" i="7"/>
  <c r="F265" i="7" s="1"/>
  <c r="E266" i="7"/>
  <c r="F266" i="7" s="1"/>
  <c r="E267" i="7"/>
  <c r="F267" i="7" s="1"/>
  <c r="E268" i="7"/>
  <c r="F268" i="7" s="1"/>
  <c r="E269" i="7"/>
  <c r="F269" i="7" s="1"/>
  <c r="E270" i="7"/>
  <c r="F270" i="7" s="1"/>
  <c r="E271" i="7"/>
  <c r="F271" i="7" s="1"/>
  <c r="E272" i="7"/>
  <c r="F272" i="7" s="1"/>
  <c r="E273" i="7"/>
  <c r="F273" i="7" s="1"/>
  <c r="E274" i="7"/>
  <c r="F274" i="7" s="1"/>
  <c r="E275" i="7"/>
  <c r="F275" i="7" s="1"/>
  <c r="E276" i="7"/>
  <c r="F276" i="7" s="1"/>
  <c r="E277" i="7"/>
  <c r="F277" i="7" s="1"/>
  <c r="E278" i="7"/>
  <c r="F278" i="7" s="1"/>
  <c r="E279" i="7"/>
  <c r="F279" i="7" s="1"/>
  <c r="E280" i="7"/>
  <c r="F280" i="7" s="1"/>
  <c r="E281" i="7"/>
  <c r="F281" i="7" s="1"/>
  <c r="E282" i="7"/>
  <c r="F282" i="7" s="1"/>
  <c r="E283" i="7"/>
  <c r="F283" i="7" s="1"/>
  <c r="E284" i="7"/>
  <c r="F284" i="7" s="1"/>
  <c r="E285" i="7"/>
  <c r="F285" i="7" s="1"/>
  <c r="E286" i="7"/>
  <c r="F286" i="7" s="1"/>
  <c r="E287" i="7"/>
  <c r="F287" i="7" s="1"/>
  <c r="E288" i="7"/>
  <c r="F288" i="7" s="1"/>
  <c r="E289" i="7"/>
  <c r="F289" i="7" s="1"/>
  <c r="E290" i="7"/>
  <c r="F290" i="7" s="1"/>
  <c r="E291" i="7"/>
  <c r="F291" i="7" s="1"/>
  <c r="E292" i="7"/>
  <c r="F292" i="7" s="1"/>
  <c r="E293" i="7"/>
  <c r="F293" i="7" s="1"/>
  <c r="E294" i="7"/>
  <c r="F294" i="7" s="1"/>
  <c r="E295" i="7"/>
  <c r="F295" i="7" s="1"/>
  <c r="E296" i="7"/>
  <c r="F296" i="7" s="1"/>
  <c r="E297" i="7"/>
  <c r="F297" i="7" s="1"/>
  <c r="E298" i="7"/>
  <c r="F298" i="7" s="1"/>
  <c r="E299" i="7"/>
  <c r="F299" i="7" s="1"/>
  <c r="E300" i="7"/>
  <c r="F300" i="7" s="1"/>
  <c r="E301" i="7"/>
  <c r="F301" i="7" s="1"/>
  <c r="E302" i="7"/>
  <c r="F302" i="7" s="1"/>
  <c r="E303" i="7"/>
  <c r="F303" i="7" s="1"/>
  <c r="E304" i="7"/>
  <c r="F304" i="7" s="1"/>
  <c r="E305" i="7"/>
  <c r="F305" i="7" s="1"/>
  <c r="E306" i="7"/>
  <c r="F306" i="7" s="1"/>
  <c r="E307" i="7"/>
  <c r="F307" i="7" s="1"/>
  <c r="E308" i="7"/>
  <c r="F308" i="7" s="1"/>
  <c r="E309" i="7"/>
  <c r="F309" i="7" s="1"/>
  <c r="E310" i="7"/>
  <c r="F310" i="7" s="1"/>
  <c r="E311" i="7"/>
  <c r="F311" i="7" s="1"/>
  <c r="E312" i="7"/>
  <c r="F312" i="7" s="1"/>
  <c r="E313" i="7"/>
  <c r="F313" i="7" s="1"/>
  <c r="E314" i="7"/>
  <c r="F314" i="7" s="1"/>
  <c r="E315" i="7"/>
  <c r="F315" i="7" s="1"/>
  <c r="E316" i="7"/>
  <c r="F316" i="7" s="1"/>
  <c r="E317" i="7"/>
  <c r="F317" i="7" s="1"/>
  <c r="E318" i="7"/>
  <c r="F318" i="7" s="1"/>
  <c r="E319" i="7"/>
  <c r="F319" i="7" s="1"/>
  <c r="E320" i="7"/>
  <c r="F320" i="7" s="1"/>
  <c r="E321" i="7"/>
  <c r="F321" i="7" s="1"/>
  <c r="E322" i="7"/>
  <c r="F322" i="7" s="1"/>
  <c r="E323" i="7"/>
  <c r="F323" i="7" s="1"/>
  <c r="E324" i="7"/>
  <c r="F324" i="7" s="1"/>
  <c r="E325" i="7"/>
  <c r="F325" i="7" s="1"/>
  <c r="E326" i="7"/>
  <c r="F326" i="7" s="1"/>
  <c r="E327" i="7"/>
  <c r="F327" i="7" s="1"/>
  <c r="E328" i="7"/>
  <c r="F328" i="7" s="1"/>
  <c r="E329" i="7"/>
  <c r="F329" i="7" s="1"/>
  <c r="E330" i="7"/>
  <c r="F330" i="7" s="1"/>
  <c r="E331" i="7"/>
  <c r="F331" i="7" s="1"/>
  <c r="E332" i="7"/>
  <c r="F332" i="7" s="1"/>
  <c r="E333" i="7"/>
  <c r="F333" i="7" s="1"/>
  <c r="E334" i="7"/>
  <c r="F334" i="7" s="1"/>
  <c r="E335" i="7"/>
  <c r="F335" i="7" s="1"/>
  <c r="E336" i="7"/>
  <c r="F336" i="7" s="1"/>
  <c r="E337" i="7"/>
  <c r="F337" i="7" s="1"/>
  <c r="E338" i="7"/>
  <c r="F338" i="7" s="1"/>
  <c r="E339" i="7"/>
  <c r="F339" i="7" s="1"/>
  <c r="E340" i="7"/>
  <c r="F340" i="7" s="1"/>
  <c r="E341" i="7"/>
  <c r="F341" i="7" s="1"/>
  <c r="E342" i="7"/>
  <c r="F342" i="7" s="1"/>
  <c r="E343" i="7"/>
  <c r="F343" i="7" s="1"/>
  <c r="E344" i="7"/>
  <c r="F344" i="7" s="1"/>
  <c r="E345" i="7"/>
  <c r="F345" i="7" s="1"/>
  <c r="E346" i="7"/>
  <c r="F346" i="7" s="1"/>
  <c r="E347" i="7"/>
  <c r="F347" i="7" s="1"/>
  <c r="E348" i="7"/>
  <c r="F348" i="7" s="1"/>
  <c r="E349" i="7"/>
  <c r="F349" i="7" s="1"/>
  <c r="E350" i="7"/>
  <c r="F350" i="7" s="1"/>
  <c r="E351" i="7"/>
  <c r="F351" i="7" s="1"/>
  <c r="E352" i="7"/>
  <c r="F352" i="7" s="1"/>
  <c r="E353" i="7"/>
  <c r="F353" i="7" s="1"/>
  <c r="E354" i="7"/>
  <c r="F354" i="7" s="1"/>
  <c r="E355" i="7"/>
  <c r="F355" i="7" s="1"/>
  <c r="E356" i="7"/>
  <c r="F356" i="7" s="1"/>
  <c r="E357" i="7"/>
  <c r="F357" i="7" s="1"/>
  <c r="E358" i="7"/>
  <c r="F358" i="7" s="1"/>
  <c r="E359" i="7"/>
  <c r="F359" i="7" s="1"/>
  <c r="E360" i="7"/>
  <c r="F360" i="7" s="1"/>
  <c r="E361" i="7"/>
  <c r="F361" i="7" s="1"/>
  <c r="E362" i="7"/>
  <c r="F362" i="7" s="1"/>
  <c r="E363" i="7"/>
  <c r="F363" i="7" s="1"/>
  <c r="E364" i="7"/>
  <c r="F364" i="7" s="1"/>
  <c r="E365" i="7"/>
  <c r="F365" i="7" s="1"/>
  <c r="E366" i="7"/>
  <c r="F366" i="7" s="1"/>
  <c r="E367" i="7"/>
  <c r="F367" i="7" s="1"/>
  <c r="E368" i="7"/>
  <c r="F368" i="7" s="1"/>
  <c r="E369" i="7"/>
  <c r="F369" i="7" s="1"/>
  <c r="E370" i="7"/>
  <c r="F370" i="7" s="1"/>
  <c r="E371" i="7"/>
  <c r="F371" i="7" s="1"/>
  <c r="E372" i="7"/>
  <c r="F372" i="7" s="1"/>
  <c r="E373" i="7"/>
  <c r="F373" i="7" s="1"/>
  <c r="E374" i="7"/>
  <c r="F374" i="7" s="1"/>
  <c r="E375" i="7"/>
  <c r="F375" i="7" s="1"/>
  <c r="E376" i="7"/>
  <c r="F376" i="7" s="1"/>
  <c r="E377" i="7"/>
  <c r="F377" i="7" s="1"/>
  <c r="E378" i="7"/>
  <c r="F378" i="7" s="1"/>
  <c r="E379" i="7"/>
  <c r="F379" i="7" s="1"/>
  <c r="E380" i="7"/>
  <c r="F380" i="7" s="1"/>
  <c r="E381" i="7"/>
  <c r="F381" i="7" s="1"/>
  <c r="E382" i="7"/>
  <c r="F382" i="7" s="1"/>
  <c r="E383" i="7"/>
  <c r="F383" i="7" s="1"/>
  <c r="E384" i="7"/>
  <c r="F384" i="7" s="1"/>
  <c r="E385" i="7"/>
  <c r="F385" i="7" s="1"/>
  <c r="E386" i="7"/>
  <c r="F386" i="7" s="1"/>
  <c r="E387" i="7"/>
  <c r="F387" i="7" s="1"/>
  <c r="E388" i="7"/>
  <c r="F388" i="7" s="1"/>
  <c r="E389" i="7"/>
  <c r="F389" i="7" s="1"/>
  <c r="E390" i="7"/>
  <c r="F390" i="7" s="1"/>
  <c r="E391" i="7"/>
  <c r="F391" i="7" s="1"/>
  <c r="E392" i="7"/>
  <c r="F392" i="7" s="1"/>
  <c r="E393" i="7"/>
  <c r="F393" i="7" s="1"/>
  <c r="E394" i="7"/>
  <c r="F394" i="7" s="1"/>
  <c r="E395" i="7"/>
  <c r="F395" i="7" s="1"/>
  <c r="E396" i="7"/>
  <c r="F396" i="7" s="1"/>
  <c r="E397" i="7"/>
  <c r="F397" i="7" s="1"/>
  <c r="E398" i="7"/>
  <c r="F398" i="7" s="1"/>
  <c r="E399" i="7"/>
  <c r="F399" i="7" s="1"/>
  <c r="E400" i="7"/>
  <c r="F400" i="7" s="1"/>
  <c r="E401" i="7"/>
  <c r="F401" i="7" s="1"/>
  <c r="E402" i="7"/>
  <c r="F402" i="7" s="1"/>
  <c r="E403" i="7"/>
  <c r="F403" i="7" s="1"/>
  <c r="E404" i="7"/>
  <c r="F404" i="7" s="1"/>
  <c r="E405" i="7"/>
  <c r="F405" i="7" s="1"/>
  <c r="E406" i="7"/>
  <c r="F406" i="7" s="1"/>
  <c r="E407" i="7"/>
  <c r="F407" i="7" s="1"/>
  <c r="E408" i="7"/>
  <c r="F408" i="7" s="1"/>
  <c r="E409" i="7"/>
  <c r="F409" i="7" s="1"/>
  <c r="E410" i="7"/>
  <c r="F410" i="7" s="1"/>
  <c r="E411" i="7"/>
  <c r="F411" i="7" s="1"/>
  <c r="E412" i="7"/>
  <c r="F412" i="7" s="1"/>
  <c r="E413" i="7"/>
  <c r="F413" i="7" s="1"/>
  <c r="E414" i="7"/>
  <c r="F414" i="7" s="1"/>
  <c r="E415" i="7"/>
  <c r="F415" i="7" s="1"/>
  <c r="E416" i="7"/>
  <c r="F416" i="7" s="1"/>
  <c r="E417" i="7"/>
  <c r="F417" i="7" s="1"/>
  <c r="E418" i="7"/>
  <c r="F418" i="7" s="1"/>
  <c r="E419" i="7"/>
  <c r="F419" i="7" s="1"/>
  <c r="E420" i="7"/>
  <c r="F420" i="7" s="1"/>
  <c r="E421" i="7"/>
  <c r="F421" i="7" s="1"/>
  <c r="E422" i="7"/>
  <c r="F422" i="7" s="1"/>
  <c r="E423" i="7"/>
  <c r="F423" i="7" s="1"/>
  <c r="E424" i="7"/>
  <c r="F424" i="7" s="1"/>
  <c r="E425" i="7"/>
  <c r="F425" i="7" s="1"/>
  <c r="E426" i="7"/>
  <c r="F426" i="7" s="1"/>
  <c r="E427" i="7"/>
  <c r="F427" i="7" s="1"/>
  <c r="E428" i="7"/>
  <c r="F428" i="7" s="1"/>
  <c r="E429" i="7"/>
  <c r="F429" i="7" s="1"/>
  <c r="E430" i="7"/>
  <c r="F430" i="7" s="1"/>
  <c r="E431" i="7"/>
  <c r="F431" i="7" s="1"/>
  <c r="E432" i="7"/>
  <c r="F432" i="7" s="1"/>
  <c r="E433" i="7"/>
  <c r="F433" i="7" s="1"/>
  <c r="E434" i="7"/>
  <c r="F434" i="7" s="1"/>
  <c r="E435" i="7"/>
  <c r="F435" i="7" s="1"/>
  <c r="E436" i="7"/>
  <c r="F436" i="7" s="1"/>
  <c r="E437" i="7"/>
  <c r="F437" i="7" s="1"/>
  <c r="E438" i="7"/>
  <c r="F438" i="7" s="1"/>
  <c r="E439" i="7"/>
  <c r="F439" i="7" s="1"/>
  <c r="E440" i="7"/>
  <c r="F440" i="7" s="1"/>
  <c r="E441" i="7"/>
  <c r="F441" i="7" s="1"/>
  <c r="E442" i="7"/>
  <c r="F442" i="7" s="1"/>
  <c r="E443" i="7"/>
  <c r="F443" i="7" s="1"/>
  <c r="E444" i="7"/>
  <c r="F444" i="7" s="1"/>
  <c r="E445" i="7"/>
  <c r="F445" i="7" s="1"/>
  <c r="E446" i="7"/>
  <c r="F446" i="7" s="1"/>
  <c r="E447" i="7"/>
  <c r="F447" i="7" s="1"/>
  <c r="E448" i="7"/>
  <c r="F448" i="7" s="1"/>
  <c r="E449" i="7"/>
  <c r="F449" i="7" s="1"/>
  <c r="E450" i="7"/>
  <c r="F450" i="7" s="1"/>
  <c r="E451" i="7"/>
  <c r="F451" i="7" s="1"/>
  <c r="E452" i="7"/>
  <c r="F452" i="7" s="1"/>
  <c r="E453" i="7"/>
  <c r="F453" i="7" s="1"/>
  <c r="E454" i="7"/>
  <c r="F454" i="7" s="1"/>
  <c r="E455" i="7"/>
  <c r="F455" i="7" s="1"/>
  <c r="E456" i="7"/>
  <c r="F456" i="7" s="1"/>
  <c r="E457" i="7"/>
  <c r="F457" i="7" s="1"/>
  <c r="E458" i="7"/>
  <c r="F458" i="7" s="1"/>
  <c r="E459" i="7"/>
  <c r="F459" i="7" s="1"/>
  <c r="E460" i="7"/>
  <c r="F460" i="7" s="1"/>
  <c r="E461" i="7"/>
  <c r="F461" i="7" s="1"/>
  <c r="E462" i="7"/>
  <c r="F462" i="7" s="1"/>
  <c r="E463" i="7"/>
  <c r="F463" i="7" s="1"/>
  <c r="E464" i="7"/>
  <c r="F464" i="7" s="1"/>
  <c r="E465" i="7"/>
  <c r="F465" i="7" s="1"/>
  <c r="E466" i="7"/>
  <c r="F466" i="7" s="1"/>
  <c r="E467" i="7"/>
  <c r="F467" i="7" s="1"/>
  <c r="E468" i="7"/>
  <c r="F468" i="7" s="1"/>
  <c r="E469" i="7"/>
  <c r="F469" i="7" s="1"/>
  <c r="E470" i="7"/>
  <c r="F470" i="7" s="1"/>
  <c r="E471" i="7"/>
  <c r="F471" i="7" s="1"/>
  <c r="E472" i="7"/>
  <c r="F472" i="7" s="1"/>
  <c r="E473" i="7"/>
  <c r="F473" i="7" s="1"/>
  <c r="E474" i="7"/>
  <c r="F474" i="7" s="1"/>
  <c r="E475" i="7"/>
  <c r="F475" i="7" s="1"/>
  <c r="E476" i="7"/>
  <c r="F476" i="7" s="1"/>
  <c r="E477" i="7"/>
  <c r="F477" i="7" s="1"/>
  <c r="E478" i="7"/>
  <c r="F478" i="7" s="1"/>
  <c r="E479" i="7"/>
  <c r="F479" i="7" s="1"/>
  <c r="E480" i="7"/>
  <c r="F480" i="7" s="1"/>
  <c r="E481" i="7"/>
  <c r="F481" i="7" s="1"/>
  <c r="E482" i="7"/>
  <c r="F482" i="7" s="1"/>
  <c r="E483" i="7"/>
  <c r="F483" i="7" s="1"/>
  <c r="E484" i="7"/>
  <c r="F484" i="7" s="1"/>
  <c r="E485" i="7"/>
  <c r="F485" i="7" s="1"/>
  <c r="E486" i="7"/>
  <c r="F486" i="7" s="1"/>
  <c r="E487" i="7"/>
  <c r="F487" i="7" s="1"/>
  <c r="E488" i="7"/>
  <c r="F488" i="7" s="1"/>
  <c r="E489" i="7"/>
  <c r="F489" i="7" s="1"/>
  <c r="E490" i="7"/>
  <c r="F490" i="7" s="1"/>
  <c r="E491" i="7"/>
  <c r="F491" i="7" s="1"/>
  <c r="E492" i="7"/>
  <c r="F492" i="7" s="1"/>
  <c r="E493" i="7"/>
  <c r="F493" i="7" s="1"/>
  <c r="E494" i="7"/>
  <c r="F494" i="7" s="1"/>
  <c r="E495" i="7"/>
  <c r="F495" i="7" s="1"/>
  <c r="E496" i="7"/>
  <c r="F496" i="7" s="1"/>
  <c r="E497" i="7"/>
  <c r="F497" i="7" s="1"/>
  <c r="E498" i="7"/>
  <c r="F498" i="7" s="1"/>
  <c r="E499" i="7"/>
  <c r="F499" i="7" s="1"/>
  <c r="E500" i="7"/>
  <c r="F500" i="7" s="1"/>
  <c r="E501" i="7"/>
  <c r="F501" i="7" s="1"/>
  <c r="E502" i="7"/>
  <c r="F502" i="7" s="1"/>
  <c r="E503" i="7"/>
  <c r="F503" i="7" s="1"/>
  <c r="E504" i="7"/>
  <c r="F504" i="7" s="1"/>
  <c r="E505" i="7"/>
  <c r="F505" i="7" s="1"/>
  <c r="E506" i="7"/>
  <c r="F506" i="7" s="1"/>
  <c r="E507" i="7"/>
  <c r="F507" i="7" s="1"/>
  <c r="E508" i="7"/>
  <c r="F508" i="7" s="1"/>
  <c r="E509" i="7"/>
  <c r="F509" i="7" s="1"/>
  <c r="E510" i="7"/>
  <c r="F510" i="7" s="1"/>
  <c r="E511" i="7"/>
  <c r="F511" i="7" s="1"/>
  <c r="E512" i="7"/>
  <c r="F512" i="7" s="1"/>
  <c r="E513" i="7"/>
  <c r="F513" i="7" s="1"/>
  <c r="E514" i="7"/>
  <c r="F514" i="7" s="1"/>
  <c r="E515" i="7"/>
  <c r="F515" i="7" s="1"/>
  <c r="E516" i="7"/>
  <c r="F516" i="7" s="1"/>
  <c r="E517" i="7"/>
  <c r="F517" i="7" s="1"/>
  <c r="E518" i="7"/>
  <c r="F518" i="7" s="1"/>
  <c r="E519" i="7"/>
  <c r="F519" i="7" s="1"/>
  <c r="E520" i="7"/>
  <c r="F520" i="7" s="1"/>
  <c r="E521" i="7"/>
  <c r="F521" i="7" s="1"/>
  <c r="E522" i="7"/>
  <c r="F522" i="7" s="1"/>
  <c r="E523" i="7"/>
  <c r="F523" i="7" s="1"/>
  <c r="E524" i="7"/>
  <c r="F524" i="7" s="1"/>
  <c r="E525" i="7"/>
  <c r="F525" i="7" s="1"/>
  <c r="E526" i="7"/>
  <c r="F526" i="7" s="1"/>
  <c r="E527" i="7"/>
  <c r="F527" i="7" s="1"/>
  <c r="E528" i="7"/>
  <c r="F528" i="7" s="1"/>
  <c r="E529" i="7"/>
  <c r="F529" i="7" s="1"/>
  <c r="E530" i="7"/>
  <c r="F530" i="7" s="1"/>
  <c r="E531" i="7"/>
  <c r="F531" i="7" s="1"/>
  <c r="E532" i="7"/>
  <c r="F532" i="7" s="1"/>
  <c r="E533" i="7"/>
  <c r="F533" i="7" s="1"/>
  <c r="E534" i="7"/>
  <c r="F534" i="7" s="1"/>
  <c r="E535" i="7"/>
  <c r="F535" i="7" s="1"/>
  <c r="E536" i="7"/>
  <c r="F536" i="7" s="1"/>
  <c r="E537" i="7"/>
  <c r="F537" i="7" s="1"/>
  <c r="E538" i="7"/>
  <c r="F538" i="7" s="1"/>
  <c r="E539" i="7"/>
  <c r="F539" i="7" s="1"/>
  <c r="E540" i="7"/>
  <c r="F540" i="7" s="1"/>
  <c r="E541" i="7"/>
  <c r="F541" i="7" s="1"/>
  <c r="E542" i="7"/>
  <c r="F542" i="7" s="1"/>
  <c r="E543" i="7"/>
  <c r="F543" i="7" s="1"/>
  <c r="E544" i="7"/>
  <c r="F544" i="7" s="1"/>
  <c r="E545" i="7"/>
  <c r="F545" i="7" s="1"/>
  <c r="E546" i="7"/>
  <c r="F546" i="7" s="1"/>
  <c r="E547" i="7"/>
  <c r="F547" i="7" s="1"/>
  <c r="E548" i="7"/>
  <c r="F548" i="7" s="1"/>
  <c r="E549" i="7"/>
  <c r="F549" i="7" s="1"/>
  <c r="E550" i="7"/>
  <c r="F550" i="7" s="1"/>
  <c r="E551" i="7"/>
  <c r="F551" i="7" s="1"/>
  <c r="E552" i="7"/>
  <c r="F552" i="7" s="1"/>
  <c r="E553" i="7"/>
  <c r="F553" i="7" s="1"/>
  <c r="E554" i="7"/>
  <c r="F554" i="7" s="1"/>
  <c r="E555" i="7"/>
  <c r="F555" i="7" s="1"/>
  <c r="E556" i="7"/>
  <c r="F556" i="7" s="1"/>
  <c r="E557" i="7"/>
  <c r="F557" i="7" s="1"/>
  <c r="E558" i="7"/>
  <c r="F558" i="7" s="1"/>
  <c r="E559" i="7"/>
  <c r="F559" i="7" s="1"/>
  <c r="E560" i="7"/>
  <c r="F560" i="7" s="1"/>
  <c r="E561" i="7"/>
  <c r="F561" i="7" s="1"/>
  <c r="E562" i="7"/>
  <c r="F562" i="7" s="1"/>
  <c r="E563" i="7"/>
  <c r="F563" i="7" s="1"/>
  <c r="E564" i="7"/>
  <c r="F564" i="7" s="1"/>
  <c r="E565" i="7"/>
  <c r="F565" i="7" s="1"/>
  <c r="E566" i="7"/>
  <c r="F566" i="7" s="1"/>
  <c r="E567" i="7"/>
  <c r="F567" i="7" s="1"/>
  <c r="E568" i="7"/>
  <c r="F568" i="7" s="1"/>
  <c r="E569" i="7"/>
  <c r="F569" i="7" s="1"/>
  <c r="E570" i="7"/>
  <c r="F570" i="7" s="1"/>
  <c r="E571" i="7"/>
  <c r="F571" i="7" s="1"/>
  <c r="E572" i="7"/>
  <c r="F572" i="7" s="1"/>
  <c r="E573" i="7"/>
  <c r="F573" i="7" s="1"/>
  <c r="E574" i="7"/>
  <c r="F574" i="7" s="1"/>
  <c r="E575" i="7"/>
  <c r="F575" i="7" s="1"/>
  <c r="E576" i="7"/>
  <c r="F576" i="7" s="1"/>
  <c r="E577" i="7"/>
  <c r="F577" i="7" s="1"/>
  <c r="E578" i="7"/>
  <c r="F578" i="7" s="1"/>
  <c r="E579" i="7"/>
  <c r="F579" i="7" s="1"/>
  <c r="E580" i="7"/>
  <c r="F580" i="7" s="1"/>
  <c r="E581" i="7"/>
  <c r="F581" i="7" s="1"/>
  <c r="E582" i="7"/>
  <c r="F582" i="7" s="1"/>
  <c r="E583" i="7"/>
  <c r="F583" i="7" s="1"/>
  <c r="E584" i="7"/>
  <c r="F584" i="7" s="1"/>
  <c r="E585" i="7"/>
  <c r="F585" i="7" s="1"/>
  <c r="E586" i="7"/>
  <c r="F586" i="7" s="1"/>
  <c r="E587" i="7"/>
  <c r="F587" i="7" s="1"/>
  <c r="E588" i="7"/>
  <c r="F588" i="7" s="1"/>
  <c r="E589" i="7"/>
  <c r="F589" i="7" s="1"/>
  <c r="E590" i="7"/>
  <c r="F590" i="7" s="1"/>
  <c r="E591" i="7"/>
  <c r="F591" i="7" s="1"/>
  <c r="E592" i="7"/>
  <c r="F592" i="7" s="1"/>
  <c r="E593" i="7"/>
  <c r="F593" i="7" s="1"/>
  <c r="E594" i="7"/>
  <c r="F594" i="7" s="1"/>
  <c r="E595" i="7"/>
  <c r="F595" i="7" s="1"/>
  <c r="E596" i="7"/>
  <c r="F596" i="7" s="1"/>
  <c r="E597" i="7"/>
  <c r="F597" i="7" s="1"/>
  <c r="E598" i="7"/>
  <c r="F598" i="7" s="1"/>
  <c r="E599" i="7"/>
  <c r="F599" i="7" s="1"/>
  <c r="E600" i="7"/>
  <c r="F600" i="7" s="1"/>
  <c r="E601" i="7"/>
  <c r="F601" i="7" s="1"/>
  <c r="E602" i="7"/>
  <c r="F602" i="7" s="1"/>
  <c r="E603" i="7"/>
  <c r="F603" i="7" s="1"/>
  <c r="E604" i="7"/>
  <c r="F604" i="7" s="1"/>
  <c r="E605" i="7"/>
  <c r="F605" i="7" s="1"/>
  <c r="E606" i="7"/>
  <c r="F606" i="7" s="1"/>
  <c r="E607" i="7"/>
  <c r="F607" i="7" s="1"/>
  <c r="E608" i="7"/>
  <c r="F608" i="7" s="1"/>
  <c r="E609" i="7"/>
  <c r="F609" i="7" s="1"/>
  <c r="E610" i="7"/>
  <c r="F610" i="7" s="1"/>
  <c r="E611" i="7"/>
  <c r="F611" i="7" s="1"/>
  <c r="E612" i="7"/>
  <c r="F612" i="7" s="1"/>
  <c r="E613" i="7"/>
  <c r="F613" i="7" s="1"/>
  <c r="E614" i="7"/>
  <c r="F614" i="7" s="1"/>
  <c r="E615" i="7"/>
  <c r="F615" i="7" s="1"/>
  <c r="E616" i="7"/>
  <c r="F616" i="7" s="1"/>
  <c r="E617" i="7"/>
  <c r="F617" i="7" s="1"/>
  <c r="E618" i="7"/>
  <c r="F618" i="7" s="1"/>
  <c r="E619" i="7"/>
  <c r="F619" i="7" s="1"/>
  <c r="E620" i="7"/>
  <c r="F620" i="7" s="1"/>
  <c r="E621" i="7"/>
  <c r="F621" i="7" s="1"/>
  <c r="E622" i="7"/>
  <c r="F622" i="7" s="1"/>
  <c r="E623" i="7"/>
  <c r="F623" i="7" s="1"/>
  <c r="E624" i="7"/>
  <c r="F624" i="7" s="1"/>
  <c r="E625" i="7"/>
  <c r="F625" i="7" s="1"/>
  <c r="E626" i="7"/>
  <c r="F626" i="7" s="1"/>
  <c r="E627" i="7"/>
  <c r="F627" i="7" s="1"/>
  <c r="E628" i="7"/>
  <c r="F628" i="7" s="1"/>
  <c r="E629" i="7"/>
  <c r="F629" i="7" s="1"/>
  <c r="E630" i="7"/>
  <c r="F630" i="7" s="1"/>
  <c r="E631" i="7"/>
  <c r="F631" i="7" s="1"/>
  <c r="E632" i="7"/>
  <c r="F632" i="7" s="1"/>
  <c r="E633" i="7"/>
  <c r="F633" i="7" s="1"/>
  <c r="E634" i="7"/>
  <c r="F634" i="7" s="1"/>
  <c r="E635" i="7"/>
  <c r="F635" i="7" s="1"/>
  <c r="E636" i="7"/>
  <c r="F636" i="7" s="1"/>
  <c r="E637" i="7"/>
  <c r="F637" i="7" s="1"/>
  <c r="E638" i="7"/>
  <c r="F638" i="7" s="1"/>
  <c r="E639" i="7"/>
  <c r="F639" i="7" s="1"/>
  <c r="E640" i="7"/>
  <c r="F640" i="7" s="1"/>
  <c r="E641" i="7"/>
  <c r="F641" i="7" s="1"/>
  <c r="E642" i="7"/>
  <c r="F642" i="7" s="1"/>
  <c r="E643" i="7"/>
  <c r="F643" i="7" s="1"/>
  <c r="E644" i="7"/>
  <c r="F644" i="7" s="1"/>
  <c r="E645" i="7"/>
  <c r="F645" i="7" s="1"/>
  <c r="E646" i="7"/>
  <c r="F646" i="7" s="1"/>
  <c r="E647" i="7"/>
  <c r="F647" i="7" s="1"/>
  <c r="E648" i="7"/>
  <c r="F648" i="7" s="1"/>
  <c r="E649" i="7"/>
  <c r="F649" i="7" s="1"/>
  <c r="E650" i="7"/>
  <c r="F650" i="7" s="1"/>
  <c r="E651" i="7"/>
  <c r="F651" i="7" s="1"/>
  <c r="E652" i="7"/>
  <c r="F652" i="7" s="1"/>
  <c r="E653" i="7"/>
  <c r="F653" i="7" s="1"/>
  <c r="E654" i="7"/>
  <c r="F654" i="7" s="1"/>
  <c r="E655" i="7"/>
  <c r="F655" i="7" s="1"/>
  <c r="E656" i="7"/>
  <c r="F656" i="7" s="1"/>
  <c r="E657" i="7"/>
  <c r="F657" i="7" s="1"/>
  <c r="E658" i="7"/>
  <c r="F658" i="7" s="1"/>
  <c r="E659" i="7"/>
  <c r="F659" i="7" s="1"/>
  <c r="E660" i="7"/>
  <c r="F660" i="7" s="1"/>
  <c r="E661" i="7"/>
  <c r="F661" i="7" s="1"/>
  <c r="E662" i="7"/>
  <c r="F662" i="7" s="1"/>
  <c r="E663" i="7"/>
  <c r="F663" i="7" s="1"/>
  <c r="E664" i="7"/>
  <c r="F664" i="7" s="1"/>
  <c r="E665" i="7"/>
  <c r="F665" i="7" s="1"/>
  <c r="E666" i="7"/>
  <c r="F666" i="7" s="1"/>
  <c r="E667" i="7"/>
  <c r="F667" i="7" s="1"/>
  <c r="E668" i="7"/>
  <c r="F668" i="7" s="1"/>
  <c r="E669" i="7"/>
  <c r="F669" i="7" s="1"/>
  <c r="E670" i="7"/>
  <c r="F670" i="7" s="1"/>
  <c r="E671" i="7"/>
  <c r="F671" i="7" s="1"/>
  <c r="E672" i="7"/>
  <c r="F672" i="7" s="1"/>
  <c r="E673" i="7"/>
  <c r="F673" i="7" s="1"/>
  <c r="E674" i="7"/>
  <c r="F674" i="7" s="1"/>
  <c r="E675" i="7"/>
  <c r="F675" i="7" s="1"/>
  <c r="E676" i="7"/>
  <c r="F676" i="7" s="1"/>
  <c r="E677" i="7"/>
  <c r="F677" i="7" s="1"/>
  <c r="E678" i="7"/>
  <c r="F678" i="7" s="1"/>
  <c r="E679" i="7"/>
  <c r="F679" i="7" s="1"/>
  <c r="E680" i="7"/>
  <c r="F680" i="7" s="1"/>
  <c r="E681" i="7"/>
  <c r="F681" i="7" s="1"/>
  <c r="E682" i="7"/>
  <c r="F682" i="7" s="1"/>
  <c r="E683" i="7"/>
  <c r="F683" i="7" s="1"/>
  <c r="E684" i="7"/>
  <c r="F684" i="7" s="1"/>
  <c r="E685" i="7"/>
  <c r="F685" i="7" s="1"/>
  <c r="E686" i="7"/>
  <c r="F686" i="7" s="1"/>
  <c r="E687" i="7"/>
  <c r="F687" i="7" s="1"/>
  <c r="E688" i="7"/>
  <c r="F688" i="7" s="1"/>
  <c r="E689" i="7"/>
  <c r="F689" i="7" s="1"/>
  <c r="E690" i="7"/>
  <c r="F690" i="7" s="1"/>
  <c r="E691" i="7"/>
  <c r="F691" i="7" s="1"/>
  <c r="E692" i="7"/>
  <c r="F692" i="7" s="1"/>
  <c r="E693" i="7"/>
  <c r="F693" i="7" s="1"/>
  <c r="E694" i="7"/>
  <c r="F694" i="7" s="1"/>
  <c r="E695" i="7"/>
  <c r="F695" i="7" s="1"/>
  <c r="E696" i="7"/>
  <c r="F696" i="7" s="1"/>
  <c r="E697" i="7"/>
  <c r="F697" i="7" s="1"/>
  <c r="E698" i="7"/>
  <c r="F698" i="7" s="1"/>
  <c r="E699" i="7"/>
  <c r="F699" i="7" s="1"/>
  <c r="E700" i="7"/>
  <c r="F700" i="7" s="1"/>
  <c r="E701" i="7"/>
  <c r="F701" i="7" s="1"/>
  <c r="E702" i="7"/>
  <c r="F702" i="7" s="1"/>
  <c r="E703" i="7"/>
  <c r="F703" i="7" s="1"/>
  <c r="E704" i="7"/>
  <c r="F704" i="7" s="1"/>
  <c r="E705" i="7"/>
  <c r="F705" i="7" s="1"/>
  <c r="E706" i="7"/>
  <c r="F706" i="7" s="1"/>
  <c r="E707" i="7"/>
  <c r="F707" i="7" s="1"/>
  <c r="E708" i="7"/>
  <c r="F708" i="7" s="1"/>
  <c r="E709" i="7"/>
  <c r="F709" i="7" s="1"/>
  <c r="E710" i="7"/>
  <c r="F710" i="7" s="1"/>
  <c r="E711" i="7"/>
  <c r="F711" i="7" s="1"/>
  <c r="E712" i="7"/>
  <c r="F712" i="7" s="1"/>
  <c r="E713" i="7"/>
  <c r="F713" i="7" s="1"/>
  <c r="E714" i="7"/>
  <c r="F714" i="7" s="1"/>
  <c r="E715" i="7"/>
  <c r="F715" i="7" s="1"/>
  <c r="E716" i="7"/>
  <c r="F716" i="7" s="1"/>
  <c r="E717" i="7"/>
  <c r="F717" i="7" s="1"/>
  <c r="E718" i="7"/>
  <c r="F718" i="7" s="1"/>
  <c r="E719" i="7"/>
  <c r="F719" i="7" s="1"/>
  <c r="E720" i="7"/>
  <c r="F720" i="7" s="1"/>
  <c r="E721" i="7"/>
  <c r="F721" i="7" s="1"/>
  <c r="E722" i="7"/>
  <c r="F722" i="7" s="1"/>
  <c r="E723" i="7"/>
  <c r="F723" i="7" s="1"/>
  <c r="E724" i="7"/>
  <c r="F724" i="7" s="1"/>
  <c r="E725" i="7"/>
  <c r="F725" i="7" s="1"/>
  <c r="E726" i="7"/>
  <c r="F726" i="7" s="1"/>
  <c r="E727" i="7"/>
  <c r="F727" i="7" s="1"/>
  <c r="E728" i="7"/>
  <c r="F728" i="7" s="1"/>
  <c r="E729" i="7"/>
  <c r="F729" i="7" s="1"/>
  <c r="E730" i="7"/>
  <c r="F730" i="7" s="1"/>
  <c r="E731" i="7"/>
  <c r="F731" i="7" s="1"/>
  <c r="E732" i="7"/>
  <c r="F732" i="7" s="1"/>
  <c r="E733" i="7"/>
  <c r="F733" i="7" s="1"/>
  <c r="E734" i="7"/>
  <c r="F734" i="7" s="1"/>
  <c r="E735" i="7"/>
  <c r="F735" i="7" s="1"/>
  <c r="E736" i="7"/>
  <c r="F736" i="7" s="1"/>
  <c r="E737" i="7"/>
  <c r="F737" i="7" s="1"/>
  <c r="E738" i="7"/>
  <c r="F738" i="7" s="1"/>
  <c r="E739" i="7"/>
  <c r="F739" i="7" s="1"/>
  <c r="E740" i="7"/>
  <c r="F740" i="7" s="1"/>
  <c r="E741" i="7"/>
  <c r="F741" i="7" s="1"/>
  <c r="E742" i="7"/>
  <c r="F742" i="7" s="1"/>
  <c r="E743" i="7"/>
  <c r="F743" i="7" s="1"/>
  <c r="E744" i="7"/>
  <c r="F744" i="7" s="1"/>
  <c r="E745" i="7"/>
  <c r="F745" i="7" s="1"/>
  <c r="E746" i="7"/>
  <c r="F746" i="7" s="1"/>
  <c r="E747" i="7"/>
  <c r="F747" i="7" s="1"/>
  <c r="E748" i="7"/>
  <c r="F748" i="7" s="1"/>
  <c r="E749" i="7"/>
  <c r="F749" i="7" s="1"/>
  <c r="E750" i="7"/>
  <c r="F750" i="7" s="1"/>
  <c r="E751" i="7"/>
  <c r="F751" i="7" s="1"/>
  <c r="E752" i="7"/>
  <c r="F752" i="7" s="1"/>
  <c r="E753" i="7"/>
  <c r="F753" i="7" s="1"/>
  <c r="E754" i="7"/>
  <c r="F754" i="7" s="1"/>
  <c r="E755" i="7"/>
  <c r="F755" i="7" s="1"/>
  <c r="E756" i="7"/>
  <c r="F756" i="7" s="1"/>
  <c r="E757" i="7"/>
  <c r="F757" i="7" s="1"/>
  <c r="E758" i="7"/>
  <c r="F758" i="7" s="1"/>
  <c r="E759" i="7"/>
  <c r="F759" i="7" s="1"/>
  <c r="E760" i="7"/>
  <c r="F760" i="7" s="1"/>
  <c r="E761" i="7"/>
  <c r="F761" i="7" s="1"/>
  <c r="E762" i="7"/>
  <c r="F762" i="7" s="1"/>
  <c r="E763" i="7"/>
  <c r="F763" i="7" s="1"/>
  <c r="E764" i="7"/>
  <c r="F764" i="7" s="1"/>
  <c r="E765" i="7"/>
  <c r="F765" i="7" s="1"/>
  <c r="E766" i="7"/>
  <c r="F766" i="7" s="1"/>
  <c r="E767" i="7"/>
  <c r="F767" i="7" s="1"/>
  <c r="E768" i="7"/>
  <c r="F768" i="7" s="1"/>
  <c r="E769" i="7"/>
  <c r="F769" i="7" s="1"/>
  <c r="E770" i="7"/>
  <c r="F770" i="7" s="1"/>
  <c r="E771" i="7"/>
  <c r="F771" i="7" s="1"/>
  <c r="E772" i="7"/>
  <c r="F772" i="7" s="1"/>
  <c r="E773" i="7"/>
  <c r="F773" i="7" s="1"/>
  <c r="E774" i="7"/>
  <c r="F774" i="7" s="1"/>
  <c r="E775" i="7"/>
  <c r="F775" i="7" s="1"/>
  <c r="E776" i="7"/>
  <c r="F776" i="7" s="1"/>
  <c r="E777" i="7"/>
  <c r="F777" i="7" s="1"/>
  <c r="E778" i="7"/>
  <c r="F778" i="7" s="1"/>
  <c r="E779" i="7"/>
  <c r="F779" i="7" s="1"/>
  <c r="E780" i="7"/>
  <c r="F780" i="7" s="1"/>
  <c r="E781" i="7"/>
  <c r="F781" i="7" s="1"/>
  <c r="E782" i="7"/>
  <c r="F782" i="7" s="1"/>
  <c r="E783" i="7"/>
  <c r="F783" i="7" s="1"/>
  <c r="E784" i="7"/>
  <c r="F784" i="7" s="1"/>
  <c r="E785" i="7"/>
  <c r="F785" i="7" s="1"/>
  <c r="E786" i="7"/>
  <c r="F786" i="7" s="1"/>
  <c r="E787" i="7"/>
  <c r="F787" i="7" s="1"/>
  <c r="E788" i="7"/>
  <c r="F788" i="7" s="1"/>
  <c r="E789" i="7"/>
  <c r="F789" i="7" s="1"/>
  <c r="E790" i="7"/>
  <c r="F790" i="7" s="1"/>
  <c r="E791" i="7"/>
  <c r="F791" i="7" s="1"/>
  <c r="E792" i="7"/>
  <c r="F792" i="7" s="1"/>
  <c r="E793" i="7"/>
  <c r="F793" i="7" s="1"/>
  <c r="E794" i="7"/>
  <c r="F794" i="7" s="1"/>
  <c r="E795" i="7"/>
  <c r="F795" i="7" s="1"/>
  <c r="E796" i="7"/>
  <c r="F796" i="7" s="1"/>
  <c r="E2" i="7"/>
  <c r="F2" i="7" s="1"/>
  <c r="L2" i="4"/>
  <c r="M2" i="4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141" i="5"/>
  <c r="J142" i="5"/>
  <c r="J143" i="5"/>
  <c r="J144" i="5"/>
  <c r="J145" i="5"/>
  <c r="J146" i="5"/>
  <c r="J147" i="5"/>
  <c r="J148" i="5"/>
  <c r="J149" i="5"/>
  <c r="J150" i="5"/>
  <c r="J151" i="5"/>
  <c r="J152" i="5"/>
  <c r="J153" i="5"/>
  <c r="J154" i="5"/>
  <c r="J155" i="5"/>
  <c r="J156" i="5"/>
  <c r="J157" i="5"/>
  <c r="J158" i="5"/>
  <c r="J159" i="5"/>
  <c r="J160" i="5"/>
  <c r="J161" i="5"/>
  <c r="J162" i="5"/>
  <c r="J163" i="5"/>
  <c r="J164" i="5"/>
  <c r="J165" i="5"/>
  <c r="J166" i="5"/>
  <c r="J167" i="5"/>
  <c r="J168" i="5"/>
  <c r="J169" i="5"/>
  <c r="J170" i="5"/>
  <c r="J171" i="5"/>
  <c r="J172" i="5"/>
  <c r="J173" i="5"/>
  <c r="J174" i="5"/>
  <c r="J175" i="5"/>
  <c r="J176" i="5"/>
  <c r="J177" i="5"/>
  <c r="J178" i="5"/>
  <c r="J179" i="5"/>
  <c r="J180" i="5"/>
  <c r="J181" i="5"/>
  <c r="J182" i="5"/>
  <c r="J183" i="5"/>
  <c r="J184" i="5"/>
  <c r="J185" i="5"/>
  <c r="J186" i="5"/>
  <c r="J187" i="5"/>
  <c r="J188" i="5"/>
  <c r="J189" i="5"/>
  <c r="J190" i="5"/>
  <c r="J191" i="5"/>
  <c r="J192" i="5"/>
  <c r="J193" i="5"/>
  <c r="J194" i="5"/>
  <c r="J195" i="5"/>
  <c r="J196" i="5"/>
  <c r="J197" i="5"/>
  <c r="J198" i="5"/>
  <c r="J199" i="5"/>
  <c r="J200" i="5"/>
  <c r="J201" i="5"/>
  <c r="J202" i="5"/>
  <c r="J203" i="5"/>
  <c r="J204" i="5"/>
  <c r="J205" i="5"/>
  <c r="J206" i="5"/>
  <c r="J207" i="5"/>
  <c r="J208" i="5"/>
  <c r="J209" i="5"/>
  <c r="J210" i="5"/>
  <c r="J211" i="5"/>
  <c r="J212" i="5"/>
  <c r="J213" i="5"/>
  <c r="J214" i="5"/>
  <c r="J215" i="5"/>
  <c r="J216" i="5"/>
  <c r="J217" i="5"/>
  <c r="J218" i="5"/>
  <c r="J219" i="5"/>
  <c r="J220" i="5"/>
  <c r="J221" i="5"/>
  <c r="J222" i="5"/>
  <c r="J223" i="5"/>
  <c r="J224" i="5"/>
  <c r="J225" i="5"/>
  <c r="J226" i="5"/>
  <c r="J227" i="5"/>
  <c r="J228" i="5"/>
  <c r="J229" i="5"/>
  <c r="J230" i="5"/>
  <c r="J231" i="5"/>
  <c r="J232" i="5"/>
  <c r="J233" i="5"/>
  <c r="J234" i="5"/>
  <c r="J235" i="5"/>
  <c r="J236" i="5"/>
  <c r="J237" i="5"/>
  <c r="J238" i="5"/>
  <c r="J239" i="5"/>
  <c r="J240" i="5"/>
  <c r="J241" i="5"/>
  <c r="J242" i="5"/>
  <c r="J243" i="5"/>
  <c r="J244" i="5"/>
  <c r="J245" i="5"/>
  <c r="J246" i="5"/>
  <c r="J247" i="5"/>
  <c r="J248" i="5"/>
  <c r="J249" i="5"/>
  <c r="J250" i="5"/>
  <c r="J251" i="5"/>
  <c r="J252" i="5"/>
  <c r="J253" i="5"/>
  <c r="J254" i="5"/>
  <c r="J255" i="5"/>
  <c r="J256" i="5"/>
  <c r="J257" i="5"/>
  <c r="J258" i="5"/>
  <c r="J259" i="5"/>
  <c r="J260" i="5"/>
  <c r="J261" i="5"/>
  <c r="J262" i="5"/>
  <c r="J263" i="5"/>
  <c r="J264" i="5"/>
  <c r="J265" i="5"/>
  <c r="J266" i="5"/>
  <c r="J267" i="5"/>
  <c r="J268" i="5"/>
  <c r="J269" i="5"/>
  <c r="J270" i="5"/>
  <c r="J271" i="5"/>
  <c r="J272" i="5"/>
  <c r="J273" i="5"/>
  <c r="J274" i="5"/>
  <c r="J275" i="5"/>
  <c r="J276" i="5"/>
  <c r="J277" i="5"/>
  <c r="J278" i="5"/>
  <c r="J279" i="5"/>
  <c r="J280" i="5"/>
  <c r="J281" i="5"/>
  <c r="J282" i="5"/>
  <c r="J283" i="5"/>
  <c r="J284" i="5"/>
  <c r="J285" i="5"/>
  <c r="J286" i="5"/>
  <c r="J287" i="5"/>
  <c r="J288" i="5"/>
  <c r="J289" i="5"/>
  <c r="J290" i="5"/>
  <c r="J291" i="5"/>
  <c r="J292" i="5"/>
  <c r="J293" i="5"/>
  <c r="J294" i="5"/>
  <c r="J295" i="5"/>
  <c r="J296" i="5"/>
  <c r="J297" i="5"/>
  <c r="J298" i="5"/>
  <c r="J299" i="5"/>
  <c r="J300" i="5"/>
  <c r="J301" i="5"/>
  <c r="J302" i="5"/>
  <c r="J303" i="5"/>
  <c r="J304" i="5"/>
  <c r="J305" i="5"/>
  <c r="J306" i="5"/>
  <c r="J307" i="5"/>
  <c r="J308" i="5"/>
  <c r="J309" i="5"/>
  <c r="J310" i="5"/>
  <c r="J311" i="5"/>
  <c r="J312" i="5"/>
  <c r="J313" i="5"/>
  <c r="J314" i="5"/>
  <c r="J315" i="5"/>
  <c r="J316" i="5"/>
  <c r="J317" i="5"/>
  <c r="J318" i="5"/>
  <c r="J319" i="5"/>
  <c r="J320" i="5"/>
  <c r="J321" i="5"/>
  <c r="J322" i="5"/>
  <c r="J323" i="5"/>
  <c r="J324" i="5"/>
  <c r="J325" i="5"/>
  <c r="J326" i="5"/>
  <c r="J327" i="5"/>
  <c r="J328" i="5"/>
  <c r="J329" i="5"/>
  <c r="J330" i="5"/>
  <c r="J331" i="5"/>
  <c r="J332" i="5"/>
  <c r="J333" i="5"/>
  <c r="J334" i="5"/>
  <c r="J335" i="5"/>
  <c r="J336" i="5"/>
  <c r="J337" i="5"/>
  <c r="J338" i="5"/>
  <c r="J339" i="5"/>
  <c r="J340" i="5"/>
  <c r="J341" i="5"/>
  <c r="J342" i="5"/>
  <c r="J343" i="5"/>
  <c r="J344" i="5"/>
  <c r="J345" i="5"/>
  <c r="J346" i="5"/>
  <c r="J347" i="5"/>
  <c r="J348" i="5"/>
  <c r="J349" i="5"/>
  <c r="J350" i="5"/>
  <c r="J351" i="5"/>
  <c r="J352" i="5"/>
  <c r="J353" i="5"/>
  <c r="J354" i="5"/>
  <c r="J355" i="5"/>
  <c r="J356" i="5"/>
  <c r="J357" i="5"/>
  <c r="J358" i="5"/>
  <c r="J359" i="5"/>
  <c r="J360" i="5"/>
  <c r="J361" i="5"/>
  <c r="J362" i="5"/>
  <c r="J363" i="5"/>
  <c r="J364" i="5"/>
  <c r="J365" i="5"/>
  <c r="J366" i="5"/>
  <c r="J367" i="5"/>
  <c r="J368" i="5"/>
  <c r="J369" i="5"/>
  <c r="J370" i="5"/>
  <c r="J371" i="5"/>
  <c r="J372" i="5"/>
  <c r="J373" i="5"/>
  <c r="J374" i="5"/>
  <c r="J375" i="5"/>
  <c r="J376" i="5"/>
  <c r="J377" i="5"/>
  <c r="J378" i="5"/>
  <c r="J379" i="5"/>
  <c r="J380" i="5"/>
  <c r="J381" i="5"/>
  <c r="J382" i="5"/>
  <c r="J383" i="5"/>
  <c r="J384" i="5"/>
  <c r="J385" i="5"/>
  <c r="J386" i="5"/>
  <c r="J387" i="5"/>
  <c r="J388" i="5"/>
  <c r="J389" i="5"/>
  <c r="J390" i="5"/>
  <c r="J391" i="5"/>
  <c r="J392" i="5"/>
  <c r="J393" i="5"/>
  <c r="J394" i="5"/>
  <c r="J395" i="5"/>
  <c r="J396" i="5"/>
  <c r="J397" i="5"/>
  <c r="J398" i="5"/>
  <c r="J399" i="5"/>
  <c r="J400" i="5"/>
  <c r="J401" i="5"/>
  <c r="J402" i="5"/>
  <c r="J403" i="5"/>
  <c r="J404" i="5"/>
  <c r="J405" i="5"/>
  <c r="J406" i="5"/>
  <c r="J407" i="5"/>
  <c r="J408" i="5"/>
  <c r="J409" i="5"/>
  <c r="J410" i="5"/>
  <c r="J411" i="5"/>
  <c r="J412" i="5"/>
  <c r="J413" i="5"/>
  <c r="J414" i="5"/>
  <c r="J415" i="5"/>
  <c r="J416" i="5"/>
  <c r="J417" i="5"/>
  <c r="J418" i="5"/>
  <c r="J419" i="5"/>
  <c r="J420" i="5"/>
  <c r="J421" i="5"/>
  <c r="J422" i="5"/>
  <c r="J423" i="5"/>
  <c r="J424" i="5"/>
  <c r="J425" i="5"/>
  <c r="J426" i="5"/>
  <c r="J427" i="5"/>
  <c r="J428" i="5"/>
  <c r="J429" i="5"/>
  <c r="J430" i="5"/>
  <c r="J431" i="5"/>
  <c r="J432" i="5"/>
  <c r="J433" i="5"/>
  <c r="J434" i="5"/>
  <c r="J435" i="5"/>
  <c r="J436" i="5"/>
  <c r="J437" i="5"/>
  <c r="J438" i="5"/>
  <c r="J439" i="5"/>
  <c r="J440" i="5"/>
  <c r="J441" i="5"/>
  <c r="J442" i="5"/>
  <c r="J443" i="5"/>
  <c r="J444" i="5"/>
  <c r="J445" i="5"/>
  <c r="J446" i="5"/>
  <c r="J447" i="5"/>
  <c r="J448" i="5"/>
  <c r="J449" i="5"/>
  <c r="J450" i="5"/>
  <c r="J451" i="5"/>
  <c r="J452" i="5"/>
  <c r="J453" i="5"/>
  <c r="J454" i="5"/>
  <c r="J455" i="5"/>
  <c r="J456" i="5"/>
  <c r="J457" i="5"/>
  <c r="J458" i="5"/>
  <c r="J459" i="5"/>
  <c r="J460" i="5"/>
  <c r="J461" i="5"/>
  <c r="J462" i="5"/>
  <c r="J463" i="5"/>
  <c r="J464" i="5"/>
  <c r="J465" i="5"/>
  <c r="J466" i="5"/>
  <c r="J467" i="5"/>
  <c r="J468" i="5"/>
  <c r="J469" i="5"/>
  <c r="J470" i="5"/>
  <c r="J471" i="5"/>
  <c r="J472" i="5"/>
  <c r="J473" i="5"/>
  <c r="J474" i="5"/>
  <c r="J475" i="5"/>
  <c r="J476" i="5"/>
  <c r="J477" i="5"/>
  <c r="J478" i="5"/>
  <c r="J479" i="5"/>
  <c r="J480" i="5"/>
  <c r="J481" i="5"/>
  <c r="J482" i="5"/>
  <c r="J483" i="5"/>
  <c r="J484" i="5"/>
  <c r="J485" i="5"/>
  <c r="J486" i="5"/>
  <c r="J487" i="5"/>
  <c r="J488" i="5"/>
  <c r="J489" i="5"/>
  <c r="J490" i="5"/>
  <c r="J491" i="5"/>
  <c r="J492" i="5"/>
  <c r="J493" i="5"/>
  <c r="J494" i="5"/>
  <c r="J495" i="5"/>
  <c r="J496" i="5"/>
  <c r="J497" i="5"/>
  <c r="J498" i="5"/>
  <c r="J499" i="5"/>
  <c r="J500" i="5"/>
  <c r="J501" i="5"/>
  <c r="J502" i="5"/>
  <c r="J503" i="5"/>
  <c r="J504" i="5"/>
  <c r="J505" i="5"/>
  <c r="J506" i="5"/>
  <c r="J507" i="5"/>
  <c r="J508" i="5"/>
  <c r="J509" i="5"/>
  <c r="J510" i="5"/>
  <c r="J511" i="5"/>
  <c r="J512" i="5"/>
  <c r="J513" i="5"/>
  <c r="J514" i="5"/>
  <c r="J515" i="5"/>
  <c r="J516" i="5"/>
  <c r="J517" i="5"/>
  <c r="J518" i="5"/>
  <c r="J519" i="5"/>
  <c r="J520" i="5"/>
  <c r="J521" i="5"/>
  <c r="J522" i="5"/>
  <c r="J523" i="5"/>
  <c r="J524" i="5"/>
  <c r="J525" i="5"/>
  <c r="J526" i="5"/>
  <c r="J527" i="5"/>
  <c r="J528" i="5"/>
  <c r="J529" i="5"/>
  <c r="J530" i="5"/>
  <c r="J531" i="5"/>
  <c r="J532" i="5"/>
  <c r="J533" i="5"/>
  <c r="J534" i="5"/>
  <c r="J535" i="5"/>
  <c r="J536" i="5"/>
  <c r="J537" i="5"/>
  <c r="J538" i="5"/>
  <c r="J539" i="5"/>
  <c r="J540" i="5"/>
  <c r="J541" i="5"/>
  <c r="J542" i="5"/>
  <c r="J543" i="5"/>
  <c r="J544" i="5"/>
  <c r="J545" i="5"/>
  <c r="J546" i="5"/>
  <c r="J547" i="5"/>
  <c r="J548" i="5"/>
  <c r="J549" i="5"/>
  <c r="J550" i="5"/>
  <c r="J551" i="5"/>
  <c r="J552" i="5"/>
  <c r="J553" i="5"/>
  <c r="J554" i="5"/>
  <c r="J555" i="5"/>
  <c r="J556" i="5"/>
  <c r="J557" i="5"/>
  <c r="J558" i="5"/>
  <c r="J559" i="5"/>
  <c r="J560" i="5"/>
  <c r="J561" i="5"/>
  <c r="J562" i="5"/>
  <c r="J563" i="5"/>
  <c r="J564" i="5"/>
  <c r="J565" i="5"/>
  <c r="J566" i="5"/>
  <c r="J567" i="5"/>
  <c r="J568" i="5"/>
  <c r="J569" i="5"/>
  <c r="J570" i="5"/>
  <c r="J571" i="5"/>
  <c r="J572" i="5"/>
  <c r="J573" i="5"/>
  <c r="J574" i="5"/>
  <c r="J575" i="5"/>
  <c r="J576" i="5"/>
  <c r="J577" i="5"/>
  <c r="J578" i="5"/>
  <c r="J579" i="5"/>
  <c r="J580" i="5"/>
  <c r="J581" i="5"/>
  <c r="J582" i="5"/>
  <c r="J583" i="5"/>
  <c r="J584" i="5"/>
  <c r="J585" i="5"/>
  <c r="J586" i="5"/>
  <c r="J587" i="5"/>
  <c r="J588" i="5"/>
  <c r="J589" i="5"/>
  <c r="J590" i="5"/>
  <c r="J591" i="5"/>
  <c r="J592" i="5"/>
  <c r="J593" i="5"/>
  <c r="J594" i="5"/>
  <c r="J595" i="5"/>
  <c r="J596" i="5"/>
  <c r="J597" i="5"/>
  <c r="J598" i="5"/>
  <c r="J599" i="5"/>
  <c r="J600" i="5"/>
  <c r="J601" i="5"/>
  <c r="J602" i="5"/>
  <c r="J603" i="5"/>
  <c r="J604" i="5"/>
  <c r="J605" i="5"/>
  <c r="J606" i="5"/>
  <c r="J607" i="5"/>
  <c r="J608" i="5"/>
  <c r="J609" i="5"/>
  <c r="J610" i="5"/>
  <c r="J611" i="5"/>
  <c r="J612" i="5"/>
  <c r="J613" i="5"/>
  <c r="J614" i="5"/>
  <c r="J615" i="5"/>
  <c r="J616" i="5"/>
  <c r="J617" i="5"/>
  <c r="J618" i="5"/>
  <c r="J619" i="5"/>
  <c r="J620" i="5"/>
  <c r="J621" i="5"/>
  <c r="J622" i="5"/>
  <c r="J623" i="5"/>
  <c r="J624" i="5"/>
  <c r="J625" i="5"/>
  <c r="J626" i="5"/>
  <c r="J627" i="5"/>
  <c r="J628" i="5"/>
  <c r="J629" i="5"/>
  <c r="J630" i="5"/>
  <c r="J631" i="5"/>
  <c r="J632" i="5"/>
  <c r="J633" i="5"/>
  <c r="J634" i="5"/>
  <c r="J635" i="5"/>
  <c r="J636" i="5"/>
  <c r="J637" i="5"/>
  <c r="J638" i="5"/>
  <c r="J639" i="5"/>
  <c r="J640" i="5"/>
  <c r="J641" i="5"/>
  <c r="J642" i="5"/>
  <c r="J643" i="5"/>
  <c r="J644" i="5"/>
  <c r="J645" i="5"/>
  <c r="J646" i="5"/>
  <c r="J647" i="5"/>
  <c r="J648" i="5"/>
  <c r="J649" i="5"/>
  <c r="J650" i="5"/>
  <c r="J651" i="5"/>
  <c r="J652" i="5"/>
  <c r="J653" i="5"/>
  <c r="J654" i="5"/>
  <c r="J655" i="5"/>
  <c r="J656" i="5"/>
  <c r="J657" i="5"/>
  <c r="J658" i="5"/>
  <c r="J659" i="5"/>
  <c r="J660" i="5"/>
  <c r="J661" i="5"/>
  <c r="J662" i="5"/>
  <c r="J663" i="5"/>
  <c r="J664" i="5"/>
  <c r="J665" i="5"/>
  <c r="J666" i="5"/>
  <c r="J667" i="5"/>
  <c r="J668" i="5"/>
  <c r="J669" i="5"/>
  <c r="J670" i="5"/>
  <c r="J671" i="5"/>
  <c r="J672" i="5"/>
  <c r="J673" i="5"/>
  <c r="J674" i="5"/>
  <c r="J675" i="5"/>
  <c r="J676" i="5"/>
  <c r="J677" i="5"/>
  <c r="J678" i="5"/>
  <c r="J679" i="5"/>
  <c r="J680" i="5"/>
  <c r="J681" i="5"/>
  <c r="J682" i="5"/>
  <c r="J683" i="5"/>
  <c r="J684" i="5"/>
  <c r="J685" i="5"/>
  <c r="J686" i="5"/>
  <c r="J687" i="5"/>
  <c r="J688" i="5"/>
  <c r="J689" i="5"/>
  <c r="J690" i="5"/>
  <c r="J691" i="5"/>
  <c r="J692" i="5"/>
  <c r="J693" i="5"/>
  <c r="J694" i="5"/>
  <c r="J695" i="5"/>
  <c r="J696" i="5"/>
  <c r="J697" i="5"/>
  <c r="J698" i="5"/>
  <c r="J699" i="5"/>
  <c r="J700" i="5"/>
  <c r="J701" i="5"/>
  <c r="J702" i="5"/>
  <c r="J703" i="5"/>
  <c r="J704" i="5"/>
  <c r="J705" i="5"/>
  <c r="J706" i="5"/>
  <c r="J707" i="5"/>
  <c r="J708" i="5"/>
  <c r="J709" i="5"/>
  <c r="J710" i="5"/>
  <c r="J711" i="5"/>
  <c r="J712" i="5"/>
  <c r="J713" i="5"/>
  <c r="J714" i="5"/>
  <c r="J715" i="5"/>
  <c r="J716" i="5"/>
  <c r="J717" i="5"/>
  <c r="J718" i="5"/>
  <c r="J719" i="5"/>
  <c r="J720" i="5"/>
  <c r="J721" i="5"/>
  <c r="J722" i="5"/>
  <c r="J723" i="5"/>
  <c r="J724" i="5"/>
  <c r="J725" i="5"/>
  <c r="J726" i="5"/>
  <c r="J727" i="5"/>
  <c r="J728" i="5"/>
  <c r="J729" i="5"/>
  <c r="J730" i="5"/>
  <c r="J731" i="5"/>
  <c r="J732" i="5"/>
  <c r="J733" i="5"/>
  <c r="J734" i="5"/>
  <c r="J735" i="5"/>
  <c r="J736" i="5"/>
  <c r="J737" i="5"/>
  <c r="J738" i="5"/>
  <c r="J739" i="5"/>
  <c r="J740" i="5"/>
  <c r="J741" i="5"/>
  <c r="J742" i="5"/>
  <c r="J743" i="5"/>
  <c r="J744" i="5"/>
  <c r="J745" i="5"/>
  <c r="J746" i="5"/>
  <c r="J747" i="5"/>
  <c r="J748" i="5"/>
  <c r="J749" i="5"/>
  <c r="J750" i="5"/>
  <c r="J751" i="5"/>
  <c r="J752" i="5"/>
  <c r="J753" i="5"/>
  <c r="J754" i="5"/>
  <c r="J755" i="5"/>
  <c r="J756" i="5"/>
  <c r="J757" i="5"/>
  <c r="J758" i="5"/>
  <c r="J759" i="5"/>
  <c r="J760" i="5"/>
  <c r="J761" i="5"/>
  <c r="J762" i="5"/>
  <c r="J763" i="5"/>
  <c r="J764" i="5"/>
  <c r="J765" i="5"/>
  <c r="J766" i="5"/>
  <c r="J767" i="5"/>
  <c r="J768" i="5"/>
  <c r="J769" i="5"/>
  <c r="J770" i="5"/>
  <c r="J771" i="5"/>
  <c r="J772" i="5"/>
  <c r="J773" i="5"/>
  <c r="J774" i="5"/>
  <c r="J775" i="5"/>
  <c r="J776" i="5"/>
  <c r="J777" i="5"/>
  <c r="J778" i="5"/>
  <c r="J779" i="5"/>
  <c r="J780" i="5"/>
  <c r="J781" i="5"/>
  <c r="J782" i="5"/>
  <c r="J783" i="5"/>
  <c r="J784" i="5"/>
  <c r="J785" i="5"/>
  <c r="J786" i="5"/>
  <c r="J787" i="5"/>
  <c r="J788" i="5"/>
  <c r="J789" i="5"/>
  <c r="J790" i="5"/>
  <c r="J791" i="5"/>
  <c r="J792" i="5"/>
  <c r="J793" i="5"/>
  <c r="J794" i="5"/>
  <c r="J795" i="5"/>
  <c r="J796" i="5"/>
  <c r="J2" i="5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3" i="7"/>
  <c r="D144" i="7"/>
  <c r="D145" i="7"/>
  <c r="D146" i="7"/>
  <c r="D147" i="7"/>
  <c r="D148" i="7"/>
  <c r="D149" i="7"/>
  <c r="D150" i="7"/>
  <c r="D151" i="7"/>
  <c r="D152" i="7"/>
  <c r="D153" i="7"/>
  <c r="D154" i="7"/>
  <c r="D155" i="7"/>
  <c r="D156" i="7"/>
  <c r="D157" i="7"/>
  <c r="D158" i="7"/>
  <c r="D159" i="7"/>
  <c r="D160" i="7"/>
  <c r="D161" i="7"/>
  <c r="D162" i="7"/>
  <c r="D163" i="7"/>
  <c r="D164" i="7"/>
  <c r="D165" i="7"/>
  <c r="D166" i="7"/>
  <c r="D167" i="7"/>
  <c r="D168" i="7"/>
  <c r="D169" i="7"/>
  <c r="D170" i="7"/>
  <c r="D171" i="7"/>
  <c r="D172" i="7"/>
  <c r="D173" i="7"/>
  <c r="D174" i="7"/>
  <c r="D175" i="7"/>
  <c r="D176" i="7"/>
  <c r="D177" i="7"/>
  <c r="D178" i="7"/>
  <c r="D179" i="7"/>
  <c r="D180" i="7"/>
  <c r="D181" i="7"/>
  <c r="D182" i="7"/>
  <c r="D183" i="7"/>
  <c r="D184" i="7"/>
  <c r="D185" i="7"/>
  <c r="D186" i="7"/>
  <c r="D187" i="7"/>
  <c r="D188" i="7"/>
  <c r="D189" i="7"/>
  <c r="D190" i="7"/>
  <c r="D191" i="7"/>
  <c r="D192" i="7"/>
  <c r="D193" i="7"/>
  <c r="D194" i="7"/>
  <c r="D195" i="7"/>
  <c r="D196" i="7"/>
  <c r="D197" i="7"/>
  <c r="D198" i="7"/>
  <c r="D199" i="7"/>
  <c r="D200" i="7"/>
  <c r="D201" i="7"/>
  <c r="D202" i="7"/>
  <c r="D203" i="7"/>
  <c r="D204" i="7"/>
  <c r="D205" i="7"/>
  <c r="D206" i="7"/>
  <c r="D207" i="7"/>
  <c r="D208" i="7"/>
  <c r="D209" i="7"/>
  <c r="D210" i="7"/>
  <c r="D211" i="7"/>
  <c r="D212" i="7"/>
  <c r="D213" i="7"/>
  <c r="D214" i="7"/>
  <c r="D215" i="7"/>
  <c r="D216" i="7"/>
  <c r="D217" i="7"/>
  <c r="D218" i="7"/>
  <c r="D219" i="7"/>
  <c r="D220" i="7"/>
  <c r="D221" i="7"/>
  <c r="D222" i="7"/>
  <c r="D223" i="7"/>
  <c r="D224" i="7"/>
  <c r="D225" i="7"/>
  <c r="D226" i="7"/>
  <c r="D227" i="7"/>
  <c r="D228" i="7"/>
  <c r="D229" i="7"/>
  <c r="D230" i="7"/>
  <c r="D231" i="7"/>
  <c r="D232" i="7"/>
  <c r="D233" i="7"/>
  <c r="D234" i="7"/>
  <c r="D235" i="7"/>
  <c r="D236" i="7"/>
  <c r="D237" i="7"/>
  <c r="D238" i="7"/>
  <c r="D239" i="7"/>
  <c r="D240" i="7"/>
  <c r="D241" i="7"/>
  <c r="D242" i="7"/>
  <c r="D243" i="7"/>
  <c r="D244" i="7"/>
  <c r="D245" i="7"/>
  <c r="D246" i="7"/>
  <c r="D247" i="7"/>
  <c r="D248" i="7"/>
  <c r="D249" i="7"/>
  <c r="D250" i="7"/>
  <c r="D251" i="7"/>
  <c r="D252" i="7"/>
  <c r="D253" i="7"/>
  <c r="D254" i="7"/>
  <c r="D255" i="7"/>
  <c r="D256" i="7"/>
  <c r="D257" i="7"/>
  <c r="D258" i="7"/>
  <c r="D259" i="7"/>
  <c r="D260" i="7"/>
  <c r="D261" i="7"/>
  <c r="D262" i="7"/>
  <c r="D263" i="7"/>
  <c r="D264" i="7"/>
  <c r="D265" i="7"/>
  <c r="D266" i="7"/>
  <c r="D267" i="7"/>
  <c r="D268" i="7"/>
  <c r="D269" i="7"/>
  <c r="D270" i="7"/>
  <c r="D271" i="7"/>
  <c r="D272" i="7"/>
  <c r="D273" i="7"/>
  <c r="D274" i="7"/>
  <c r="D275" i="7"/>
  <c r="D276" i="7"/>
  <c r="D277" i="7"/>
  <c r="D278" i="7"/>
  <c r="D279" i="7"/>
  <c r="D280" i="7"/>
  <c r="D281" i="7"/>
  <c r="D282" i="7"/>
  <c r="D283" i="7"/>
  <c r="D284" i="7"/>
  <c r="D285" i="7"/>
  <c r="D286" i="7"/>
  <c r="D287" i="7"/>
  <c r="D288" i="7"/>
  <c r="D289" i="7"/>
  <c r="D290" i="7"/>
  <c r="D291" i="7"/>
  <c r="D292" i="7"/>
  <c r="D293" i="7"/>
  <c r="D294" i="7"/>
  <c r="D295" i="7"/>
  <c r="D296" i="7"/>
  <c r="D297" i="7"/>
  <c r="D298" i="7"/>
  <c r="D299" i="7"/>
  <c r="D300" i="7"/>
  <c r="D301" i="7"/>
  <c r="D302" i="7"/>
  <c r="D303" i="7"/>
  <c r="D304" i="7"/>
  <c r="D305" i="7"/>
  <c r="D306" i="7"/>
  <c r="D307" i="7"/>
  <c r="D308" i="7"/>
  <c r="D309" i="7"/>
  <c r="D310" i="7"/>
  <c r="D311" i="7"/>
  <c r="D312" i="7"/>
  <c r="D313" i="7"/>
  <c r="D314" i="7"/>
  <c r="D315" i="7"/>
  <c r="D316" i="7"/>
  <c r="D317" i="7"/>
  <c r="D318" i="7"/>
  <c r="D319" i="7"/>
  <c r="D320" i="7"/>
  <c r="D321" i="7"/>
  <c r="D322" i="7"/>
  <c r="D323" i="7"/>
  <c r="D324" i="7"/>
  <c r="D325" i="7"/>
  <c r="D326" i="7"/>
  <c r="D327" i="7"/>
  <c r="D328" i="7"/>
  <c r="D329" i="7"/>
  <c r="D330" i="7"/>
  <c r="D331" i="7"/>
  <c r="D332" i="7"/>
  <c r="D333" i="7"/>
  <c r="D334" i="7"/>
  <c r="D335" i="7"/>
  <c r="D336" i="7"/>
  <c r="D337" i="7"/>
  <c r="D338" i="7"/>
  <c r="D339" i="7"/>
  <c r="D340" i="7"/>
  <c r="D341" i="7"/>
  <c r="D342" i="7"/>
  <c r="D343" i="7"/>
  <c r="D344" i="7"/>
  <c r="D345" i="7"/>
  <c r="D346" i="7"/>
  <c r="D347" i="7"/>
  <c r="D348" i="7"/>
  <c r="D349" i="7"/>
  <c r="D350" i="7"/>
  <c r="D351" i="7"/>
  <c r="D352" i="7"/>
  <c r="D353" i="7"/>
  <c r="D354" i="7"/>
  <c r="D355" i="7"/>
  <c r="D356" i="7"/>
  <c r="D357" i="7"/>
  <c r="D358" i="7"/>
  <c r="D359" i="7"/>
  <c r="D360" i="7"/>
  <c r="D361" i="7"/>
  <c r="D362" i="7"/>
  <c r="D363" i="7"/>
  <c r="D364" i="7"/>
  <c r="D365" i="7"/>
  <c r="D366" i="7"/>
  <c r="D367" i="7"/>
  <c r="D368" i="7"/>
  <c r="D369" i="7"/>
  <c r="D370" i="7"/>
  <c r="D371" i="7"/>
  <c r="D372" i="7"/>
  <c r="D373" i="7"/>
  <c r="D374" i="7"/>
  <c r="D375" i="7"/>
  <c r="D376" i="7"/>
  <c r="D377" i="7"/>
  <c r="D378" i="7"/>
  <c r="D379" i="7"/>
  <c r="D380" i="7"/>
  <c r="D381" i="7"/>
  <c r="D382" i="7"/>
  <c r="D383" i="7"/>
  <c r="D384" i="7"/>
  <c r="D385" i="7"/>
  <c r="D386" i="7"/>
  <c r="D387" i="7"/>
  <c r="D388" i="7"/>
  <c r="D389" i="7"/>
  <c r="D390" i="7"/>
  <c r="D391" i="7"/>
  <c r="D392" i="7"/>
  <c r="D393" i="7"/>
  <c r="D394" i="7"/>
  <c r="D395" i="7"/>
  <c r="D396" i="7"/>
  <c r="D397" i="7"/>
  <c r="D398" i="7"/>
  <c r="D399" i="7"/>
  <c r="D400" i="7"/>
  <c r="D401" i="7"/>
  <c r="D402" i="7"/>
  <c r="D403" i="7"/>
  <c r="D404" i="7"/>
  <c r="D405" i="7"/>
  <c r="D406" i="7"/>
  <c r="D407" i="7"/>
  <c r="D408" i="7"/>
  <c r="D409" i="7"/>
  <c r="D410" i="7"/>
  <c r="D411" i="7"/>
  <c r="D412" i="7"/>
  <c r="D413" i="7"/>
  <c r="D414" i="7"/>
  <c r="D415" i="7"/>
  <c r="D416" i="7"/>
  <c r="D417" i="7"/>
  <c r="D418" i="7"/>
  <c r="D419" i="7"/>
  <c r="D420" i="7"/>
  <c r="D421" i="7"/>
  <c r="D422" i="7"/>
  <c r="D423" i="7"/>
  <c r="D424" i="7"/>
  <c r="D425" i="7"/>
  <c r="D426" i="7"/>
  <c r="D427" i="7"/>
  <c r="D428" i="7"/>
  <c r="D429" i="7"/>
  <c r="D430" i="7"/>
  <c r="D431" i="7"/>
  <c r="D432" i="7"/>
  <c r="D433" i="7"/>
  <c r="D434" i="7"/>
  <c r="D435" i="7"/>
  <c r="D436" i="7"/>
  <c r="D437" i="7"/>
  <c r="D438" i="7"/>
  <c r="D439" i="7"/>
  <c r="D440" i="7"/>
  <c r="D441" i="7"/>
  <c r="D442" i="7"/>
  <c r="D443" i="7"/>
  <c r="D444" i="7"/>
  <c r="D445" i="7"/>
  <c r="D446" i="7"/>
  <c r="D447" i="7"/>
  <c r="D448" i="7"/>
  <c r="D449" i="7"/>
  <c r="D450" i="7"/>
  <c r="D451" i="7"/>
  <c r="D452" i="7"/>
  <c r="D453" i="7"/>
  <c r="D454" i="7"/>
  <c r="D455" i="7"/>
  <c r="D456" i="7"/>
  <c r="D457" i="7"/>
  <c r="D458" i="7"/>
  <c r="D459" i="7"/>
  <c r="D460" i="7"/>
  <c r="D461" i="7"/>
  <c r="D462" i="7"/>
  <c r="D463" i="7"/>
  <c r="D464" i="7"/>
  <c r="D465" i="7"/>
  <c r="D466" i="7"/>
  <c r="D467" i="7"/>
  <c r="D468" i="7"/>
  <c r="D469" i="7"/>
  <c r="D470" i="7"/>
  <c r="D471" i="7"/>
  <c r="D472" i="7"/>
  <c r="D473" i="7"/>
  <c r="D474" i="7"/>
  <c r="D475" i="7"/>
  <c r="D476" i="7"/>
  <c r="D477" i="7"/>
  <c r="D478" i="7"/>
  <c r="D479" i="7"/>
  <c r="D480" i="7"/>
  <c r="D481" i="7"/>
  <c r="D482" i="7"/>
  <c r="D483" i="7"/>
  <c r="D484" i="7"/>
  <c r="D485" i="7"/>
  <c r="D486" i="7"/>
  <c r="D487" i="7"/>
  <c r="D488" i="7"/>
  <c r="D489" i="7"/>
  <c r="D490" i="7"/>
  <c r="D491" i="7"/>
  <c r="D492" i="7"/>
  <c r="D493" i="7"/>
  <c r="D494" i="7"/>
  <c r="D495" i="7"/>
  <c r="D496" i="7"/>
  <c r="D497" i="7"/>
  <c r="D498" i="7"/>
  <c r="D499" i="7"/>
  <c r="D500" i="7"/>
  <c r="D501" i="7"/>
  <c r="D502" i="7"/>
  <c r="D503" i="7"/>
  <c r="D504" i="7"/>
  <c r="D505" i="7"/>
  <c r="D506" i="7"/>
  <c r="D507" i="7"/>
  <c r="D508" i="7"/>
  <c r="D509" i="7"/>
  <c r="D510" i="7"/>
  <c r="D511" i="7"/>
  <c r="D512" i="7"/>
  <c r="D513" i="7"/>
  <c r="D514" i="7"/>
  <c r="D515" i="7"/>
  <c r="D516" i="7"/>
  <c r="D517" i="7"/>
  <c r="D518" i="7"/>
  <c r="D519" i="7"/>
  <c r="D520" i="7"/>
  <c r="D521" i="7"/>
  <c r="D522" i="7"/>
  <c r="D523" i="7"/>
  <c r="D524" i="7"/>
  <c r="D525" i="7"/>
  <c r="D526" i="7"/>
  <c r="D527" i="7"/>
  <c r="D528" i="7"/>
  <c r="D529" i="7"/>
  <c r="D530" i="7"/>
  <c r="D531" i="7"/>
  <c r="D532" i="7"/>
  <c r="D533" i="7"/>
  <c r="D534" i="7"/>
  <c r="D535" i="7"/>
  <c r="D536" i="7"/>
  <c r="D537" i="7"/>
  <c r="D538" i="7"/>
  <c r="D539" i="7"/>
  <c r="D540" i="7"/>
  <c r="D541" i="7"/>
  <c r="D542" i="7"/>
  <c r="D543" i="7"/>
  <c r="D544" i="7"/>
  <c r="D545" i="7"/>
  <c r="D546" i="7"/>
  <c r="D547" i="7"/>
  <c r="D548" i="7"/>
  <c r="D549" i="7"/>
  <c r="D550" i="7"/>
  <c r="D551" i="7"/>
  <c r="D552" i="7"/>
  <c r="D553" i="7"/>
  <c r="D554" i="7"/>
  <c r="D555" i="7"/>
  <c r="D556" i="7"/>
  <c r="D557" i="7"/>
  <c r="D558" i="7"/>
  <c r="D559" i="7"/>
  <c r="D560" i="7"/>
  <c r="D561" i="7"/>
  <c r="D562" i="7"/>
  <c r="D563" i="7"/>
  <c r="D564" i="7"/>
  <c r="D565" i="7"/>
  <c r="D566" i="7"/>
  <c r="D567" i="7"/>
  <c r="D568" i="7"/>
  <c r="D569" i="7"/>
  <c r="D570" i="7"/>
  <c r="D571" i="7"/>
  <c r="D572" i="7"/>
  <c r="D573" i="7"/>
  <c r="D574" i="7"/>
  <c r="D575" i="7"/>
  <c r="D576" i="7"/>
  <c r="D577" i="7"/>
  <c r="D578" i="7"/>
  <c r="D579" i="7"/>
  <c r="D580" i="7"/>
  <c r="D581" i="7"/>
  <c r="D582" i="7"/>
  <c r="D583" i="7"/>
  <c r="D584" i="7"/>
  <c r="D585" i="7"/>
  <c r="D586" i="7"/>
  <c r="D587" i="7"/>
  <c r="D588" i="7"/>
  <c r="D589" i="7"/>
  <c r="D590" i="7"/>
  <c r="D591" i="7"/>
  <c r="D592" i="7"/>
  <c r="D593" i="7"/>
  <c r="D594" i="7"/>
  <c r="D595" i="7"/>
  <c r="D596" i="7"/>
  <c r="D597" i="7"/>
  <c r="D598" i="7"/>
  <c r="D599" i="7"/>
  <c r="D600" i="7"/>
  <c r="D601" i="7"/>
  <c r="D602" i="7"/>
  <c r="D603" i="7"/>
  <c r="D604" i="7"/>
  <c r="D605" i="7"/>
  <c r="D606" i="7"/>
  <c r="D607" i="7"/>
  <c r="D608" i="7"/>
  <c r="D609" i="7"/>
  <c r="D610" i="7"/>
  <c r="D611" i="7"/>
  <c r="D612" i="7"/>
  <c r="D613" i="7"/>
  <c r="D614" i="7"/>
  <c r="D615" i="7"/>
  <c r="D616" i="7"/>
  <c r="D617" i="7"/>
  <c r="D618" i="7"/>
  <c r="D619" i="7"/>
  <c r="D620" i="7"/>
  <c r="D621" i="7"/>
  <c r="D622" i="7"/>
  <c r="D623" i="7"/>
  <c r="D624" i="7"/>
  <c r="D625" i="7"/>
  <c r="D626" i="7"/>
  <c r="D627" i="7"/>
  <c r="D628" i="7"/>
  <c r="D629" i="7"/>
  <c r="D630" i="7"/>
  <c r="D631" i="7"/>
  <c r="D632" i="7"/>
  <c r="D633" i="7"/>
  <c r="D634" i="7"/>
  <c r="D635" i="7"/>
  <c r="D636" i="7"/>
  <c r="D637" i="7"/>
  <c r="D638" i="7"/>
  <c r="D639" i="7"/>
  <c r="D640" i="7"/>
  <c r="D641" i="7"/>
  <c r="D642" i="7"/>
  <c r="D643" i="7"/>
  <c r="D644" i="7"/>
  <c r="D645" i="7"/>
  <c r="D646" i="7"/>
  <c r="D647" i="7"/>
  <c r="D648" i="7"/>
  <c r="D649" i="7"/>
  <c r="D650" i="7"/>
  <c r="D651" i="7"/>
  <c r="D652" i="7"/>
  <c r="D653" i="7"/>
  <c r="D654" i="7"/>
  <c r="D655" i="7"/>
  <c r="D656" i="7"/>
  <c r="D657" i="7"/>
  <c r="D658" i="7"/>
  <c r="D659" i="7"/>
  <c r="D660" i="7"/>
  <c r="D661" i="7"/>
  <c r="D662" i="7"/>
  <c r="D663" i="7"/>
  <c r="D664" i="7"/>
  <c r="D665" i="7"/>
  <c r="D666" i="7"/>
  <c r="D667" i="7"/>
  <c r="D668" i="7"/>
  <c r="D669" i="7"/>
  <c r="D670" i="7"/>
  <c r="D671" i="7"/>
  <c r="D672" i="7"/>
  <c r="D673" i="7"/>
  <c r="D674" i="7"/>
  <c r="D675" i="7"/>
  <c r="D676" i="7"/>
  <c r="D677" i="7"/>
  <c r="D678" i="7"/>
  <c r="D679" i="7"/>
  <c r="D680" i="7"/>
  <c r="D681" i="7"/>
  <c r="D682" i="7"/>
  <c r="D683" i="7"/>
  <c r="D684" i="7"/>
  <c r="D685" i="7"/>
  <c r="D686" i="7"/>
  <c r="D687" i="7"/>
  <c r="D688" i="7"/>
  <c r="D689" i="7"/>
  <c r="D690" i="7"/>
  <c r="D691" i="7"/>
  <c r="D692" i="7"/>
  <c r="D693" i="7"/>
  <c r="D694" i="7"/>
  <c r="D695" i="7"/>
  <c r="D696" i="7"/>
  <c r="D697" i="7"/>
  <c r="D698" i="7"/>
  <c r="D699" i="7"/>
  <c r="D700" i="7"/>
  <c r="D701" i="7"/>
  <c r="D702" i="7"/>
  <c r="D703" i="7"/>
  <c r="D704" i="7"/>
  <c r="D705" i="7"/>
  <c r="D706" i="7"/>
  <c r="D707" i="7"/>
  <c r="D708" i="7"/>
  <c r="D709" i="7"/>
  <c r="D710" i="7"/>
  <c r="D711" i="7"/>
  <c r="D712" i="7"/>
  <c r="D713" i="7"/>
  <c r="D714" i="7"/>
  <c r="D715" i="7"/>
  <c r="D716" i="7"/>
  <c r="D717" i="7"/>
  <c r="D718" i="7"/>
  <c r="D719" i="7"/>
  <c r="D720" i="7"/>
  <c r="D721" i="7"/>
  <c r="D722" i="7"/>
  <c r="D723" i="7"/>
  <c r="D724" i="7"/>
  <c r="D725" i="7"/>
  <c r="D726" i="7"/>
  <c r="D727" i="7"/>
  <c r="D728" i="7"/>
  <c r="D729" i="7"/>
  <c r="D730" i="7"/>
  <c r="D731" i="7"/>
  <c r="D732" i="7"/>
  <c r="D733" i="7"/>
  <c r="D734" i="7"/>
  <c r="D735" i="7"/>
  <c r="D736" i="7"/>
  <c r="D737" i="7"/>
  <c r="D738" i="7"/>
  <c r="D739" i="7"/>
  <c r="D740" i="7"/>
  <c r="D741" i="7"/>
  <c r="D742" i="7"/>
  <c r="D743" i="7"/>
  <c r="D744" i="7"/>
  <c r="D745" i="7"/>
  <c r="D746" i="7"/>
  <c r="D747" i="7"/>
  <c r="D748" i="7"/>
  <c r="D749" i="7"/>
  <c r="D750" i="7"/>
  <c r="D751" i="7"/>
  <c r="D752" i="7"/>
  <c r="D753" i="7"/>
  <c r="D754" i="7"/>
  <c r="D755" i="7"/>
  <c r="D756" i="7"/>
  <c r="D757" i="7"/>
  <c r="D758" i="7"/>
  <c r="D759" i="7"/>
  <c r="D760" i="7"/>
  <c r="D761" i="7"/>
  <c r="D762" i="7"/>
  <c r="D763" i="7"/>
  <c r="D764" i="7"/>
  <c r="D765" i="7"/>
  <c r="D766" i="7"/>
  <c r="D767" i="7"/>
  <c r="D768" i="7"/>
  <c r="D769" i="7"/>
  <c r="D770" i="7"/>
  <c r="D771" i="7"/>
  <c r="D772" i="7"/>
  <c r="D773" i="7"/>
  <c r="D774" i="7"/>
  <c r="D775" i="7"/>
  <c r="D776" i="7"/>
  <c r="D777" i="7"/>
  <c r="D778" i="7"/>
  <c r="D779" i="7"/>
  <c r="D780" i="7"/>
  <c r="D781" i="7"/>
  <c r="D782" i="7"/>
  <c r="D783" i="7"/>
  <c r="D784" i="7"/>
  <c r="D785" i="7"/>
  <c r="D786" i="7"/>
  <c r="D787" i="7"/>
  <c r="D788" i="7"/>
  <c r="D789" i="7"/>
  <c r="D790" i="7"/>
  <c r="D791" i="7"/>
  <c r="D792" i="7"/>
  <c r="D793" i="7"/>
  <c r="D794" i="7"/>
  <c r="D795" i="7"/>
  <c r="D796" i="7"/>
  <c r="D2" i="7"/>
  <c r="F480" i="4"/>
  <c r="N266" i="4"/>
  <c r="H4" i="5"/>
  <c r="I4" i="5" s="1"/>
  <c r="H5" i="5"/>
  <c r="I5" i="5" s="1"/>
  <c r="H6" i="5"/>
  <c r="I6" i="5" s="1"/>
  <c r="H7" i="5"/>
  <c r="I7" i="5" s="1"/>
  <c r="H8" i="5"/>
  <c r="I8" i="5" s="1"/>
  <c r="H9" i="5"/>
  <c r="I9" i="5" s="1"/>
  <c r="H10" i="5"/>
  <c r="I10" i="5" s="1"/>
  <c r="H11" i="5"/>
  <c r="I11" i="5" s="1"/>
  <c r="H12" i="5"/>
  <c r="I12" i="5" s="1"/>
  <c r="H13" i="5"/>
  <c r="I13" i="5" s="1"/>
  <c r="H14" i="5"/>
  <c r="I14" i="5" s="1"/>
  <c r="H15" i="5"/>
  <c r="I15" i="5" s="1"/>
  <c r="H16" i="5"/>
  <c r="I16" i="5" s="1"/>
  <c r="H17" i="5"/>
  <c r="I17" i="5" s="1"/>
  <c r="H18" i="5"/>
  <c r="I18" i="5" s="1"/>
  <c r="H19" i="5"/>
  <c r="I19" i="5" s="1"/>
  <c r="H20" i="5"/>
  <c r="I20" i="5" s="1"/>
  <c r="H21" i="5"/>
  <c r="I21" i="5" s="1"/>
  <c r="H22" i="5"/>
  <c r="I22" i="5" s="1"/>
  <c r="H23" i="5"/>
  <c r="I23" i="5" s="1"/>
  <c r="H24" i="5"/>
  <c r="I24" i="5" s="1"/>
  <c r="H25" i="5"/>
  <c r="I25" i="5" s="1"/>
  <c r="H26" i="5"/>
  <c r="I26" i="5" s="1"/>
  <c r="H27" i="5"/>
  <c r="I27" i="5" s="1"/>
  <c r="H28" i="5"/>
  <c r="I28" i="5" s="1"/>
  <c r="H29" i="5"/>
  <c r="I29" i="5" s="1"/>
  <c r="H30" i="5"/>
  <c r="I30" i="5" s="1"/>
  <c r="H31" i="5"/>
  <c r="I31" i="5" s="1"/>
  <c r="H32" i="5"/>
  <c r="I32" i="5" s="1"/>
  <c r="H33" i="5"/>
  <c r="I33" i="5" s="1"/>
  <c r="H34" i="5"/>
  <c r="I34" i="5" s="1"/>
  <c r="H35" i="5"/>
  <c r="I35" i="5" s="1"/>
  <c r="H36" i="5"/>
  <c r="I36" i="5" s="1"/>
  <c r="H37" i="5"/>
  <c r="I37" i="5" s="1"/>
  <c r="H38" i="5"/>
  <c r="I38" i="5" s="1"/>
  <c r="H39" i="5"/>
  <c r="I39" i="5" s="1"/>
  <c r="H40" i="5"/>
  <c r="I40" i="5" s="1"/>
  <c r="H41" i="5"/>
  <c r="I41" i="5" s="1"/>
  <c r="H42" i="5"/>
  <c r="I42" i="5" s="1"/>
  <c r="H43" i="5"/>
  <c r="I43" i="5" s="1"/>
  <c r="H44" i="5"/>
  <c r="I44" i="5" s="1"/>
  <c r="H45" i="5"/>
  <c r="I45" i="5" s="1"/>
  <c r="H46" i="5"/>
  <c r="I46" i="5" s="1"/>
  <c r="H47" i="5"/>
  <c r="I47" i="5" s="1"/>
  <c r="H48" i="5"/>
  <c r="I48" i="5" s="1"/>
  <c r="H49" i="5"/>
  <c r="I49" i="5" s="1"/>
  <c r="H50" i="5"/>
  <c r="I50" i="5" s="1"/>
  <c r="H51" i="5"/>
  <c r="I51" i="5" s="1"/>
  <c r="H52" i="5"/>
  <c r="I52" i="5" s="1"/>
  <c r="H53" i="5"/>
  <c r="I53" i="5" s="1"/>
  <c r="H54" i="5"/>
  <c r="I54" i="5" s="1"/>
  <c r="H55" i="5"/>
  <c r="I55" i="5" s="1"/>
  <c r="H56" i="5"/>
  <c r="I56" i="5" s="1"/>
  <c r="H57" i="5"/>
  <c r="I57" i="5" s="1"/>
  <c r="H58" i="5"/>
  <c r="I58" i="5" s="1"/>
  <c r="H59" i="5"/>
  <c r="I59" i="5" s="1"/>
  <c r="H60" i="5"/>
  <c r="I60" i="5" s="1"/>
  <c r="H61" i="5"/>
  <c r="I61" i="5" s="1"/>
  <c r="H62" i="5"/>
  <c r="I62" i="5" s="1"/>
  <c r="H63" i="5"/>
  <c r="I63" i="5" s="1"/>
  <c r="H64" i="5"/>
  <c r="I64" i="5" s="1"/>
  <c r="H65" i="5"/>
  <c r="I65" i="5" s="1"/>
  <c r="H66" i="5"/>
  <c r="I66" i="5" s="1"/>
  <c r="H67" i="5"/>
  <c r="I67" i="5" s="1"/>
  <c r="H68" i="5"/>
  <c r="I68" i="5" s="1"/>
  <c r="H69" i="5"/>
  <c r="I69" i="5" s="1"/>
  <c r="H70" i="5"/>
  <c r="I70" i="5" s="1"/>
  <c r="H71" i="5"/>
  <c r="I71" i="5" s="1"/>
  <c r="H72" i="5"/>
  <c r="I72" i="5" s="1"/>
  <c r="H73" i="5"/>
  <c r="I73" i="5" s="1"/>
  <c r="H74" i="5"/>
  <c r="I74" i="5" s="1"/>
  <c r="H75" i="5"/>
  <c r="I75" i="5" s="1"/>
  <c r="H76" i="5"/>
  <c r="I76" i="5" s="1"/>
  <c r="H77" i="5"/>
  <c r="I77" i="5" s="1"/>
  <c r="H78" i="5"/>
  <c r="I78" i="5" s="1"/>
  <c r="H79" i="5"/>
  <c r="I79" i="5" s="1"/>
  <c r="H80" i="5"/>
  <c r="I80" i="5" s="1"/>
  <c r="H81" i="5"/>
  <c r="I81" i="5" s="1"/>
  <c r="H82" i="5"/>
  <c r="I82" i="5" s="1"/>
  <c r="H83" i="5"/>
  <c r="I83" i="5" s="1"/>
  <c r="H84" i="5"/>
  <c r="I84" i="5" s="1"/>
  <c r="H85" i="5"/>
  <c r="I85" i="5" s="1"/>
  <c r="H86" i="5"/>
  <c r="I86" i="5" s="1"/>
  <c r="H87" i="5"/>
  <c r="I87" i="5" s="1"/>
  <c r="H88" i="5"/>
  <c r="I88" i="5" s="1"/>
  <c r="H89" i="5"/>
  <c r="I89" i="5" s="1"/>
  <c r="H90" i="5"/>
  <c r="I90" i="5" s="1"/>
  <c r="H91" i="5"/>
  <c r="I91" i="5" s="1"/>
  <c r="H92" i="5"/>
  <c r="I92" i="5" s="1"/>
  <c r="H93" i="5"/>
  <c r="I93" i="5" s="1"/>
  <c r="H94" i="5"/>
  <c r="I94" i="5" s="1"/>
  <c r="H95" i="5"/>
  <c r="I95" i="5" s="1"/>
  <c r="H96" i="5"/>
  <c r="I96" i="5" s="1"/>
  <c r="H97" i="5"/>
  <c r="I97" i="5" s="1"/>
  <c r="H98" i="5"/>
  <c r="I98" i="5" s="1"/>
  <c r="H99" i="5"/>
  <c r="I99" i="5" s="1"/>
  <c r="H100" i="5"/>
  <c r="I100" i="5" s="1"/>
  <c r="H101" i="5"/>
  <c r="I101" i="5" s="1"/>
  <c r="H102" i="5"/>
  <c r="I102" i="5" s="1"/>
  <c r="H103" i="5"/>
  <c r="I103" i="5" s="1"/>
  <c r="H104" i="5"/>
  <c r="I104" i="5" s="1"/>
  <c r="H105" i="5"/>
  <c r="I105" i="5" s="1"/>
  <c r="H106" i="5"/>
  <c r="I106" i="5" s="1"/>
  <c r="H107" i="5"/>
  <c r="I107" i="5" s="1"/>
  <c r="H108" i="5"/>
  <c r="I108" i="5" s="1"/>
  <c r="H109" i="5"/>
  <c r="I109" i="5" s="1"/>
  <c r="H110" i="5"/>
  <c r="I110" i="5" s="1"/>
  <c r="H111" i="5"/>
  <c r="I111" i="5" s="1"/>
  <c r="H112" i="5"/>
  <c r="I112" i="5" s="1"/>
  <c r="H113" i="5"/>
  <c r="I113" i="5" s="1"/>
  <c r="H114" i="5"/>
  <c r="I114" i="5" s="1"/>
  <c r="H115" i="5"/>
  <c r="I115" i="5" s="1"/>
  <c r="H116" i="5"/>
  <c r="I116" i="5" s="1"/>
  <c r="H117" i="5"/>
  <c r="I117" i="5" s="1"/>
  <c r="H118" i="5"/>
  <c r="I118" i="5" s="1"/>
  <c r="H119" i="5"/>
  <c r="I119" i="5" s="1"/>
  <c r="H120" i="5"/>
  <c r="I120" i="5" s="1"/>
  <c r="H121" i="5"/>
  <c r="I121" i="5" s="1"/>
  <c r="H122" i="5"/>
  <c r="I122" i="5" s="1"/>
  <c r="H123" i="5"/>
  <c r="I123" i="5" s="1"/>
  <c r="H124" i="5"/>
  <c r="I124" i="5" s="1"/>
  <c r="H125" i="5"/>
  <c r="I125" i="5" s="1"/>
  <c r="H126" i="5"/>
  <c r="I126" i="5" s="1"/>
  <c r="H127" i="5"/>
  <c r="I127" i="5" s="1"/>
  <c r="H128" i="5"/>
  <c r="I128" i="5" s="1"/>
  <c r="H129" i="5"/>
  <c r="I129" i="5" s="1"/>
  <c r="H130" i="5"/>
  <c r="I130" i="5" s="1"/>
  <c r="H131" i="5"/>
  <c r="I131" i="5" s="1"/>
  <c r="H132" i="5"/>
  <c r="I132" i="5" s="1"/>
  <c r="H133" i="5"/>
  <c r="I133" i="5" s="1"/>
  <c r="H134" i="5"/>
  <c r="I134" i="5" s="1"/>
  <c r="H135" i="5"/>
  <c r="I135" i="5" s="1"/>
  <c r="H136" i="5"/>
  <c r="I136" i="5" s="1"/>
  <c r="H137" i="5"/>
  <c r="I137" i="5" s="1"/>
  <c r="H138" i="5"/>
  <c r="I138" i="5" s="1"/>
  <c r="H139" i="5"/>
  <c r="I139" i="5" s="1"/>
  <c r="H140" i="5"/>
  <c r="I140" i="5" s="1"/>
  <c r="H141" i="5"/>
  <c r="I141" i="5" s="1"/>
  <c r="H142" i="5"/>
  <c r="I142" i="5" s="1"/>
  <c r="H143" i="5"/>
  <c r="I143" i="5" s="1"/>
  <c r="H144" i="5"/>
  <c r="I144" i="5" s="1"/>
  <c r="H145" i="5"/>
  <c r="I145" i="5" s="1"/>
  <c r="H146" i="5"/>
  <c r="I146" i="5" s="1"/>
  <c r="H147" i="5"/>
  <c r="I147" i="5" s="1"/>
  <c r="H148" i="5"/>
  <c r="I148" i="5" s="1"/>
  <c r="H149" i="5"/>
  <c r="I149" i="5" s="1"/>
  <c r="H150" i="5"/>
  <c r="I150" i="5" s="1"/>
  <c r="H151" i="5"/>
  <c r="I151" i="5" s="1"/>
  <c r="H152" i="5"/>
  <c r="I152" i="5" s="1"/>
  <c r="H153" i="5"/>
  <c r="I153" i="5" s="1"/>
  <c r="H154" i="5"/>
  <c r="I154" i="5" s="1"/>
  <c r="H155" i="5"/>
  <c r="I155" i="5" s="1"/>
  <c r="H156" i="5"/>
  <c r="I156" i="5" s="1"/>
  <c r="H157" i="5"/>
  <c r="I157" i="5" s="1"/>
  <c r="H158" i="5"/>
  <c r="I158" i="5" s="1"/>
  <c r="H159" i="5"/>
  <c r="I159" i="5" s="1"/>
  <c r="H160" i="5"/>
  <c r="I160" i="5" s="1"/>
  <c r="H161" i="5"/>
  <c r="I161" i="5" s="1"/>
  <c r="H162" i="5"/>
  <c r="I162" i="5" s="1"/>
  <c r="H163" i="5"/>
  <c r="I163" i="5" s="1"/>
  <c r="H164" i="5"/>
  <c r="I164" i="5" s="1"/>
  <c r="H165" i="5"/>
  <c r="I165" i="5" s="1"/>
  <c r="H166" i="5"/>
  <c r="I166" i="5" s="1"/>
  <c r="H167" i="5"/>
  <c r="I167" i="5" s="1"/>
  <c r="H168" i="5"/>
  <c r="I168" i="5" s="1"/>
  <c r="H169" i="5"/>
  <c r="I169" i="5" s="1"/>
  <c r="H170" i="5"/>
  <c r="I170" i="5" s="1"/>
  <c r="H171" i="5"/>
  <c r="I171" i="5" s="1"/>
  <c r="H172" i="5"/>
  <c r="I172" i="5" s="1"/>
  <c r="H173" i="5"/>
  <c r="I173" i="5" s="1"/>
  <c r="H174" i="5"/>
  <c r="I174" i="5" s="1"/>
  <c r="H175" i="5"/>
  <c r="I175" i="5" s="1"/>
  <c r="H176" i="5"/>
  <c r="I176" i="5" s="1"/>
  <c r="H177" i="5"/>
  <c r="I177" i="5" s="1"/>
  <c r="H178" i="5"/>
  <c r="I178" i="5" s="1"/>
  <c r="H179" i="5"/>
  <c r="I179" i="5" s="1"/>
  <c r="H180" i="5"/>
  <c r="I180" i="5" s="1"/>
  <c r="H181" i="5"/>
  <c r="I181" i="5" s="1"/>
  <c r="H182" i="5"/>
  <c r="I182" i="5" s="1"/>
  <c r="H183" i="5"/>
  <c r="I183" i="5" s="1"/>
  <c r="H184" i="5"/>
  <c r="I184" i="5" s="1"/>
  <c r="H185" i="5"/>
  <c r="I185" i="5" s="1"/>
  <c r="H186" i="5"/>
  <c r="I186" i="5" s="1"/>
  <c r="H187" i="5"/>
  <c r="I187" i="5" s="1"/>
  <c r="H188" i="5"/>
  <c r="I188" i="5" s="1"/>
  <c r="H189" i="5"/>
  <c r="I189" i="5" s="1"/>
  <c r="H190" i="5"/>
  <c r="I190" i="5" s="1"/>
  <c r="H191" i="5"/>
  <c r="I191" i="5" s="1"/>
  <c r="H192" i="5"/>
  <c r="I192" i="5" s="1"/>
  <c r="H193" i="5"/>
  <c r="I193" i="5" s="1"/>
  <c r="H194" i="5"/>
  <c r="I194" i="5" s="1"/>
  <c r="H195" i="5"/>
  <c r="I195" i="5" s="1"/>
  <c r="H196" i="5"/>
  <c r="I196" i="5" s="1"/>
  <c r="H197" i="5"/>
  <c r="I197" i="5" s="1"/>
  <c r="H198" i="5"/>
  <c r="I198" i="5" s="1"/>
  <c r="H199" i="5"/>
  <c r="I199" i="5" s="1"/>
  <c r="H200" i="5"/>
  <c r="I200" i="5" s="1"/>
  <c r="H201" i="5"/>
  <c r="I201" i="5" s="1"/>
  <c r="H202" i="5"/>
  <c r="I202" i="5" s="1"/>
  <c r="H203" i="5"/>
  <c r="I203" i="5" s="1"/>
  <c r="H204" i="5"/>
  <c r="I204" i="5" s="1"/>
  <c r="H205" i="5"/>
  <c r="I205" i="5" s="1"/>
  <c r="H206" i="5"/>
  <c r="I206" i="5" s="1"/>
  <c r="H207" i="5"/>
  <c r="I207" i="5" s="1"/>
  <c r="H208" i="5"/>
  <c r="I208" i="5" s="1"/>
  <c r="H209" i="5"/>
  <c r="I209" i="5" s="1"/>
  <c r="H210" i="5"/>
  <c r="I210" i="5" s="1"/>
  <c r="H211" i="5"/>
  <c r="I211" i="5" s="1"/>
  <c r="H212" i="5"/>
  <c r="I212" i="5" s="1"/>
  <c r="H213" i="5"/>
  <c r="I213" i="5" s="1"/>
  <c r="H214" i="5"/>
  <c r="I214" i="5" s="1"/>
  <c r="H215" i="5"/>
  <c r="I215" i="5" s="1"/>
  <c r="H216" i="5"/>
  <c r="I216" i="5" s="1"/>
  <c r="H217" i="5"/>
  <c r="I217" i="5" s="1"/>
  <c r="H218" i="5"/>
  <c r="I218" i="5" s="1"/>
  <c r="H219" i="5"/>
  <c r="I219" i="5" s="1"/>
  <c r="H220" i="5"/>
  <c r="I220" i="5" s="1"/>
  <c r="H221" i="5"/>
  <c r="I221" i="5" s="1"/>
  <c r="H222" i="5"/>
  <c r="I222" i="5" s="1"/>
  <c r="H223" i="5"/>
  <c r="I223" i="5" s="1"/>
  <c r="H224" i="5"/>
  <c r="I224" i="5" s="1"/>
  <c r="H225" i="5"/>
  <c r="I225" i="5" s="1"/>
  <c r="H226" i="5"/>
  <c r="I226" i="5" s="1"/>
  <c r="H227" i="5"/>
  <c r="I227" i="5" s="1"/>
  <c r="H228" i="5"/>
  <c r="I228" i="5" s="1"/>
  <c r="H229" i="5"/>
  <c r="I229" i="5" s="1"/>
  <c r="H230" i="5"/>
  <c r="I230" i="5" s="1"/>
  <c r="H231" i="5"/>
  <c r="I231" i="5" s="1"/>
  <c r="H232" i="5"/>
  <c r="I232" i="5" s="1"/>
  <c r="H233" i="5"/>
  <c r="I233" i="5" s="1"/>
  <c r="H234" i="5"/>
  <c r="I234" i="5" s="1"/>
  <c r="H235" i="5"/>
  <c r="I235" i="5" s="1"/>
  <c r="H236" i="5"/>
  <c r="I236" i="5" s="1"/>
  <c r="H237" i="5"/>
  <c r="I237" i="5" s="1"/>
  <c r="H238" i="5"/>
  <c r="I238" i="5" s="1"/>
  <c r="H239" i="5"/>
  <c r="I239" i="5" s="1"/>
  <c r="H240" i="5"/>
  <c r="I240" i="5" s="1"/>
  <c r="H241" i="5"/>
  <c r="I241" i="5" s="1"/>
  <c r="H242" i="5"/>
  <c r="I242" i="5" s="1"/>
  <c r="H243" i="5"/>
  <c r="I243" i="5" s="1"/>
  <c r="H244" i="5"/>
  <c r="I244" i="5" s="1"/>
  <c r="H245" i="5"/>
  <c r="I245" i="5" s="1"/>
  <c r="H246" i="5"/>
  <c r="I246" i="5" s="1"/>
  <c r="H247" i="5"/>
  <c r="I247" i="5" s="1"/>
  <c r="H248" i="5"/>
  <c r="I248" i="5" s="1"/>
  <c r="H249" i="5"/>
  <c r="I249" i="5" s="1"/>
  <c r="H250" i="5"/>
  <c r="I250" i="5" s="1"/>
  <c r="H251" i="5"/>
  <c r="I251" i="5" s="1"/>
  <c r="H252" i="5"/>
  <c r="I252" i="5" s="1"/>
  <c r="H253" i="5"/>
  <c r="I253" i="5" s="1"/>
  <c r="H254" i="5"/>
  <c r="I254" i="5" s="1"/>
  <c r="H255" i="5"/>
  <c r="I255" i="5" s="1"/>
  <c r="H256" i="5"/>
  <c r="I256" i="5" s="1"/>
  <c r="H257" i="5"/>
  <c r="I257" i="5" s="1"/>
  <c r="H258" i="5"/>
  <c r="I258" i="5" s="1"/>
  <c r="H259" i="5"/>
  <c r="I259" i="5" s="1"/>
  <c r="H260" i="5"/>
  <c r="I260" i="5" s="1"/>
  <c r="H261" i="5"/>
  <c r="I261" i="5" s="1"/>
  <c r="H262" i="5"/>
  <c r="I262" i="5" s="1"/>
  <c r="H263" i="5"/>
  <c r="I263" i="5" s="1"/>
  <c r="H264" i="5"/>
  <c r="I264" i="5" s="1"/>
  <c r="H265" i="5"/>
  <c r="I265" i="5" s="1"/>
  <c r="H266" i="5"/>
  <c r="I266" i="5" s="1"/>
  <c r="H267" i="5"/>
  <c r="I267" i="5" s="1"/>
  <c r="H268" i="5"/>
  <c r="I268" i="5" s="1"/>
  <c r="H269" i="5"/>
  <c r="I269" i="5" s="1"/>
  <c r="H270" i="5"/>
  <c r="I270" i="5" s="1"/>
  <c r="H271" i="5"/>
  <c r="I271" i="5" s="1"/>
  <c r="H272" i="5"/>
  <c r="I272" i="5" s="1"/>
  <c r="H273" i="5"/>
  <c r="I273" i="5" s="1"/>
  <c r="H274" i="5"/>
  <c r="I274" i="5" s="1"/>
  <c r="H275" i="5"/>
  <c r="I275" i="5" s="1"/>
  <c r="H276" i="5"/>
  <c r="I276" i="5" s="1"/>
  <c r="H277" i="5"/>
  <c r="I277" i="5" s="1"/>
  <c r="H278" i="5"/>
  <c r="I278" i="5" s="1"/>
  <c r="H279" i="5"/>
  <c r="I279" i="5" s="1"/>
  <c r="H280" i="5"/>
  <c r="I280" i="5" s="1"/>
  <c r="H281" i="5"/>
  <c r="I281" i="5" s="1"/>
  <c r="H282" i="5"/>
  <c r="I282" i="5" s="1"/>
  <c r="H283" i="5"/>
  <c r="I283" i="5" s="1"/>
  <c r="H284" i="5"/>
  <c r="I284" i="5" s="1"/>
  <c r="H285" i="5"/>
  <c r="I285" i="5" s="1"/>
  <c r="H286" i="5"/>
  <c r="I286" i="5" s="1"/>
  <c r="H287" i="5"/>
  <c r="I287" i="5" s="1"/>
  <c r="H288" i="5"/>
  <c r="I288" i="5" s="1"/>
  <c r="H289" i="5"/>
  <c r="I289" i="5" s="1"/>
  <c r="H290" i="5"/>
  <c r="I290" i="5" s="1"/>
  <c r="H291" i="5"/>
  <c r="I291" i="5" s="1"/>
  <c r="H292" i="5"/>
  <c r="I292" i="5" s="1"/>
  <c r="H293" i="5"/>
  <c r="I293" i="5" s="1"/>
  <c r="H294" i="5"/>
  <c r="I294" i="5" s="1"/>
  <c r="H295" i="5"/>
  <c r="I295" i="5" s="1"/>
  <c r="H296" i="5"/>
  <c r="I296" i="5" s="1"/>
  <c r="H297" i="5"/>
  <c r="I297" i="5" s="1"/>
  <c r="H298" i="5"/>
  <c r="I298" i="5" s="1"/>
  <c r="H299" i="5"/>
  <c r="I299" i="5" s="1"/>
  <c r="H300" i="5"/>
  <c r="I300" i="5" s="1"/>
  <c r="H301" i="5"/>
  <c r="I301" i="5" s="1"/>
  <c r="H302" i="5"/>
  <c r="I302" i="5" s="1"/>
  <c r="H303" i="5"/>
  <c r="I303" i="5" s="1"/>
  <c r="H304" i="5"/>
  <c r="I304" i="5" s="1"/>
  <c r="H305" i="5"/>
  <c r="I305" i="5" s="1"/>
  <c r="H306" i="5"/>
  <c r="I306" i="5" s="1"/>
  <c r="H307" i="5"/>
  <c r="I307" i="5" s="1"/>
  <c r="H308" i="5"/>
  <c r="I308" i="5" s="1"/>
  <c r="H309" i="5"/>
  <c r="I309" i="5" s="1"/>
  <c r="H310" i="5"/>
  <c r="I310" i="5" s="1"/>
  <c r="H311" i="5"/>
  <c r="I311" i="5" s="1"/>
  <c r="H312" i="5"/>
  <c r="I312" i="5" s="1"/>
  <c r="H313" i="5"/>
  <c r="I313" i="5" s="1"/>
  <c r="H314" i="5"/>
  <c r="I314" i="5" s="1"/>
  <c r="H315" i="5"/>
  <c r="I315" i="5" s="1"/>
  <c r="H316" i="5"/>
  <c r="I316" i="5" s="1"/>
  <c r="H317" i="5"/>
  <c r="I317" i="5" s="1"/>
  <c r="H318" i="5"/>
  <c r="I318" i="5" s="1"/>
  <c r="H319" i="5"/>
  <c r="I319" i="5" s="1"/>
  <c r="H320" i="5"/>
  <c r="I320" i="5" s="1"/>
  <c r="H321" i="5"/>
  <c r="I321" i="5" s="1"/>
  <c r="H322" i="5"/>
  <c r="I322" i="5" s="1"/>
  <c r="H323" i="5"/>
  <c r="I323" i="5" s="1"/>
  <c r="H324" i="5"/>
  <c r="I324" i="5" s="1"/>
  <c r="H325" i="5"/>
  <c r="I325" i="5" s="1"/>
  <c r="H326" i="5"/>
  <c r="I326" i="5" s="1"/>
  <c r="H327" i="5"/>
  <c r="I327" i="5" s="1"/>
  <c r="H328" i="5"/>
  <c r="I328" i="5" s="1"/>
  <c r="H329" i="5"/>
  <c r="I329" i="5" s="1"/>
  <c r="H330" i="5"/>
  <c r="I330" i="5" s="1"/>
  <c r="H331" i="5"/>
  <c r="I331" i="5" s="1"/>
  <c r="H332" i="5"/>
  <c r="I332" i="5" s="1"/>
  <c r="H333" i="5"/>
  <c r="I333" i="5" s="1"/>
  <c r="H334" i="5"/>
  <c r="I334" i="5" s="1"/>
  <c r="H335" i="5"/>
  <c r="I335" i="5" s="1"/>
  <c r="H336" i="5"/>
  <c r="I336" i="5" s="1"/>
  <c r="H337" i="5"/>
  <c r="I337" i="5" s="1"/>
  <c r="H338" i="5"/>
  <c r="I338" i="5" s="1"/>
  <c r="H339" i="5"/>
  <c r="I339" i="5" s="1"/>
  <c r="H340" i="5"/>
  <c r="I340" i="5" s="1"/>
  <c r="H341" i="5"/>
  <c r="I341" i="5" s="1"/>
  <c r="H342" i="5"/>
  <c r="I342" i="5" s="1"/>
  <c r="H343" i="5"/>
  <c r="I343" i="5" s="1"/>
  <c r="H344" i="5"/>
  <c r="I344" i="5" s="1"/>
  <c r="H345" i="5"/>
  <c r="I345" i="5" s="1"/>
  <c r="H346" i="5"/>
  <c r="I346" i="5" s="1"/>
  <c r="H347" i="5"/>
  <c r="I347" i="5" s="1"/>
  <c r="H348" i="5"/>
  <c r="I348" i="5" s="1"/>
  <c r="H349" i="5"/>
  <c r="I349" i="5" s="1"/>
  <c r="H350" i="5"/>
  <c r="I350" i="5" s="1"/>
  <c r="H351" i="5"/>
  <c r="I351" i="5" s="1"/>
  <c r="H352" i="5"/>
  <c r="I352" i="5" s="1"/>
  <c r="H353" i="5"/>
  <c r="I353" i="5" s="1"/>
  <c r="H354" i="5"/>
  <c r="I354" i="5" s="1"/>
  <c r="H355" i="5"/>
  <c r="I355" i="5" s="1"/>
  <c r="H356" i="5"/>
  <c r="I356" i="5" s="1"/>
  <c r="H357" i="5"/>
  <c r="I357" i="5" s="1"/>
  <c r="H358" i="5"/>
  <c r="I358" i="5" s="1"/>
  <c r="H359" i="5"/>
  <c r="I359" i="5" s="1"/>
  <c r="H360" i="5"/>
  <c r="I360" i="5" s="1"/>
  <c r="H361" i="5"/>
  <c r="I361" i="5" s="1"/>
  <c r="H362" i="5"/>
  <c r="I362" i="5" s="1"/>
  <c r="H363" i="5"/>
  <c r="I363" i="5" s="1"/>
  <c r="H364" i="5"/>
  <c r="I364" i="5" s="1"/>
  <c r="H365" i="5"/>
  <c r="I365" i="5" s="1"/>
  <c r="H366" i="5"/>
  <c r="I366" i="5" s="1"/>
  <c r="H367" i="5"/>
  <c r="I367" i="5" s="1"/>
  <c r="H368" i="5"/>
  <c r="I368" i="5" s="1"/>
  <c r="H369" i="5"/>
  <c r="I369" i="5" s="1"/>
  <c r="H370" i="5"/>
  <c r="I370" i="5" s="1"/>
  <c r="H371" i="5"/>
  <c r="I371" i="5" s="1"/>
  <c r="H372" i="5"/>
  <c r="I372" i="5" s="1"/>
  <c r="H373" i="5"/>
  <c r="I373" i="5" s="1"/>
  <c r="H374" i="5"/>
  <c r="I374" i="5" s="1"/>
  <c r="H375" i="5"/>
  <c r="I375" i="5" s="1"/>
  <c r="H376" i="5"/>
  <c r="I376" i="5" s="1"/>
  <c r="H377" i="5"/>
  <c r="I377" i="5" s="1"/>
  <c r="H378" i="5"/>
  <c r="I378" i="5" s="1"/>
  <c r="H379" i="5"/>
  <c r="I379" i="5" s="1"/>
  <c r="H380" i="5"/>
  <c r="I380" i="5" s="1"/>
  <c r="H381" i="5"/>
  <c r="I381" i="5" s="1"/>
  <c r="H382" i="5"/>
  <c r="I382" i="5" s="1"/>
  <c r="H383" i="5"/>
  <c r="I383" i="5" s="1"/>
  <c r="H384" i="5"/>
  <c r="I384" i="5" s="1"/>
  <c r="H385" i="5"/>
  <c r="I385" i="5" s="1"/>
  <c r="H386" i="5"/>
  <c r="I386" i="5" s="1"/>
  <c r="H387" i="5"/>
  <c r="I387" i="5" s="1"/>
  <c r="H388" i="5"/>
  <c r="I388" i="5" s="1"/>
  <c r="H389" i="5"/>
  <c r="I389" i="5" s="1"/>
  <c r="H390" i="5"/>
  <c r="I390" i="5" s="1"/>
  <c r="H391" i="5"/>
  <c r="I391" i="5" s="1"/>
  <c r="H392" i="5"/>
  <c r="I392" i="5" s="1"/>
  <c r="H393" i="5"/>
  <c r="I393" i="5" s="1"/>
  <c r="H394" i="5"/>
  <c r="I394" i="5" s="1"/>
  <c r="H395" i="5"/>
  <c r="I395" i="5" s="1"/>
  <c r="H396" i="5"/>
  <c r="I396" i="5" s="1"/>
  <c r="H397" i="5"/>
  <c r="I397" i="5" s="1"/>
  <c r="H398" i="5"/>
  <c r="I398" i="5" s="1"/>
  <c r="H399" i="5"/>
  <c r="I399" i="5" s="1"/>
  <c r="H400" i="5"/>
  <c r="I400" i="5" s="1"/>
  <c r="H401" i="5"/>
  <c r="I401" i="5" s="1"/>
  <c r="H402" i="5"/>
  <c r="I402" i="5" s="1"/>
  <c r="H403" i="5"/>
  <c r="I403" i="5" s="1"/>
  <c r="H404" i="5"/>
  <c r="I404" i="5" s="1"/>
  <c r="H405" i="5"/>
  <c r="I405" i="5" s="1"/>
  <c r="H406" i="5"/>
  <c r="I406" i="5" s="1"/>
  <c r="H407" i="5"/>
  <c r="I407" i="5" s="1"/>
  <c r="H408" i="5"/>
  <c r="I408" i="5" s="1"/>
  <c r="H409" i="5"/>
  <c r="I409" i="5" s="1"/>
  <c r="H410" i="5"/>
  <c r="I410" i="5" s="1"/>
  <c r="H411" i="5"/>
  <c r="I411" i="5" s="1"/>
  <c r="H412" i="5"/>
  <c r="I412" i="5" s="1"/>
  <c r="H413" i="5"/>
  <c r="I413" i="5" s="1"/>
  <c r="H414" i="5"/>
  <c r="I414" i="5" s="1"/>
  <c r="H415" i="5"/>
  <c r="I415" i="5" s="1"/>
  <c r="H416" i="5"/>
  <c r="I416" i="5" s="1"/>
  <c r="H417" i="5"/>
  <c r="I417" i="5" s="1"/>
  <c r="H418" i="5"/>
  <c r="I418" i="5" s="1"/>
  <c r="H419" i="5"/>
  <c r="I419" i="5" s="1"/>
  <c r="H420" i="5"/>
  <c r="I420" i="5" s="1"/>
  <c r="H421" i="5"/>
  <c r="I421" i="5" s="1"/>
  <c r="H422" i="5"/>
  <c r="I422" i="5" s="1"/>
  <c r="H423" i="5"/>
  <c r="I423" i="5" s="1"/>
  <c r="H424" i="5"/>
  <c r="I424" i="5" s="1"/>
  <c r="H425" i="5"/>
  <c r="I425" i="5" s="1"/>
  <c r="H426" i="5"/>
  <c r="I426" i="5" s="1"/>
  <c r="H427" i="5"/>
  <c r="I427" i="5" s="1"/>
  <c r="H428" i="5"/>
  <c r="I428" i="5" s="1"/>
  <c r="H429" i="5"/>
  <c r="I429" i="5" s="1"/>
  <c r="H430" i="5"/>
  <c r="I430" i="5" s="1"/>
  <c r="H431" i="5"/>
  <c r="I431" i="5" s="1"/>
  <c r="H432" i="5"/>
  <c r="I432" i="5" s="1"/>
  <c r="H433" i="5"/>
  <c r="I433" i="5" s="1"/>
  <c r="H434" i="5"/>
  <c r="I434" i="5" s="1"/>
  <c r="H435" i="5"/>
  <c r="I435" i="5" s="1"/>
  <c r="H436" i="5"/>
  <c r="I436" i="5" s="1"/>
  <c r="H437" i="5"/>
  <c r="I437" i="5" s="1"/>
  <c r="H438" i="5"/>
  <c r="I438" i="5" s="1"/>
  <c r="H439" i="5"/>
  <c r="I439" i="5" s="1"/>
  <c r="H440" i="5"/>
  <c r="I440" i="5" s="1"/>
  <c r="H441" i="5"/>
  <c r="I441" i="5" s="1"/>
  <c r="H442" i="5"/>
  <c r="I442" i="5" s="1"/>
  <c r="H443" i="5"/>
  <c r="I443" i="5" s="1"/>
  <c r="H444" i="5"/>
  <c r="I444" i="5" s="1"/>
  <c r="H445" i="5"/>
  <c r="I445" i="5" s="1"/>
  <c r="H446" i="5"/>
  <c r="I446" i="5" s="1"/>
  <c r="H447" i="5"/>
  <c r="I447" i="5" s="1"/>
  <c r="H448" i="5"/>
  <c r="I448" i="5" s="1"/>
  <c r="H449" i="5"/>
  <c r="I449" i="5" s="1"/>
  <c r="H450" i="5"/>
  <c r="I450" i="5" s="1"/>
  <c r="H451" i="5"/>
  <c r="I451" i="5" s="1"/>
  <c r="H452" i="5"/>
  <c r="I452" i="5" s="1"/>
  <c r="H453" i="5"/>
  <c r="I453" i="5" s="1"/>
  <c r="H454" i="5"/>
  <c r="I454" i="5" s="1"/>
  <c r="H455" i="5"/>
  <c r="I455" i="5" s="1"/>
  <c r="H456" i="5"/>
  <c r="I456" i="5" s="1"/>
  <c r="H457" i="5"/>
  <c r="I457" i="5" s="1"/>
  <c r="H458" i="5"/>
  <c r="I458" i="5" s="1"/>
  <c r="H459" i="5"/>
  <c r="I459" i="5" s="1"/>
  <c r="H460" i="5"/>
  <c r="I460" i="5" s="1"/>
  <c r="H461" i="5"/>
  <c r="I461" i="5" s="1"/>
  <c r="H462" i="5"/>
  <c r="I462" i="5" s="1"/>
  <c r="H463" i="5"/>
  <c r="I463" i="5" s="1"/>
  <c r="H464" i="5"/>
  <c r="I464" i="5" s="1"/>
  <c r="H465" i="5"/>
  <c r="I465" i="5" s="1"/>
  <c r="H466" i="5"/>
  <c r="I466" i="5" s="1"/>
  <c r="H467" i="5"/>
  <c r="I467" i="5" s="1"/>
  <c r="H468" i="5"/>
  <c r="I468" i="5" s="1"/>
  <c r="H469" i="5"/>
  <c r="I469" i="5" s="1"/>
  <c r="H470" i="5"/>
  <c r="I470" i="5" s="1"/>
  <c r="H471" i="5"/>
  <c r="I471" i="5" s="1"/>
  <c r="H472" i="5"/>
  <c r="I472" i="5" s="1"/>
  <c r="H473" i="5"/>
  <c r="I473" i="5" s="1"/>
  <c r="H474" i="5"/>
  <c r="I474" i="5" s="1"/>
  <c r="H475" i="5"/>
  <c r="I475" i="5" s="1"/>
  <c r="H476" i="5"/>
  <c r="I476" i="5" s="1"/>
  <c r="H477" i="5"/>
  <c r="I477" i="5" s="1"/>
  <c r="H478" i="5"/>
  <c r="I478" i="5" s="1"/>
  <c r="H479" i="5"/>
  <c r="I479" i="5" s="1"/>
  <c r="H480" i="5"/>
  <c r="I480" i="5" s="1"/>
  <c r="H481" i="5"/>
  <c r="I481" i="5" s="1"/>
  <c r="H482" i="5"/>
  <c r="I482" i="5" s="1"/>
  <c r="H483" i="5"/>
  <c r="I483" i="5" s="1"/>
  <c r="H484" i="5"/>
  <c r="I484" i="5" s="1"/>
  <c r="H485" i="5"/>
  <c r="I485" i="5" s="1"/>
  <c r="H486" i="5"/>
  <c r="I486" i="5" s="1"/>
  <c r="H487" i="5"/>
  <c r="I487" i="5" s="1"/>
  <c r="H488" i="5"/>
  <c r="I488" i="5" s="1"/>
  <c r="H489" i="5"/>
  <c r="I489" i="5" s="1"/>
  <c r="H490" i="5"/>
  <c r="I490" i="5" s="1"/>
  <c r="H491" i="5"/>
  <c r="I491" i="5" s="1"/>
  <c r="H492" i="5"/>
  <c r="I492" i="5" s="1"/>
  <c r="H493" i="5"/>
  <c r="I493" i="5" s="1"/>
  <c r="H494" i="5"/>
  <c r="I494" i="5" s="1"/>
  <c r="H495" i="5"/>
  <c r="I495" i="5" s="1"/>
  <c r="H496" i="5"/>
  <c r="I496" i="5" s="1"/>
  <c r="H497" i="5"/>
  <c r="I497" i="5" s="1"/>
  <c r="H498" i="5"/>
  <c r="I498" i="5" s="1"/>
  <c r="H499" i="5"/>
  <c r="I499" i="5" s="1"/>
  <c r="H500" i="5"/>
  <c r="I500" i="5" s="1"/>
  <c r="H501" i="5"/>
  <c r="I501" i="5" s="1"/>
  <c r="H502" i="5"/>
  <c r="I502" i="5" s="1"/>
  <c r="H503" i="5"/>
  <c r="I503" i="5" s="1"/>
  <c r="H504" i="5"/>
  <c r="I504" i="5" s="1"/>
  <c r="H505" i="5"/>
  <c r="I505" i="5" s="1"/>
  <c r="H506" i="5"/>
  <c r="I506" i="5" s="1"/>
  <c r="H507" i="5"/>
  <c r="I507" i="5" s="1"/>
  <c r="H508" i="5"/>
  <c r="I508" i="5" s="1"/>
  <c r="H509" i="5"/>
  <c r="I509" i="5" s="1"/>
  <c r="H510" i="5"/>
  <c r="I510" i="5" s="1"/>
  <c r="H511" i="5"/>
  <c r="I511" i="5" s="1"/>
  <c r="H512" i="5"/>
  <c r="I512" i="5" s="1"/>
  <c r="H513" i="5"/>
  <c r="I513" i="5" s="1"/>
  <c r="H514" i="5"/>
  <c r="I514" i="5" s="1"/>
  <c r="H515" i="5"/>
  <c r="I515" i="5" s="1"/>
  <c r="H516" i="5"/>
  <c r="I516" i="5" s="1"/>
  <c r="H517" i="5"/>
  <c r="I517" i="5" s="1"/>
  <c r="H518" i="5"/>
  <c r="I518" i="5" s="1"/>
  <c r="H519" i="5"/>
  <c r="I519" i="5" s="1"/>
  <c r="H520" i="5"/>
  <c r="I520" i="5" s="1"/>
  <c r="H521" i="5"/>
  <c r="I521" i="5" s="1"/>
  <c r="H522" i="5"/>
  <c r="I522" i="5" s="1"/>
  <c r="H523" i="5"/>
  <c r="I523" i="5" s="1"/>
  <c r="H524" i="5"/>
  <c r="I524" i="5" s="1"/>
  <c r="H525" i="5"/>
  <c r="I525" i="5" s="1"/>
  <c r="H526" i="5"/>
  <c r="I526" i="5" s="1"/>
  <c r="H527" i="5"/>
  <c r="I527" i="5" s="1"/>
  <c r="H528" i="5"/>
  <c r="I528" i="5" s="1"/>
  <c r="H529" i="5"/>
  <c r="I529" i="5" s="1"/>
  <c r="H530" i="5"/>
  <c r="I530" i="5" s="1"/>
  <c r="H531" i="5"/>
  <c r="I531" i="5" s="1"/>
  <c r="H532" i="5"/>
  <c r="I532" i="5" s="1"/>
  <c r="H533" i="5"/>
  <c r="I533" i="5" s="1"/>
  <c r="H534" i="5"/>
  <c r="I534" i="5" s="1"/>
  <c r="H535" i="5"/>
  <c r="I535" i="5" s="1"/>
  <c r="H536" i="5"/>
  <c r="I536" i="5" s="1"/>
  <c r="H537" i="5"/>
  <c r="I537" i="5" s="1"/>
  <c r="H538" i="5"/>
  <c r="I538" i="5" s="1"/>
  <c r="H539" i="5"/>
  <c r="I539" i="5" s="1"/>
  <c r="H540" i="5"/>
  <c r="I540" i="5" s="1"/>
  <c r="H541" i="5"/>
  <c r="I541" i="5" s="1"/>
  <c r="H542" i="5"/>
  <c r="I542" i="5" s="1"/>
  <c r="H543" i="5"/>
  <c r="I543" i="5" s="1"/>
  <c r="H544" i="5"/>
  <c r="I544" i="5" s="1"/>
  <c r="H545" i="5"/>
  <c r="I545" i="5" s="1"/>
  <c r="H546" i="5"/>
  <c r="I546" i="5" s="1"/>
  <c r="H547" i="5"/>
  <c r="I547" i="5" s="1"/>
  <c r="H548" i="5"/>
  <c r="I548" i="5" s="1"/>
  <c r="H549" i="5"/>
  <c r="I549" i="5" s="1"/>
  <c r="H550" i="5"/>
  <c r="I550" i="5" s="1"/>
  <c r="H551" i="5"/>
  <c r="I551" i="5" s="1"/>
  <c r="H552" i="5"/>
  <c r="I552" i="5" s="1"/>
  <c r="H553" i="5"/>
  <c r="I553" i="5" s="1"/>
  <c r="H554" i="5"/>
  <c r="I554" i="5" s="1"/>
  <c r="H555" i="5"/>
  <c r="I555" i="5" s="1"/>
  <c r="H556" i="5"/>
  <c r="I556" i="5" s="1"/>
  <c r="H557" i="5"/>
  <c r="I557" i="5" s="1"/>
  <c r="H558" i="5"/>
  <c r="I558" i="5" s="1"/>
  <c r="H559" i="5"/>
  <c r="I559" i="5" s="1"/>
  <c r="H560" i="5"/>
  <c r="I560" i="5" s="1"/>
  <c r="H561" i="5"/>
  <c r="I561" i="5" s="1"/>
  <c r="H562" i="5"/>
  <c r="I562" i="5" s="1"/>
  <c r="H563" i="5"/>
  <c r="I563" i="5" s="1"/>
  <c r="H564" i="5"/>
  <c r="I564" i="5" s="1"/>
  <c r="H565" i="5"/>
  <c r="I565" i="5" s="1"/>
  <c r="H566" i="5"/>
  <c r="I566" i="5" s="1"/>
  <c r="H567" i="5"/>
  <c r="I567" i="5" s="1"/>
  <c r="H568" i="5"/>
  <c r="I568" i="5" s="1"/>
  <c r="H569" i="5"/>
  <c r="I569" i="5" s="1"/>
  <c r="H570" i="5"/>
  <c r="I570" i="5" s="1"/>
  <c r="H571" i="5"/>
  <c r="I571" i="5" s="1"/>
  <c r="H572" i="5"/>
  <c r="I572" i="5" s="1"/>
  <c r="H573" i="5"/>
  <c r="I573" i="5" s="1"/>
  <c r="H574" i="5"/>
  <c r="I574" i="5" s="1"/>
  <c r="H575" i="5"/>
  <c r="I575" i="5" s="1"/>
  <c r="H576" i="5"/>
  <c r="I576" i="5" s="1"/>
  <c r="H577" i="5"/>
  <c r="I577" i="5" s="1"/>
  <c r="H578" i="5"/>
  <c r="I578" i="5" s="1"/>
  <c r="H579" i="5"/>
  <c r="I579" i="5" s="1"/>
  <c r="H580" i="5"/>
  <c r="I580" i="5" s="1"/>
  <c r="H581" i="5"/>
  <c r="I581" i="5" s="1"/>
  <c r="H582" i="5"/>
  <c r="I582" i="5" s="1"/>
  <c r="H583" i="5"/>
  <c r="I583" i="5" s="1"/>
  <c r="H584" i="5"/>
  <c r="I584" i="5" s="1"/>
  <c r="H585" i="5"/>
  <c r="I585" i="5" s="1"/>
  <c r="H586" i="5"/>
  <c r="I586" i="5" s="1"/>
  <c r="H587" i="5"/>
  <c r="I587" i="5" s="1"/>
  <c r="H588" i="5"/>
  <c r="I588" i="5" s="1"/>
  <c r="H589" i="5"/>
  <c r="I589" i="5" s="1"/>
  <c r="H590" i="5"/>
  <c r="I590" i="5" s="1"/>
  <c r="H591" i="5"/>
  <c r="I591" i="5" s="1"/>
  <c r="H592" i="5"/>
  <c r="I592" i="5" s="1"/>
  <c r="H593" i="5"/>
  <c r="I593" i="5" s="1"/>
  <c r="H594" i="5"/>
  <c r="I594" i="5" s="1"/>
  <c r="H595" i="5"/>
  <c r="I595" i="5" s="1"/>
  <c r="H596" i="5"/>
  <c r="I596" i="5" s="1"/>
  <c r="H597" i="5"/>
  <c r="I597" i="5" s="1"/>
  <c r="H598" i="5"/>
  <c r="I598" i="5" s="1"/>
  <c r="H599" i="5"/>
  <c r="I599" i="5" s="1"/>
  <c r="H600" i="5"/>
  <c r="I600" i="5" s="1"/>
  <c r="H601" i="5"/>
  <c r="I601" i="5" s="1"/>
  <c r="H602" i="5"/>
  <c r="I602" i="5" s="1"/>
  <c r="H603" i="5"/>
  <c r="I603" i="5" s="1"/>
  <c r="H604" i="5"/>
  <c r="I604" i="5" s="1"/>
  <c r="H605" i="5"/>
  <c r="I605" i="5" s="1"/>
  <c r="H606" i="5"/>
  <c r="I606" i="5" s="1"/>
  <c r="H607" i="5"/>
  <c r="I607" i="5" s="1"/>
  <c r="H608" i="5"/>
  <c r="I608" i="5" s="1"/>
  <c r="H609" i="5"/>
  <c r="I609" i="5" s="1"/>
  <c r="H610" i="5"/>
  <c r="I610" i="5" s="1"/>
  <c r="H611" i="5"/>
  <c r="I611" i="5" s="1"/>
  <c r="H612" i="5"/>
  <c r="I612" i="5" s="1"/>
  <c r="H613" i="5"/>
  <c r="I613" i="5" s="1"/>
  <c r="H614" i="5"/>
  <c r="I614" i="5" s="1"/>
  <c r="H615" i="5"/>
  <c r="I615" i="5" s="1"/>
  <c r="H616" i="5"/>
  <c r="I616" i="5" s="1"/>
  <c r="H617" i="5"/>
  <c r="I617" i="5" s="1"/>
  <c r="H618" i="5"/>
  <c r="I618" i="5" s="1"/>
  <c r="H619" i="5"/>
  <c r="I619" i="5" s="1"/>
  <c r="H620" i="5"/>
  <c r="I620" i="5" s="1"/>
  <c r="H621" i="5"/>
  <c r="I621" i="5" s="1"/>
  <c r="H622" i="5"/>
  <c r="I622" i="5" s="1"/>
  <c r="H623" i="5"/>
  <c r="I623" i="5" s="1"/>
  <c r="H624" i="5"/>
  <c r="I624" i="5" s="1"/>
  <c r="H625" i="5"/>
  <c r="I625" i="5" s="1"/>
  <c r="H626" i="5"/>
  <c r="I626" i="5" s="1"/>
  <c r="H627" i="5"/>
  <c r="I627" i="5" s="1"/>
  <c r="H628" i="5"/>
  <c r="I628" i="5" s="1"/>
  <c r="H629" i="5"/>
  <c r="I629" i="5" s="1"/>
  <c r="H630" i="5"/>
  <c r="I630" i="5" s="1"/>
  <c r="H631" i="5"/>
  <c r="I631" i="5" s="1"/>
  <c r="H632" i="5"/>
  <c r="I632" i="5" s="1"/>
  <c r="H633" i="5"/>
  <c r="I633" i="5" s="1"/>
  <c r="H634" i="5"/>
  <c r="I634" i="5" s="1"/>
  <c r="H635" i="5"/>
  <c r="I635" i="5" s="1"/>
  <c r="H636" i="5"/>
  <c r="I636" i="5" s="1"/>
  <c r="H637" i="5"/>
  <c r="I637" i="5" s="1"/>
  <c r="H638" i="5"/>
  <c r="I638" i="5" s="1"/>
  <c r="H639" i="5"/>
  <c r="I639" i="5" s="1"/>
  <c r="H640" i="5"/>
  <c r="I640" i="5" s="1"/>
  <c r="H641" i="5"/>
  <c r="I641" i="5" s="1"/>
  <c r="H642" i="5"/>
  <c r="I642" i="5" s="1"/>
  <c r="H643" i="5"/>
  <c r="I643" i="5" s="1"/>
  <c r="H644" i="5"/>
  <c r="I644" i="5" s="1"/>
  <c r="H645" i="5"/>
  <c r="I645" i="5" s="1"/>
  <c r="H646" i="5"/>
  <c r="I646" i="5" s="1"/>
  <c r="H647" i="5"/>
  <c r="I647" i="5" s="1"/>
  <c r="H648" i="5"/>
  <c r="I648" i="5" s="1"/>
  <c r="H649" i="5"/>
  <c r="I649" i="5" s="1"/>
  <c r="H650" i="5"/>
  <c r="I650" i="5" s="1"/>
  <c r="H651" i="5"/>
  <c r="I651" i="5" s="1"/>
  <c r="H652" i="5"/>
  <c r="I652" i="5" s="1"/>
  <c r="H653" i="5"/>
  <c r="I653" i="5" s="1"/>
  <c r="H654" i="5"/>
  <c r="I654" i="5" s="1"/>
  <c r="H655" i="5"/>
  <c r="I655" i="5" s="1"/>
  <c r="H656" i="5"/>
  <c r="I656" i="5" s="1"/>
  <c r="H657" i="5"/>
  <c r="I657" i="5" s="1"/>
  <c r="H658" i="5"/>
  <c r="I658" i="5" s="1"/>
  <c r="H659" i="5"/>
  <c r="I659" i="5" s="1"/>
  <c r="H660" i="5"/>
  <c r="I660" i="5" s="1"/>
  <c r="H661" i="5"/>
  <c r="I661" i="5" s="1"/>
  <c r="H662" i="5"/>
  <c r="I662" i="5" s="1"/>
  <c r="H663" i="5"/>
  <c r="I663" i="5" s="1"/>
  <c r="H664" i="5"/>
  <c r="I664" i="5" s="1"/>
  <c r="H665" i="5"/>
  <c r="I665" i="5" s="1"/>
  <c r="H666" i="5"/>
  <c r="I666" i="5" s="1"/>
  <c r="H667" i="5"/>
  <c r="I667" i="5" s="1"/>
  <c r="H668" i="5"/>
  <c r="I668" i="5" s="1"/>
  <c r="H669" i="5"/>
  <c r="I669" i="5" s="1"/>
  <c r="H670" i="5"/>
  <c r="I670" i="5" s="1"/>
  <c r="H671" i="5"/>
  <c r="I671" i="5" s="1"/>
  <c r="H672" i="5"/>
  <c r="I672" i="5" s="1"/>
  <c r="H673" i="5"/>
  <c r="I673" i="5" s="1"/>
  <c r="H674" i="5"/>
  <c r="I674" i="5" s="1"/>
  <c r="H675" i="5"/>
  <c r="I675" i="5" s="1"/>
  <c r="H676" i="5"/>
  <c r="I676" i="5" s="1"/>
  <c r="H677" i="5"/>
  <c r="I677" i="5" s="1"/>
  <c r="H678" i="5"/>
  <c r="I678" i="5" s="1"/>
  <c r="H679" i="5"/>
  <c r="I679" i="5" s="1"/>
  <c r="H680" i="5"/>
  <c r="I680" i="5" s="1"/>
  <c r="H681" i="5"/>
  <c r="I681" i="5" s="1"/>
  <c r="H682" i="5"/>
  <c r="I682" i="5" s="1"/>
  <c r="H683" i="5"/>
  <c r="I683" i="5" s="1"/>
  <c r="H684" i="5"/>
  <c r="I684" i="5" s="1"/>
  <c r="H685" i="5"/>
  <c r="I685" i="5" s="1"/>
  <c r="H686" i="5"/>
  <c r="I686" i="5" s="1"/>
  <c r="H687" i="5"/>
  <c r="I687" i="5" s="1"/>
  <c r="H688" i="5"/>
  <c r="I688" i="5" s="1"/>
  <c r="H689" i="5"/>
  <c r="I689" i="5" s="1"/>
  <c r="H690" i="5"/>
  <c r="I690" i="5" s="1"/>
  <c r="H691" i="5"/>
  <c r="I691" i="5" s="1"/>
  <c r="H692" i="5"/>
  <c r="I692" i="5" s="1"/>
  <c r="H693" i="5"/>
  <c r="I693" i="5" s="1"/>
  <c r="H694" i="5"/>
  <c r="I694" i="5" s="1"/>
  <c r="H695" i="5"/>
  <c r="I695" i="5" s="1"/>
  <c r="H696" i="5"/>
  <c r="I696" i="5" s="1"/>
  <c r="H697" i="5"/>
  <c r="I697" i="5" s="1"/>
  <c r="H698" i="5"/>
  <c r="I698" i="5" s="1"/>
  <c r="H699" i="5"/>
  <c r="I699" i="5" s="1"/>
  <c r="H700" i="5"/>
  <c r="I700" i="5" s="1"/>
  <c r="H701" i="5"/>
  <c r="I701" i="5" s="1"/>
  <c r="H702" i="5"/>
  <c r="I702" i="5" s="1"/>
  <c r="H703" i="5"/>
  <c r="I703" i="5" s="1"/>
  <c r="H704" i="5"/>
  <c r="I704" i="5" s="1"/>
  <c r="H705" i="5"/>
  <c r="I705" i="5" s="1"/>
  <c r="H706" i="5"/>
  <c r="I706" i="5" s="1"/>
  <c r="H707" i="5"/>
  <c r="I707" i="5" s="1"/>
  <c r="H708" i="5"/>
  <c r="I708" i="5" s="1"/>
  <c r="H709" i="5"/>
  <c r="I709" i="5" s="1"/>
  <c r="H710" i="5"/>
  <c r="I710" i="5" s="1"/>
  <c r="H711" i="5"/>
  <c r="I711" i="5" s="1"/>
  <c r="H712" i="5"/>
  <c r="I712" i="5" s="1"/>
  <c r="H713" i="5"/>
  <c r="I713" i="5" s="1"/>
  <c r="H714" i="5"/>
  <c r="I714" i="5" s="1"/>
  <c r="H715" i="5"/>
  <c r="I715" i="5" s="1"/>
  <c r="H716" i="5"/>
  <c r="I716" i="5" s="1"/>
  <c r="H717" i="5"/>
  <c r="I717" i="5" s="1"/>
  <c r="H718" i="5"/>
  <c r="I718" i="5" s="1"/>
  <c r="H719" i="5"/>
  <c r="I719" i="5" s="1"/>
  <c r="H720" i="5"/>
  <c r="I720" i="5" s="1"/>
  <c r="H721" i="5"/>
  <c r="I721" i="5" s="1"/>
  <c r="H722" i="5"/>
  <c r="I722" i="5" s="1"/>
  <c r="H723" i="5"/>
  <c r="I723" i="5" s="1"/>
  <c r="H724" i="5"/>
  <c r="I724" i="5" s="1"/>
  <c r="H725" i="5"/>
  <c r="I725" i="5" s="1"/>
  <c r="H726" i="5"/>
  <c r="I726" i="5" s="1"/>
  <c r="H727" i="5"/>
  <c r="I727" i="5" s="1"/>
  <c r="H728" i="5"/>
  <c r="I728" i="5" s="1"/>
  <c r="H729" i="5"/>
  <c r="I729" i="5" s="1"/>
  <c r="H730" i="5"/>
  <c r="I730" i="5" s="1"/>
  <c r="H731" i="5"/>
  <c r="I731" i="5" s="1"/>
  <c r="H732" i="5"/>
  <c r="I732" i="5" s="1"/>
  <c r="H733" i="5"/>
  <c r="I733" i="5" s="1"/>
  <c r="H734" i="5"/>
  <c r="I734" i="5" s="1"/>
  <c r="H735" i="5"/>
  <c r="I735" i="5" s="1"/>
  <c r="H736" i="5"/>
  <c r="I736" i="5" s="1"/>
  <c r="H737" i="5"/>
  <c r="I737" i="5" s="1"/>
  <c r="H738" i="5"/>
  <c r="I738" i="5" s="1"/>
  <c r="H739" i="5"/>
  <c r="I739" i="5" s="1"/>
  <c r="H740" i="5"/>
  <c r="I740" i="5" s="1"/>
  <c r="H741" i="5"/>
  <c r="I741" i="5" s="1"/>
  <c r="H742" i="5"/>
  <c r="I742" i="5" s="1"/>
  <c r="H743" i="5"/>
  <c r="I743" i="5" s="1"/>
  <c r="H744" i="5"/>
  <c r="I744" i="5" s="1"/>
  <c r="H745" i="5"/>
  <c r="I745" i="5" s="1"/>
  <c r="H746" i="5"/>
  <c r="I746" i="5" s="1"/>
  <c r="H747" i="5"/>
  <c r="I747" i="5" s="1"/>
  <c r="H748" i="5"/>
  <c r="I748" i="5" s="1"/>
  <c r="H749" i="5"/>
  <c r="I749" i="5" s="1"/>
  <c r="H750" i="5"/>
  <c r="I750" i="5" s="1"/>
  <c r="H751" i="5"/>
  <c r="I751" i="5" s="1"/>
  <c r="H752" i="5"/>
  <c r="I752" i="5" s="1"/>
  <c r="H753" i="5"/>
  <c r="I753" i="5" s="1"/>
  <c r="H754" i="5"/>
  <c r="I754" i="5" s="1"/>
  <c r="H755" i="5"/>
  <c r="I755" i="5" s="1"/>
  <c r="H756" i="5"/>
  <c r="I756" i="5" s="1"/>
  <c r="H757" i="5"/>
  <c r="I757" i="5" s="1"/>
  <c r="H758" i="5"/>
  <c r="I758" i="5" s="1"/>
  <c r="H759" i="5"/>
  <c r="I759" i="5" s="1"/>
  <c r="H760" i="5"/>
  <c r="I760" i="5" s="1"/>
  <c r="H761" i="5"/>
  <c r="I761" i="5" s="1"/>
  <c r="H762" i="5"/>
  <c r="I762" i="5" s="1"/>
  <c r="H763" i="5"/>
  <c r="I763" i="5" s="1"/>
  <c r="H764" i="5"/>
  <c r="I764" i="5" s="1"/>
  <c r="H765" i="5"/>
  <c r="I765" i="5" s="1"/>
  <c r="H766" i="5"/>
  <c r="I766" i="5" s="1"/>
  <c r="H767" i="5"/>
  <c r="I767" i="5" s="1"/>
  <c r="H768" i="5"/>
  <c r="I768" i="5" s="1"/>
  <c r="H769" i="5"/>
  <c r="I769" i="5" s="1"/>
  <c r="H770" i="5"/>
  <c r="I770" i="5" s="1"/>
  <c r="H771" i="5"/>
  <c r="I771" i="5" s="1"/>
  <c r="H772" i="5"/>
  <c r="I772" i="5" s="1"/>
  <c r="H773" i="5"/>
  <c r="I773" i="5" s="1"/>
  <c r="H774" i="5"/>
  <c r="I774" i="5" s="1"/>
  <c r="H775" i="5"/>
  <c r="I775" i="5" s="1"/>
  <c r="H776" i="5"/>
  <c r="I776" i="5" s="1"/>
  <c r="H777" i="5"/>
  <c r="I777" i="5" s="1"/>
  <c r="H778" i="5"/>
  <c r="I778" i="5" s="1"/>
  <c r="H779" i="5"/>
  <c r="I779" i="5" s="1"/>
  <c r="H780" i="5"/>
  <c r="I780" i="5" s="1"/>
  <c r="H781" i="5"/>
  <c r="I781" i="5" s="1"/>
  <c r="H782" i="5"/>
  <c r="I782" i="5" s="1"/>
  <c r="H783" i="5"/>
  <c r="I783" i="5" s="1"/>
  <c r="H784" i="5"/>
  <c r="I784" i="5" s="1"/>
  <c r="H785" i="5"/>
  <c r="I785" i="5" s="1"/>
  <c r="H786" i="5"/>
  <c r="I786" i="5" s="1"/>
  <c r="H787" i="5"/>
  <c r="I787" i="5" s="1"/>
  <c r="H788" i="5"/>
  <c r="I788" i="5" s="1"/>
  <c r="H789" i="5"/>
  <c r="I789" i="5" s="1"/>
  <c r="H790" i="5"/>
  <c r="I790" i="5" s="1"/>
  <c r="H791" i="5"/>
  <c r="I791" i="5" s="1"/>
  <c r="H792" i="5"/>
  <c r="I792" i="5" s="1"/>
  <c r="H793" i="5"/>
  <c r="I793" i="5" s="1"/>
  <c r="H794" i="5"/>
  <c r="I794" i="5" s="1"/>
  <c r="H795" i="5"/>
  <c r="I795" i="5" s="1"/>
  <c r="H796" i="5"/>
  <c r="I796" i="5" s="1"/>
  <c r="H3" i="5"/>
  <c r="I3" i="5" s="1"/>
  <c r="H2" i="5"/>
  <c r="I2" i="5" s="1"/>
  <c r="C3" i="7"/>
  <c r="H3" i="7" s="1"/>
  <c r="C4" i="7"/>
  <c r="H4" i="7" s="1"/>
  <c r="C5" i="7"/>
  <c r="H5" i="7" s="1"/>
  <c r="C6" i="7"/>
  <c r="H6" i="7" s="1"/>
  <c r="C7" i="7"/>
  <c r="H7" i="7" s="1"/>
  <c r="C8" i="7"/>
  <c r="H8" i="7" s="1"/>
  <c r="C9" i="7"/>
  <c r="H9" i="7" s="1"/>
  <c r="C10" i="7"/>
  <c r="H10" i="7" s="1"/>
  <c r="C11" i="7"/>
  <c r="H11" i="7" s="1"/>
  <c r="C12" i="7"/>
  <c r="H12" i="7" s="1"/>
  <c r="C13" i="7"/>
  <c r="H13" i="7" s="1"/>
  <c r="C14" i="7"/>
  <c r="H14" i="7" s="1"/>
  <c r="C15" i="7"/>
  <c r="H15" i="7" s="1"/>
  <c r="C16" i="7"/>
  <c r="H16" i="7" s="1"/>
  <c r="C17" i="7"/>
  <c r="H17" i="7" s="1"/>
  <c r="C18" i="7"/>
  <c r="H18" i="7" s="1"/>
  <c r="C19" i="7"/>
  <c r="H19" i="7" s="1"/>
  <c r="C20" i="7"/>
  <c r="H20" i="7" s="1"/>
  <c r="C21" i="7"/>
  <c r="H21" i="7" s="1"/>
  <c r="C22" i="7"/>
  <c r="H22" i="7" s="1"/>
  <c r="C23" i="7"/>
  <c r="H23" i="7" s="1"/>
  <c r="C24" i="7"/>
  <c r="H24" i="7" s="1"/>
  <c r="C25" i="7"/>
  <c r="H25" i="7" s="1"/>
  <c r="C26" i="7"/>
  <c r="H26" i="7" s="1"/>
  <c r="C27" i="7"/>
  <c r="H27" i="7" s="1"/>
  <c r="C28" i="7"/>
  <c r="H28" i="7" s="1"/>
  <c r="C29" i="7"/>
  <c r="H29" i="7" s="1"/>
  <c r="C30" i="7"/>
  <c r="H30" i="7" s="1"/>
  <c r="C31" i="7"/>
  <c r="H31" i="7" s="1"/>
  <c r="C32" i="7"/>
  <c r="H32" i="7" s="1"/>
  <c r="C33" i="7"/>
  <c r="H33" i="7" s="1"/>
  <c r="C34" i="7"/>
  <c r="H34" i="7" s="1"/>
  <c r="C35" i="7"/>
  <c r="H35" i="7" s="1"/>
  <c r="C36" i="7"/>
  <c r="H36" i="7" s="1"/>
  <c r="C37" i="7"/>
  <c r="H37" i="7" s="1"/>
  <c r="C38" i="7"/>
  <c r="H38" i="7" s="1"/>
  <c r="C39" i="7"/>
  <c r="H39" i="7" s="1"/>
  <c r="C40" i="7"/>
  <c r="H40" i="7" s="1"/>
  <c r="C41" i="7"/>
  <c r="H41" i="7" s="1"/>
  <c r="C42" i="7"/>
  <c r="H42" i="7" s="1"/>
  <c r="C43" i="7"/>
  <c r="H43" i="7" s="1"/>
  <c r="C44" i="7"/>
  <c r="H44" i="7" s="1"/>
  <c r="C45" i="7"/>
  <c r="H45" i="7" s="1"/>
  <c r="C46" i="7"/>
  <c r="H46" i="7" s="1"/>
  <c r="C47" i="7"/>
  <c r="H47" i="7" s="1"/>
  <c r="C48" i="7"/>
  <c r="H48" i="7" s="1"/>
  <c r="C49" i="7"/>
  <c r="H49" i="7" s="1"/>
  <c r="C50" i="7"/>
  <c r="H50" i="7" s="1"/>
  <c r="C51" i="7"/>
  <c r="H51" i="7" s="1"/>
  <c r="C52" i="7"/>
  <c r="H52" i="7" s="1"/>
  <c r="C53" i="7"/>
  <c r="H53" i="7" s="1"/>
  <c r="C54" i="7"/>
  <c r="H54" i="7" s="1"/>
  <c r="C55" i="7"/>
  <c r="H55" i="7" s="1"/>
  <c r="C56" i="7"/>
  <c r="H56" i="7" s="1"/>
  <c r="C57" i="7"/>
  <c r="H57" i="7" s="1"/>
  <c r="C58" i="7"/>
  <c r="H58" i="7" s="1"/>
  <c r="C59" i="7"/>
  <c r="H59" i="7" s="1"/>
  <c r="C60" i="7"/>
  <c r="H60" i="7" s="1"/>
  <c r="C61" i="7"/>
  <c r="H61" i="7" s="1"/>
  <c r="C62" i="7"/>
  <c r="H62" i="7" s="1"/>
  <c r="C63" i="7"/>
  <c r="H63" i="7" s="1"/>
  <c r="C64" i="7"/>
  <c r="H64" i="7" s="1"/>
  <c r="C65" i="7"/>
  <c r="H65" i="7" s="1"/>
  <c r="C66" i="7"/>
  <c r="H66" i="7" s="1"/>
  <c r="C67" i="7"/>
  <c r="H67" i="7" s="1"/>
  <c r="C68" i="7"/>
  <c r="H68" i="7" s="1"/>
  <c r="C69" i="7"/>
  <c r="H69" i="7" s="1"/>
  <c r="C70" i="7"/>
  <c r="H70" i="7" s="1"/>
  <c r="C71" i="7"/>
  <c r="H71" i="7" s="1"/>
  <c r="C72" i="7"/>
  <c r="H72" i="7" s="1"/>
  <c r="C73" i="7"/>
  <c r="H73" i="7" s="1"/>
  <c r="C74" i="7"/>
  <c r="H74" i="7" s="1"/>
  <c r="C75" i="7"/>
  <c r="H75" i="7" s="1"/>
  <c r="C76" i="7"/>
  <c r="H76" i="7" s="1"/>
  <c r="C77" i="7"/>
  <c r="H77" i="7" s="1"/>
  <c r="C78" i="7"/>
  <c r="H78" i="7" s="1"/>
  <c r="C79" i="7"/>
  <c r="H79" i="7" s="1"/>
  <c r="C80" i="7"/>
  <c r="H80" i="7" s="1"/>
  <c r="C81" i="7"/>
  <c r="H81" i="7" s="1"/>
  <c r="C82" i="7"/>
  <c r="H82" i="7" s="1"/>
  <c r="C83" i="7"/>
  <c r="H83" i="7" s="1"/>
  <c r="C84" i="7"/>
  <c r="H84" i="7" s="1"/>
  <c r="C85" i="7"/>
  <c r="H85" i="7" s="1"/>
  <c r="C86" i="7"/>
  <c r="H86" i="7" s="1"/>
  <c r="C87" i="7"/>
  <c r="H87" i="7" s="1"/>
  <c r="C88" i="7"/>
  <c r="H88" i="7" s="1"/>
  <c r="C89" i="7"/>
  <c r="H89" i="7" s="1"/>
  <c r="C90" i="7"/>
  <c r="H90" i="7" s="1"/>
  <c r="C91" i="7"/>
  <c r="H91" i="7" s="1"/>
  <c r="C92" i="7"/>
  <c r="H92" i="7" s="1"/>
  <c r="C93" i="7"/>
  <c r="H93" i="7" s="1"/>
  <c r="C94" i="7"/>
  <c r="H94" i="7" s="1"/>
  <c r="C95" i="7"/>
  <c r="H95" i="7" s="1"/>
  <c r="C96" i="7"/>
  <c r="H96" i="7" s="1"/>
  <c r="C97" i="7"/>
  <c r="H97" i="7" s="1"/>
  <c r="C98" i="7"/>
  <c r="H98" i="7" s="1"/>
  <c r="C99" i="7"/>
  <c r="H99" i="7" s="1"/>
  <c r="C100" i="7"/>
  <c r="H100" i="7" s="1"/>
  <c r="C101" i="7"/>
  <c r="H101" i="7" s="1"/>
  <c r="C102" i="7"/>
  <c r="H102" i="7" s="1"/>
  <c r="C103" i="7"/>
  <c r="H103" i="7" s="1"/>
  <c r="C104" i="7"/>
  <c r="H104" i="7" s="1"/>
  <c r="C105" i="7"/>
  <c r="H105" i="7" s="1"/>
  <c r="C106" i="7"/>
  <c r="H106" i="7" s="1"/>
  <c r="C107" i="7"/>
  <c r="H107" i="7" s="1"/>
  <c r="C108" i="7"/>
  <c r="H108" i="7" s="1"/>
  <c r="C109" i="7"/>
  <c r="H109" i="7" s="1"/>
  <c r="C110" i="7"/>
  <c r="H110" i="7" s="1"/>
  <c r="C111" i="7"/>
  <c r="H111" i="7" s="1"/>
  <c r="C112" i="7"/>
  <c r="H112" i="7" s="1"/>
  <c r="C113" i="7"/>
  <c r="H113" i="7" s="1"/>
  <c r="C114" i="7"/>
  <c r="H114" i="7" s="1"/>
  <c r="C115" i="7"/>
  <c r="H115" i="7" s="1"/>
  <c r="C116" i="7"/>
  <c r="H116" i="7" s="1"/>
  <c r="C117" i="7"/>
  <c r="H117" i="7" s="1"/>
  <c r="C118" i="7"/>
  <c r="H118" i="7" s="1"/>
  <c r="C119" i="7"/>
  <c r="H119" i="7" s="1"/>
  <c r="C120" i="7"/>
  <c r="H120" i="7" s="1"/>
  <c r="C121" i="7"/>
  <c r="H121" i="7" s="1"/>
  <c r="C122" i="7"/>
  <c r="H122" i="7" s="1"/>
  <c r="C123" i="7"/>
  <c r="H123" i="7" s="1"/>
  <c r="C124" i="7"/>
  <c r="H124" i="7" s="1"/>
  <c r="C125" i="7"/>
  <c r="H125" i="7" s="1"/>
  <c r="C126" i="7"/>
  <c r="H126" i="7" s="1"/>
  <c r="C127" i="7"/>
  <c r="H127" i="7" s="1"/>
  <c r="C128" i="7"/>
  <c r="H128" i="7" s="1"/>
  <c r="C129" i="7"/>
  <c r="H129" i="7" s="1"/>
  <c r="C130" i="7"/>
  <c r="H130" i="7" s="1"/>
  <c r="C131" i="7"/>
  <c r="H131" i="7" s="1"/>
  <c r="C132" i="7"/>
  <c r="H132" i="7" s="1"/>
  <c r="C133" i="7"/>
  <c r="H133" i="7" s="1"/>
  <c r="C134" i="7"/>
  <c r="H134" i="7" s="1"/>
  <c r="C135" i="7"/>
  <c r="H135" i="7" s="1"/>
  <c r="C136" i="7"/>
  <c r="H136" i="7" s="1"/>
  <c r="C137" i="7"/>
  <c r="H137" i="7" s="1"/>
  <c r="C138" i="7"/>
  <c r="H138" i="7" s="1"/>
  <c r="C139" i="7"/>
  <c r="H139" i="7" s="1"/>
  <c r="C140" i="7"/>
  <c r="H140" i="7" s="1"/>
  <c r="C141" i="7"/>
  <c r="H141" i="7" s="1"/>
  <c r="C142" i="7"/>
  <c r="H142" i="7" s="1"/>
  <c r="C143" i="7"/>
  <c r="H143" i="7" s="1"/>
  <c r="C144" i="7"/>
  <c r="H144" i="7" s="1"/>
  <c r="C145" i="7"/>
  <c r="H145" i="7" s="1"/>
  <c r="C146" i="7"/>
  <c r="H146" i="7" s="1"/>
  <c r="C147" i="7"/>
  <c r="H147" i="7" s="1"/>
  <c r="C148" i="7"/>
  <c r="H148" i="7" s="1"/>
  <c r="C149" i="7"/>
  <c r="H149" i="7" s="1"/>
  <c r="C150" i="7"/>
  <c r="H150" i="7" s="1"/>
  <c r="C151" i="7"/>
  <c r="H151" i="7" s="1"/>
  <c r="C152" i="7"/>
  <c r="H152" i="7" s="1"/>
  <c r="C153" i="7"/>
  <c r="H153" i="7" s="1"/>
  <c r="C154" i="7"/>
  <c r="H154" i="7" s="1"/>
  <c r="C155" i="7"/>
  <c r="H155" i="7" s="1"/>
  <c r="C156" i="7"/>
  <c r="H156" i="7" s="1"/>
  <c r="C157" i="7"/>
  <c r="H157" i="7" s="1"/>
  <c r="C158" i="7"/>
  <c r="H158" i="7" s="1"/>
  <c r="C159" i="7"/>
  <c r="H159" i="7" s="1"/>
  <c r="C160" i="7"/>
  <c r="H160" i="7" s="1"/>
  <c r="C161" i="7"/>
  <c r="H161" i="7" s="1"/>
  <c r="C162" i="7"/>
  <c r="H162" i="7" s="1"/>
  <c r="C163" i="7"/>
  <c r="H163" i="7" s="1"/>
  <c r="C164" i="7"/>
  <c r="H164" i="7" s="1"/>
  <c r="C165" i="7"/>
  <c r="H165" i="7" s="1"/>
  <c r="C166" i="7"/>
  <c r="H166" i="7" s="1"/>
  <c r="C167" i="7"/>
  <c r="H167" i="7" s="1"/>
  <c r="C168" i="7"/>
  <c r="H168" i="7" s="1"/>
  <c r="C169" i="7"/>
  <c r="H169" i="7" s="1"/>
  <c r="C170" i="7"/>
  <c r="H170" i="7" s="1"/>
  <c r="C171" i="7"/>
  <c r="H171" i="7" s="1"/>
  <c r="C172" i="7"/>
  <c r="H172" i="7" s="1"/>
  <c r="C173" i="7"/>
  <c r="H173" i="7" s="1"/>
  <c r="C174" i="7"/>
  <c r="H174" i="7" s="1"/>
  <c r="C175" i="7"/>
  <c r="H175" i="7" s="1"/>
  <c r="C176" i="7"/>
  <c r="H176" i="7" s="1"/>
  <c r="C177" i="7"/>
  <c r="H177" i="7" s="1"/>
  <c r="C178" i="7"/>
  <c r="H178" i="7" s="1"/>
  <c r="C179" i="7"/>
  <c r="H179" i="7" s="1"/>
  <c r="C180" i="7"/>
  <c r="H180" i="7" s="1"/>
  <c r="C181" i="7"/>
  <c r="H181" i="7" s="1"/>
  <c r="C182" i="7"/>
  <c r="H182" i="7" s="1"/>
  <c r="C183" i="7"/>
  <c r="H183" i="7" s="1"/>
  <c r="C184" i="7"/>
  <c r="H184" i="7" s="1"/>
  <c r="C185" i="7"/>
  <c r="H185" i="7" s="1"/>
  <c r="C186" i="7"/>
  <c r="H186" i="7" s="1"/>
  <c r="C187" i="7"/>
  <c r="H187" i="7" s="1"/>
  <c r="C188" i="7"/>
  <c r="H188" i="7" s="1"/>
  <c r="C189" i="7"/>
  <c r="H189" i="7" s="1"/>
  <c r="C190" i="7"/>
  <c r="H190" i="7" s="1"/>
  <c r="C191" i="7"/>
  <c r="H191" i="7" s="1"/>
  <c r="C192" i="7"/>
  <c r="H192" i="7" s="1"/>
  <c r="C193" i="7"/>
  <c r="H193" i="7" s="1"/>
  <c r="C194" i="7"/>
  <c r="H194" i="7" s="1"/>
  <c r="C195" i="7"/>
  <c r="H195" i="7" s="1"/>
  <c r="C196" i="7"/>
  <c r="H196" i="7" s="1"/>
  <c r="C197" i="7"/>
  <c r="H197" i="7" s="1"/>
  <c r="C198" i="7"/>
  <c r="H198" i="7" s="1"/>
  <c r="C199" i="7"/>
  <c r="H199" i="7" s="1"/>
  <c r="C200" i="7"/>
  <c r="H200" i="7" s="1"/>
  <c r="C201" i="7"/>
  <c r="H201" i="7" s="1"/>
  <c r="C202" i="7"/>
  <c r="H202" i="7" s="1"/>
  <c r="C203" i="7"/>
  <c r="H203" i="7" s="1"/>
  <c r="C204" i="7"/>
  <c r="H204" i="7" s="1"/>
  <c r="C205" i="7"/>
  <c r="H205" i="7" s="1"/>
  <c r="C206" i="7"/>
  <c r="H206" i="7" s="1"/>
  <c r="C207" i="7"/>
  <c r="H207" i="7" s="1"/>
  <c r="C208" i="7"/>
  <c r="H208" i="7" s="1"/>
  <c r="C209" i="7"/>
  <c r="H209" i="7" s="1"/>
  <c r="C210" i="7"/>
  <c r="H210" i="7" s="1"/>
  <c r="C211" i="7"/>
  <c r="H211" i="7" s="1"/>
  <c r="C212" i="7"/>
  <c r="H212" i="7" s="1"/>
  <c r="C213" i="7"/>
  <c r="H213" i="7" s="1"/>
  <c r="C214" i="7"/>
  <c r="H214" i="7" s="1"/>
  <c r="C215" i="7"/>
  <c r="H215" i="7" s="1"/>
  <c r="C216" i="7"/>
  <c r="H216" i="7" s="1"/>
  <c r="C217" i="7"/>
  <c r="H217" i="7" s="1"/>
  <c r="C218" i="7"/>
  <c r="H218" i="7" s="1"/>
  <c r="C219" i="7"/>
  <c r="H219" i="7" s="1"/>
  <c r="C220" i="7"/>
  <c r="H220" i="7" s="1"/>
  <c r="C221" i="7"/>
  <c r="H221" i="7" s="1"/>
  <c r="C222" i="7"/>
  <c r="H222" i="7" s="1"/>
  <c r="C223" i="7"/>
  <c r="H223" i="7" s="1"/>
  <c r="C224" i="7"/>
  <c r="H224" i="7" s="1"/>
  <c r="C225" i="7"/>
  <c r="H225" i="7" s="1"/>
  <c r="C226" i="7"/>
  <c r="H226" i="7" s="1"/>
  <c r="C227" i="7"/>
  <c r="H227" i="7" s="1"/>
  <c r="C228" i="7"/>
  <c r="H228" i="7" s="1"/>
  <c r="C229" i="7"/>
  <c r="H229" i="7" s="1"/>
  <c r="C230" i="7"/>
  <c r="H230" i="7" s="1"/>
  <c r="C231" i="7"/>
  <c r="H231" i="7" s="1"/>
  <c r="C232" i="7"/>
  <c r="H232" i="7" s="1"/>
  <c r="C233" i="7"/>
  <c r="H233" i="7" s="1"/>
  <c r="C234" i="7"/>
  <c r="H234" i="7" s="1"/>
  <c r="C235" i="7"/>
  <c r="H235" i="7" s="1"/>
  <c r="C236" i="7"/>
  <c r="H236" i="7" s="1"/>
  <c r="C237" i="7"/>
  <c r="H237" i="7" s="1"/>
  <c r="C238" i="7"/>
  <c r="H238" i="7" s="1"/>
  <c r="C239" i="7"/>
  <c r="H239" i="7" s="1"/>
  <c r="C240" i="7"/>
  <c r="H240" i="7" s="1"/>
  <c r="C241" i="7"/>
  <c r="H241" i="7" s="1"/>
  <c r="C242" i="7"/>
  <c r="H242" i="7" s="1"/>
  <c r="C243" i="7"/>
  <c r="H243" i="7" s="1"/>
  <c r="C244" i="7"/>
  <c r="H244" i="7" s="1"/>
  <c r="C245" i="7"/>
  <c r="H245" i="7" s="1"/>
  <c r="C246" i="7"/>
  <c r="H246" i="7" s="1"/>
  <c r="C247" i="7"/>
  <c r="H247" i="7" s="1"/>
  <c r="C248" i="7"/>
  <c r="H248" i="7" s="1"/>
  <c r="C249" i="7"/>
  <c r="H249" i="7" s="1"/>
  <c r="C250" i="7"/>
  <c r="H250" i="7" s="1"/>
  <c r="C251" i="7"/>
  <c r="H251" i="7" s="1"/>
  <c r="C252" i="7"/>
  <c r="H252" i="7" s="1"/>
  <c r="C253" i="7"/>
  <c r="H253" i="7" s="1"/>
  <c r="C254" i="7"/>
  <c r="H254" i="7" s="1"/>
  <c r="C255" i="7"/>
  <c r="H255" i="7" s="1"/>
  <c r="C256" i="7"/>
  <c r="H256" i="7" s="1"/>
  <c r="C257" i="7"/>
  <c r="H257" i="7" s="1"/>
  <c r="C258" i="7"/>
  <c r="H258" i="7" s="1"/>
  <c r="C259" i="7"/>
  <c r="H259" i="7" s="1"/>
  <c r="C260" i="7"/>
  <c r="H260" i="7" s="1"/>
  <c r="C261" i="7"/>
  <c r="H261" i="7" s="1"/>
  <c r="C262" i="7"/>
  <c r="H262" i="7" s="1"/>
  <c r="C263" i="7"/>
  <c r="H263" i="7" s="1"/>
  <c r="C264" i="7"/>
  <c r="H264" i="7" s="1"/>
  <c r="C265" i="7"/>
  <c r="H265" i="7" s="1"/>
  <c r="C266" i="7"/>
  <c r="H266" i="7" s="1"/>
  <c r="C267" i="7"/>
  <c r="H267" i="7" s="1"/>
  <c r="C268" i="7"/>
  <c r="H268" i="7" s="1"/>
  <c r="C269" i="7"/>
  <c r="H269" i="7" s="1"/>
  <c r="C270" i="7"/>
  <c r="H270" i="7" s="1"/>
  <c r="C271" i="7"/>
  <c r="H271" i="7" s="1"/>
  <c r="C272" i="7"/>
  <c r="H272" i="7" s="1"/>
  <c r="C273" i="7"/>
  <c r="H273" i="7" s="1"/>
  <c r="C274" i="7"/>
  <c r="H274" i="7" s="1"/>
  <c r="C275" i="7"/>
  <c r="H275" i="7" s="1"/>
  <c r="C276" i="7"/>
  <c r="H276" i="7" s="1"/>
  <c r="C277" i="7"/>
  <c r="H277" i="7" s="1"/>
  <c r="C278" i="7"/>
  <c r="H278" i="7" s="1"/>
  <c r="C279" i="7"/>
  <c r="H279" i="7" s="1"/>
  <c r="C280" i="7"/>
  <c r="H280" i="7" s="1"/>
  <c r="C281" i="7"/>
  <c r="H281" i="7" s="1"/>
  <c r="C282" i="7"/>
  <c r="H282" i="7" s="1"/>
  <c r="C283" i="7"/>
  <c r="H283" i="7" s="1"/>
  <c r="C284" i="7"/>
  <c r="H284" i="7" s="1"/>
  <c r="C285" i="7"/>
  <c r="H285" i="7" s="1"/>
  <c r="C286" i="7"/>
  <c r="H286" i="7" s="1"/>
  <c r="C287" i="7"/>
  <c r="H287" i="7" s="1"/>
  <c r="C288" i="7"/>
  <c r="H288" i="7" s="1"/>
  <c r="C289" i="7"/>
  <c r="H289" i="7" s="1"/>
  <c r="C290" i="7"/>
  <c r="H290" i="7" s="1"/>
  <c r="C291" i="7"/>
  <c r="H291" i="7" s="1"/>
  <c r="C292" i="7"/>
  <c r="H292" i="7" s="1"/>
  <c r="C293" i="7"/>
  <c r="H293" i="7" s="1"/>
  <c r="C294" i="7"/>
  <c r="H294" i="7" s="1"/>
  <c r="C295" i="7"/>
  <c r="H295" i="7" s="1"/>
  <c r="C296" i="7"/>
  <c r="H296" i="7" s="1"/>
  <c r="C297" i="7"/>
  <c r="H297" i="7" s="1"/>
  <c r="C298" i="7"/>
  <c r="H298" i="7" s="1"/>
  <c r="C299" i="7"/>
  <c r="H299" i="7" s="1"/>
  <c r="C300" i="7"/>
  <c r="H300" i="7" s="1"/>
  <c r="C301" i="7"/>
  <c r="H301" i="7" s="1"/>
  <c r="C302" i="7"/>
  <c r="H302" i="7" s="1"/>
  <c r="C303" i="7"/>
  <c r="H303" i="7" s="1"/>
  <c r="C304" i="7"/>
  <c r="H304" i="7" s="1"/>
  <c r="C305" i="7"/>
  <c r="H305" i="7" s="1"/>
  <c r="C306" i="7"/>
  <c r="H306" i="7" s="1"/>
  <c r="C307" i="7"/>
  <c r="H307" i="7" s="1"/>
  <c r="C308" i="7"/>
  <c r="H308" i="7" s="1"/>
  <c r="C309" i="7"/>
  <c r="H309" i="7" s="1"/>
  <c r="C310" i="7"/>
  <c r="H310" i="7" s="1"/>
  <c r="C311" i="7"/>
  <c r="H311" i="7" s="1"/>
  <c r="C312" i="7"/>
  <c r="H312" i="7" s="1"/>
  <c r="C313" i="7"/>
  <c r="H313" i="7" s="1"/>
  <c r="C314" i="7"/>
  <c r="H314" i="7" s="1"/>
  <c r="C315" i="7"/>
  <c r="H315" i="7" s="1"/>
  <c r="C316" i="7"/>
  <c r="H316" i="7" s="1"/>
  <c r="C317" i="7"/>
  <c r="H317" i="7" s="1"/>
  <c r="C318" i="7"/>
  <c r="H318" i="7" s="1"/>
  <c r="C319" i="7"/>
  <c r="H319" i="7" s="1"/>
  <c r="C320" i="7"/>
  <c r="H320" i="7" s="1"/>
  <c r="C321" i="7"/>
  <c r="H321" i="7" s="1"/>
  <c r="C322" i="7"/>
  <c r="H322" i="7" s="1"/>
  <c r="C323" i="7"/>
  <c r="H323" i="7" s="1"/>
  <c r="C324" i="7"/>
  <c r="H324" i="7" s="1"/>
  <c r="C325" i="7"/>
  <c r="H325" i="7" s="1"/>
  <c r="C326" i="7"/>
  <c r="H326" i="7" s="1"/>
  <c r="C327" i="7"/>
  <c r="H327" i="7" s="1"/>
  <c r="C328" i="7"/>
  <c r="H328" i="7" s="1"/>
  <c r="C329" i="7"/>
  <c r="H329" i="7" s="1"/>
  <c r="C330" i="7"/>
  <c r="H330" i="7" s="1"/>
  <c r="C331" i="7"/>
  <c r="H331" i="7" s="1"/>
  <c r="C332" i="7"/>
  <c r="H332" i="7" s="1"/>
  <c r="C333" i="7"/>
  <c r="H333" i="7" s="1"/>
  <c r="C334" i="7"/>
  <c r="H334" i="7" s="1"/>
  <c r="C335" i="7"/>
  <c r="H335" i="7" s="1"/>
  <c r="C336" i="7"/>
  <c r="H336" i="7" s="1"/>
  <c r="C337" i="7"/>
  <c r="H337" i="7" s="1"/>
  <c r="C338" i="7"/>
  <c r="H338" i="7" s="1"/>
  <c r="C339" i="7"/>
  <c r="H339" i="7" s="1"/>
  <c r="C340" i="7"/>
  <c r="H340" i="7" s="1"/>
  <c r="C341" i="7"/>
  <c r="H341" i="7" s="1"/>
  <c r="C342" i="7"/>
  <c r="H342" i="7" s="1"/>
  <c r="C343" i="7"/>
  <c r="H343" i="7" s="1"/>
  <c r="C344" i="7"/>
  <c r="H344" i="7" s="1"/>
  <c r="C345" i="7"/>
  <c r="H345" i="7" s="1"/>
  <c r="C346" i="7"/>
  <c r="H346" i="7" s="1"/>
  <c r="C347" i="7"/>
  <c r="H347" i="7" s="1"/>
  <c r="C348" i="7"/>
  <c r="H348" i="7" s="1"/>
  <c r="C349" i="7"/>
  <c r="H349" i="7" s="1"/>
  <c r="C350" i="7"/>
  <c r="H350" i="7" s="1"/>
  <c r="C351" i="7"/>
  <c r="H351" i="7" s="1"/>
  <c r="C352" i="7"/>
  <c r="H352" i="7" s="1"/>
  <c r="C353" i="7"/>
  <c r="H353" i="7" s="1"/>
  <c r="C354" i="7"/>
  <c r="H354" i="7" s="1"/>
  <c r="C355" i="7"/>
  <c r="H355" i="7" s="1"/>
  <c r="C356" i="7"/>
  <c r="H356" i="7" s="1"/>
  <c r="C357" i="7"/>
  <c r="H357" i="7" s="1"/>
  <c r="C358" i="7"/>
  <c r="H358" i="7" s="1"/>
  <c r="C359" i="7"/>
  <c r="H359" i="7" s="1"/>
  <c r="C360" i="7"/>
  <c r="H360" i="7" s="1"/>
  <c r="C361" i="7"/>
  <c r="H361" i="7" s="1"/>
  <c r="C362" i="7"/>
  <c r="H362" i="7" s="1"/>
  <c r="C363" i="7"/>
  <c r="H363" i="7" s="1"/>
  <c r="C364" i="7"/>
  <c r="H364" i="7" s="1"/>
  <c r="C365" i="7"/>
  <c r="H365" i="7" s="1"/>
  <c r="C366" i="7"/>
  <c r="H366" i="7" s="1"/>
  <c r="C367" i="7"/>
  <c r="H367" i="7" s="1"/>
  <c r="C368" i="7"/>
  <c r="H368" i="7" s="1"/>
  <c r="C369" i="7"/>
  <c r="H369" i="7" s="1"/>
  <c r="C370" i="7"/>
  <c r="H370" i="7" s="1"/>
  <c r="C371" i="7"/>
  <c r="H371" i="7" s="1"/>
  <c r="C372" i="7"/>
  <c r="H372" i="7" s="1"/>
  <c r="C373" i="7"/>
  <c r="H373" i="7" s="1"/>
  <c r="C374" i="7"/>
  <c r="H374" i="7" s="1"/>
  <c r="C375" i="7"/>
  <c r="H375" i="7" s="1"/>
  <c r="C376" i="7"/>
  <c r="H376" i="7" s="1"/>
  <c r="C377" i="7"/>
  <c r="H377" i="7" s="1"/>
  <c r="C378" i="7"/>
  <c r="H378" i="7" s="1"/>
  <c r="C379" i="7"/>
  <c r="H379" i="7" s="1"/>
  <c r="C380" i="7"/>
  <c r="H380" i="7" s="1"/>
  <c r="C381" i="7"/>
  <c r="H381" i="7" s="1"/>
  <c r="C382" i="7"/>
  <c r="H382" i="7" s="1"/>
  <c r="C383" i="7"/>
  <c r="H383" i="7" s="1"/>
  <c r="C384" i="7"/>
  <c r="H384" i="7" s="1"/>
  <c r="C385" i="7"/>
  <c r="H385" i="7" s="1"/>
  <c r="C386" i="7"/>
  <c r="H386" i="7" s="1"/>
  <c r="C387" i="7"/>
  <c r="H387" i="7" s="1"/>
  <c r="C388" i="7"/>
  <c r="H388" i="7" s="1"/>
  <c r="C389" i="7"/>
  <c r="H389" i="7" s="1"/>
  <c r="C390" i="7"/>
  <c r="H390" i="7" s="1"/>
  <c r="C391" i="7"/>
  <c r="H391" i="7" s="1"/>
  <c r="C392" i="7"/>
  <c r="H392" i="7" s="1"/>
  <c r="C393" i="7"/>
  <c r="H393" i="7" s="1"/>
  <c r="C394" i="7"/>
  <c r="H394" i="7" s="1"/>
  <c r="C395" i="7"/>
  <c r="H395" i="7" s="1"/>
  <c r="C396" i="7"/>
  <c r="H396" i="7" s="1"/>
  <c r="C397" i="7"/>
  <c r="H397" i="7" s="1"/>
  <c r="C398" i="7"/>
  <c r="H398" i="7" s="1"/>
  <c r="C399" i="7"/>
  <c r="H399" i="7" s="1"/>
  <c r="C400" i="7"/>
  <c r="H400" i="7" s="1"/>
  <c r="C401" i="7"/>
  <c r="H401" i="7" s="1"/>
  <c r="C402" i="7"/>
  <c r="H402" i="7" s="1"/>
  <c r="C403" i="7"/>
  <c r="H403" i="7" s="1"/>
  <c r="C404" i="7"/>
  <c r="H404" i="7" s="1"/>
  <c r="C405" i="7"/>
  <c r="H405" i="7" s="1"/>
  <c r="C406" i="7"/>
  <c r="H406" i="7" s="1"/>
  <c r="C407" i="7"/>
  <c r="H407" i="7" s="1"/>
  <c r="C408" i="7"/>
  <c r="H408" i="7" s="1"/>
  <c r="C409" i="7"/>
  <c r="H409" i="7" s="1"/>
  <c r="C410" i="7"/>
  <c r="H410" i="7" s="1"/>
  <c r="C411" i="7"/>
  <c r="H411" i="7" s="1"/>
  <c r="C412" i="7"/>
  <c r="H412" i="7" s="1"/>
  <c r="C413" i="7"/>
  <c r="H413" i="7" s="1"/>
  <c r="C414" i="7"/>
  <c r="H414" i="7" s="1"/>
  <c r="C415" i="7"/>
  <c r="H415" i="7" s="1"/>
  <c r="C416" i="7"/>
  <c r="H416" i="7" s="1"/>
  <c r="C417" i="7"/>
  <c r="H417" i="7" s="1"/>
  <c r="C418" i="7"/>
  <c r="H418" i="7" s="1"/>
  <c r="C419" i="7"/>
  <c r="H419" i="7" s="1"/>
  <c r="C420" i="7"/>
  <c r="H420" i="7" s="1"/>
  <c r="C421" i="7"/>
  <c r="H421" i="7" s="1"/>
  <c r="C422" i="7"/>
  <c r="H422" i="7" s="1"/>
  <c r="C423" i="7"/>
  <c r="H423" i="7" s="1"/>
  <c r="C424" i="7"/>
  <c r="H424" i="7" s="1"/>
  <c r="C425" i="7"/>
  <c r="H425" i="7" s="1"/>
  <c r="C426" i="7"/>
  <c r="H426" i="7" s="1"/>
  <c r="C427" i="7"/>
  <c r="H427" i="7" s="1"/>
  <c r="C428" i="7"/>
  <c r="H428" i="7" s="1"/>
  <c r="C429" i="7"/>
  <c r="H429" i="7" s="1"/>
  <c r="C430" i="7"/>
  <c r="H430" i="7" s="1"/>
  <c r="C431" i="7"/>
  <c r="H431" i="7" s="1"/>
  <c r="C432" i="7"/>
  <c r="H432" i="7" s="1"/>
  <c r="C433" i="7"/>
  <c r="H433" i="7" s="1"/>
  <c r="C434" i="7"/>
  <c r="H434" i="7" s="1"/>
  <c r="C435" i="7"/>
  <c r="H435" i="7" s="1"/>
  <c r="C436" i="7"/>
  <c r="H436" i="7" s="1"/>
  <c r="C437" i="7"/>
  <c r="H437" i="7" s="1"/>
  <c r="C438" i="7"/>
  <c r="H438" i="7" s="1"/>
  <c r="C439" i="7"/>
  <c r="H439" i="7" s="1"/>
  <c r="C440" i="7"/>
  <c r="H440" i="7" s="1"/>
  <c r="C441" i="7"/>
  <c r="H441" i="7" s="1"/>
  <c r="C442" i="7"/>
  <c r="H442" i="7" s="1"/>
  <c r="C443" i="7"/>
  <c r="H443" i="7" s="1"/>
  <c r="C444" i="7"/>
  <c r="H444" i="7" s="1"/>
  <c r="C445" i="7"/>
  <c r="H445" i="7" s="1"/>
  <c r="C446" i="7"/>
  <c r="H446" i="7" s="1"/>
  <c r="C447" i="7"/>
  <c r="H447" i="7" s="1"/>
  <c r="C448" i="7"/>
  <c r="H448" i="7" s="1"/>
  <c r="C449" i="7"/>
  <c r="H449" i="7" s="1"/>
  <c r="C450" i="7"/>
  <c r="H450" i="7" s="1"/>
  <c r="C451" i="7"/>
  <c r="H451" i="7" s="1"/>
  <c r="C452" i="7"/>
  <c r="H452" i="7" s="1"/>
  <c r="C453" i="7"/>
  <c r="H453" i="7" s="1"/>
  <c r="C454" i="7"/>
  <c r="H454" i="7" s="1"/>
  <c r="C455" i="7"/>
  <c r="H455" i="7" s="1"/>
  <c r="C456" i="7"/>
  <c r="H456" i="7" s="1"/>
  <c r="C457" i="7"/>
  <c r="H457" i="7" s="1"/>
  <c r="C458" i="7"/>
  <c r="H458" i="7" s="1"/>
  <c r="C459" i="7"/>
  <c r="H459" i="7" s="1"/>
  <c r="C460" i="7"/>
  <c r="H460" i="7" s="1"/>
  <c r="C461" i="7"/>
  <c r="H461" i="7" s="1"/>
  <c r="C462" i="7"/>
  <c r="H462" i="7" s="1"/>
  <c r="C463" i="7"/>
  <c r="H463" i="7" s="1"/>
  <c r="C464" i="7"/>
  <c r="H464" i="7" s="1"/>
  <c r="C465" i="7"/>
  <c r="H465" i="7" s="1"/>
  <c r="C466" i="7"/>
  <c r="H466" i="7" s="1"/>
  <c r="C467" i="7"/>
  <c r="H467" i="7" s="1"/>
  <c r="C468" i="7"/>
  <c r="H468" i="7" s="1"/>
  <c r="C469" i="7"/>
  <c r="H469" i="7" s="1"/>
  <c r="C470" i="7"/>
  <c r="H470" i="7" s="1"/>
  <c r="C471" i="7"/>
  <c r="H471" i="7" s="1"/>
  <c r="C472" i="7"/>
  <c r="H472" i="7" s="1"/>
  <c r="C473" i="7"/>
  <c r="H473" i="7" s="1"/>
  <c r="C474" i="7"/>
  <c r="H474" i="7" s="1"/>
  <c r="C475" i="7"/>
  <c r="H475" i="7" s="1"/>
  <c r="C476" i="7"/>
  <c r="H476" i="7" s="1"/>
  <c r="C477" i="7"/>
  <c r="H477" i="7" s="1"/>
  <c r="C478" i="7"/>
  <c r="H478" i="7" s="1"/>
  <c r="C479" i="7"/>
  <c r="H479" i="7" s="1"/>
  <c r="C480" i="7"/>
  <c r="H480" i="7" s="1"/>
  <c r="C481" i="7"/>
  <c r="H481" i="7" s="1"/>
  <c r="C482" i="7"/>
  <c r="H482" i="7" s="1"/>
  <c r="C483" i="7"/>
  <c r="H483" i="7" s="1"/>
  <c r="C484" i="7"/>
  <c r="H484" i="7" s="1"/>
  <c r="C485" i="7"/>
  <c r="H485" i="7" s="1"/>
  <c r="C486" i="7"/>
  <c r="H486" i="7" s="1"/>
  <c r="C487" i="7"/>
  <c r="H487" i="7" s="1"/>
  <c r="C488" i="7"/>
  <c r="H488" i="7" s="1"/>
  <c r="C489" i="7"/>
  <c r="H489" i="7" s="1"/>
  <c r="C490" i="7"/>
  <c r="H490" i="7" s="1"/>
  <c r="C491" i="7"/>
  <c r="H491" i="7" s="1"/>
  <c r="C492" i="7"/>
  <c r="H492" i="7" s="1"/>
  <c r="C493" i="7"/>
  <c r="H493" i="7" s="1"/>
  <c r="C494" i="7"/>
  <c r="H494" i="7" s="1"/>
  <c r="C495" i="7"/>
  <c r="H495" i="7" s="1"/>
  <c r="C496" i="7"/>
  <c r="H496" i="7" s="1"/>
  <c r="C497" i="7"/>
  <c r="H497" i="7" s="1"/>
  <c r="C498" i="7"/>
  <c r="H498" i="7" s="1"/>
  <c r="C499" i="7"/>
  <c r="H499" i="7" s="1"/>
  <c r="C500" i="7"/>
  <c r="H500" i="7" s="1"/>
  <c r="C501" i="7"/>
  <c r="H501" i="7" s="1"/>
  <c r="C502" i="7"/>
  <c r="H502" i="7" s="1"/>
  <c r="C503" i="7"/>
  <c r="H503" i="7" s="1"/>
  <c r="C504" i="7"/>
  <c r="H504" i="7" s="1"/>
  <c r="C505" i="7"/>
  <c r="H505" i="7" s="1"/>
  <c r="C506" i="7"/>
  <c r="H506" i="7" s="1"/>
  <c r="C507" i="7"/>
  <c r="H507" i="7" s="1"/>
  <c r="C508" i="7"/>
  <c r="H508" i="7" s="1"/>
  <c r="C509" i="7"/>
  <c r="H509" i="7" s="1"/>
  <c r="C510" i="7"/>
  <c r="H510" i="7" s="1"/>
  <c r="C511" i="7"/>
  <c r="H511" i="7" s="1"/>
  <c r="C512" i="7"/>
  <c r="H512" i="7" s="1"/>
  <c r="C513" i="7"/>
  <c r="H513" i="7" s="1"/>
  <c r="C514" i="7"/>
  <c r="H514" i="7" s="1"/>
  <c r="C515" i="7"/>
  <c r="H515" i="7" s="1"/>
  <c r="C516" i="7"/>
  <c r="H516" i="7" s="1"/>
  <c r="C517" i="7"/>
  <c r="H517" i="7" s="1"/>
  <c r="C518" i="7"/>
  <c r="H518" i="7" s="1"/>
  <c r="C519" i="7"/>
  <c r="H519" i="7" s="1"/>
  <c r="C520" i="7"/>
  <c r="H520" i="7" s="1"/>
  <c r="C521" i="7"/>
  <c r="H521" i="7" s="1"/>
  <c r="C522" i="7"/>
  <c r="H522" i="7" s="1"/>
  <c r="C523" i="7"/>
  <c r="H523" i="7" s="1"/>
  <c r="C524" i="7"/>
  <c r="H524" i="7" s="1"/>
  <c r="C525" i="7"/>
  <c r="H525" i="7" s="1"/>
  <c r="C526" i="7"/>
  <c r="H526" i="7" s="1"/>
  <c r="C527" i="7"/>
  <c r="H527" i="7" s="1"/>
  <c r="C528" i="7"/>
  <c r="H528" i="7" s="1"/>
  <c r="C529" i="7"/>
  <c r="H529" i="7" s="1"/>
  <c r="C530" i="7"/>
  <c r="H530" i="7" s="1"/>
  <c r="C531" i="7"/>
  <c r="H531" i="7" s="1"/>
  <c r="C532" i="7"/>
  <c r="H532" i="7" s="1"/>
  <c r="C533" i="7"/>
  <c r="H533" i="7" s="1"/>
  <c r="C534" i="7"/>
  <c r="H534" i="7" s="1"/>
  <c r="C535" i="7"/>
  <c r="H535" i="7" s="1"/>
  <c r="C536" i="7"/>
  <c r="H536" i="7" s="1"/>
  <c r="C537" i="7"/>
  <c r="H537" i="7" s="1"/>
  <c r="C538" i="7"/>
  <c r="H538" i="7" s="1"/>
  <c r="C539" i="7"/>
  <c r="H539" i="7" s="1"/>
  <c r="C540" i="7"/>
  <c r="H540" i="7" s="1"/>
  <c r="C541" i="7"/>
  <c r="H541" i="7" s="1"/>
  <c r="C542" i="7"/>
  <c r="H542" i="7" s="1"/>
  <c r="C543" i="7"/>
  <c r="H543" i="7" s="1"/>
  <c r="C544" i="7"/>
  <c r="H544" i="7" s="1"/>
  <c r="C545" i="7"/>
  <c r="H545" i="7" s="1"/>
  <c r="C546" i="7"/>
  <c r="H546" i="7" s="1"/>
  <c r="C547" i="7"/>
  <c r="H547" i="7" s="1"/>
  <c r="C548" i="7"/>
  <c r="H548" i="7" s="1"/>
  <c r="C549" i="7"/>
  <c r="H549" i="7" s="1"/>
  <c r="C550" i="7"/>
  <c r="H550" i="7" s="1"/>
  <c r="C551" i="7"/>
  <c r="H551" i="7" s="1"/>
  <c r="C552" i="7"/>
  <c r="H552" i="7" s="1"/>
  <c r="C553" i="7"/>
  <c r="H553" i="7" s="1"/>
  <c r="C554" i="7"/>
  <c r="H554" i="7" s="1"/>
  <c r="C555" i="7"/>
  <c r="H555" i="7" s="1"/>
  <c r="C556" i="7"/>
  <c r="H556" i="7" s="1"/>
  <c r="C557" i="7"/>
  <c r="H557" i="7" s="1"/>
  <c r="C558" i="7"/>
  <c r="H558" i="7" s="1"/>
  <c r="C559" i="7"/>
  <c r="H559" i="7" s="1"/>
  <c r="C560" i="7"/>
  <c r="H560" i="7" s="1"/>
  <c r="C561" i="7"/>
  <c r="H561" i="7" s="1"/>
  <c r="C562" i="7"/>
  <c r="H562" i="7" s="1"/>
  <c r="C563" i="7"/>
  <c r="H563" i="7" s="1"/>
  <c r="C564" i="7"/>
  <c r="H564" i="7" s="1"/>
  <c r="C565" i="7"/>
  <c r="H565" i="7" s="1"/>
  <c r="C566" i="7"/>
  <c r="H566" i="7" s="1"/>
  <c r="C567" i="7"/>
  <c r="H567" i="7" s="1"/>
  <c r="C568" i="7"/>
  <c r="H568" i="7" s="1"/>
  <c r="C569" i="7"/>
  <c r="H569" i="7" s="1"/>
  <c r="C570" i="7"/>
  <c r="H570" i="7" s="1"/>
  <c r="C571" i="7"/>
  <c r="H571" i="7" s="1"/>
  <c r="C572" i="7"/>
  <c r="H572" i="7" s="1"/>
  <c r="C573" i="7"/>
  <c r="H573" i="7" s="1"/>
  <c r="C574" i="7"/>
  <c r="H574" i="7" s="1"/>
  <c r="C575" i="7"/>
  <c r="H575" i="7" s="1"/>
  <c r="C576" i="7"/>
  <c r="H576" i="7" s="1"/>
  <c r="C577" i="7"/>
  <c r="H577" i="7" s="1"/>
  <c r="C578" i="7"/>
  <c r="H578" i="7" s="1"/>
  <c r="C579" i="7"/>
  <c r="H579" i="7" s="1"/>
  <c r="C580" i="7"/>
  <c r="H580" i="7" s="1"/>
  <c r="C581" i="7"/>
  <c r="H581" i="7" s="1"/>
  <c r="C582" i="7"/>
  <c r="H582" i="7" s="1"/>
  <c r="C583" i="7"/>
  <c r="H583" i="7" s="1"/>
  <c r="C584" i="7"/>
  <c r="H584" i="7" s="1"/>
  <c r="C585" i="7"/>
  <c r="H585" i="7" s="1"/>
  <c r="C586" i="7"/>
  <c r="H586" i="7" s="1"/>
  <c r="C587" i="7"/>
  <c r="H587" i="7" s="1"/>
  <c r="C588" i="7"/>
  <c r="H588" i="7" s="1"/>
  <c r="C589" i="7"/>
  <c r="H589" i="7" s="1"/>
  <c r="C590" i="7"/>
  <c r="H590" i="7" s="1"/>
  <c r="C591" i="7"/>
  <c r="H591" i="7" s="1"/>
  <c r="C592" i="7"/>
  <c r="H592" i="7" s="1"/>
  <c r="C593" i="7"/>
  <c r="H593" i="7" s="1"/>
  <c r="C594" i="7"/>
  <c r="H594" i="7" s="1"/>
  <c r="C595" i="7"/>
  <c r="H595" i="7" s="1"/>
  <c r="C596" i="7"/>
  <c r="H596" i="7" s="1"/>
  <c r="C597" i="7"/>
  <c r="H597" i="7" s="1"/>
  <c r="C598" i="7"/>
  <c r="H598" i="7" s="1"/>
  <c r="C599" i="7"/>
  <c r="H599" i="7" s="1"/>
  <c r="C600" i="7"/>
  <c r="H600" i="7" s="1"/>
  <c r="C601" i="7"/>
  <c r="H601" i="7" s="1"/>
  <c r="C602" i="7"/>
  <c r="H602" i="7" s="1"/>
  <c r="C603" i="7"/>
  <c r="H603" i="7" s="1"/>
  <c r="C604" i="7"/>
  <c r="H604" i="7" s="1"/>
  <c r="C605" i="7"/>
  <c r="H605" i="7" s="1"/>
  <c r="C606" i="7"/>
  <c r="H606" i="7" s="1"/>
  <c r="C607" i="7"/>
  <c r="H607" i="7" s="1"/>
  <c r="C608" i="7"/>
  <c r="H608" i="7" s="1"/>
  <c r="C609" i="7"/>
  <c r="H609" i="7" s="1"/>
  <c r="C610" i="7"/>
  <c r="H610" i="7" s="1"/>
  <c r="C611" i="7"/>
  <c r="H611" i="7" s="1"/>
  <c r="C612" i="7"/>
  <c r="H612" i="7" s="1"/>
  <c r="C613" i="7"/>
  <c r="H613" i="7" s="1"/>
  <c r="C614" i="7"/>
  <c r="H614" i="7" s="1"/>
  <c r="C615" i="7"/>
  <c r="H615" i="7" s="1"/>
  <c r="C616" i="7"/>
  <c r="H616" i="7" s="1"/>
  <c r="C617" i="7"/>
  <c r="H617" i="7" s="1"/>
  <c r="C618" i="7"/>
  <c r="H618" i="7" s="1"/>
  <c r="C619" i="7"/>
  <c r="H619" i="7" s="1"/>
  <c r="C620" i="7"/>
  <c r="H620" i="7" s="1"/>
  <c r="C621" i="7"/>
  <c r="H621" i="7" s="1"/>
  <c r="C622" i="7"/>
  <c r="H622" i="7" s="1"/>
  <c r="C623" i="7"/>
  <c r="H623" i="7" s="1"/>
  <c r="C624" i="7"/>
  <c r="H624" i="7" s="1"/>
  <c r="C625" i="7"/>
  <c r="H625" i="7" s="1"/>
  <c r="C626" i="7"/>
  <c r="H626" i="7" s="1"/>
  <c r="C627" i="7"/>
  <c r="H627" i="7" s="1"/>
  <c r="C628" i="7"/>
  <c r="H628" i="7" s="1"/>
  <c r="C629" i="7"/>
  <c r="H629" i="7" s="1"/>
  <c r="C630" i="7"/>
  <c r="H630" i="7" s="1"/>
  <c r="C631" i="7"/>
  <c r="H631" i="7" s="1"/>
  <c r="C632" i="7"/>
  <c r="H632" i="7" s="1"/>
  <c r="C633" i="7"/>
  <c r="H633" i="7" s="1"/>
  <c r="C634" i="7"/>
  <c r="H634" i="7" s="1"/>
  <c r="C635" i="7"/>
  <c r="H635" i="7" s="1"/>
  <c r="C636" i="7"/>
  <c r="H636" i="7" s="1"/>
  <c r="C637" i="7"/>
  <c r="H637" i="7" s="1"/>
  <c r="C638" i="7"/>
  <c r="H638" i="7" s="1"/>
  <c r="C639" i="7"/>
  <c r="H639" i="7" s="1"/>
  <c r="C640" i="7"/>
  <c r="H640" i="7" s="1"/>
  <c r="C641" i="7"/>
  <c r="H641" i="7" s="1"/>
  <c r="C642" i="7"/>
  <c r="H642" i="7" s="1"/>
  <c r="C643" i="7"/>
  <c r="H643" i="7" s="1"/>
  <c r="C644" i="7"/>
  <c r="H644" i="7" s="1"/>
  <c r="C645" i="7"/>
  <c r="H645" i="7" s="1"/>
  <c r="C646" i="7"/>
  <c r="H646" i="7" s="1"/>
  <c r="C647" i="7"/>
  <c r="H647" i="7" s="1"/>
  <c r="C648" i="7"/>
  <c r="H648" i="7" s="1"/>
  <c r="C649" i="7"/>
  <c r="H649" i="7" s="1"/>
  <c r="C650" i="7"/>
  <c r="H650" i="7" s="1"/>
  <c r="C651" i="7"/>
  <c r="H651" i="7" s="1"/>
  <c r="C652" i="7"/>
  <c r="H652" i="7" s="1"/>
  <c r="C653" i="7"/>
  <c r="H653" i="7" s="1"/>
  <c r="C654" i="7"/>
  <c r="H654" i="7" s="1"/>
  <c r="C655" i="7"/>
  <c r="H655" i="7" s="1"/>
  <c r="C656" i="7"/>
  <c r="H656" i="7" s="1"/>
  <c r="C657" i="7"/>
  <c r="H657" i="7" s="1"/>
  <c r="C658" i="7"/>
  <c r="H658" i="7" s="1"/>
  <c r="C659" i="7"/>
  <c r="H659" i="7" s="1"/>
  <c r="C660" i="7"/>
  <c r="H660" i="7" s="1"/>
  <c r="C661" i="7"/>
  <c r="H661" i="7" s="1"/>
  <c r="C662" i="7"/>
  <c r="H662" i="7" s="1"/>
  <c r="C663" i="7"/>
  <c r="H663" i="7" s="1"/>
  <c r="C664" i="7"/>
  <c r="H664" i="7" s="1"/>
  <c r="C665" i="7"/>
  <c r="H665" i="7" s="1"/>
  <c r="C666" i="7"/>
  <c r="H666" i="7" s="1"/>
  <c r="C667" i="7"/>
  <c r="H667" i="7" s="1"/>
  <c r="C668" i="7"/>
  <c r="H668" i="7" s="1"/>
  <c r="C669" i="7"/>
  <c r="H669" i="7" s="1"/>
  <c r="C670" i="7"/>
  <c r="H670" i="7" s="1"/>
  <c r="C671" i="7"/>
  <c r="H671" i="7" s="1"/>
  <c r="C672" i="7"/>
  <c r="H672" i="7" s="1"/>
  <c r="C673" i="7"/>
  <c r="H673" i="7" s="1"/>
  <c r="C674" i="7"/>
  <c r="H674" i="7" s="1"/>
  <c r="C675" i="7"/>
  <c r="H675" i="7" s="1"/>
  <c r="C676" i="7"/>
  <c r="H676" i="7" s="1"/>
  <c r="C677" i="7"/>
  <c r="H677" i="7" s="1"/>
  <c r="C678" i="7"/>
  <c r="H678" i="7" s="1"/>
  <c r="C679" i="7"/>
  <c r="H679" i="7" s="1"/>
  <c r="C680" i="7"/>
  <c r="H680" i="7" s="1"/>
  <c r="C681" i="7"/>
  <c r="H681" i="7" s="1"/>
  <c r="C682" i="7"/>
  <c r="H682" i="7" s="1"/>
  <c r="C683" i="7"/>
  <c r="H683" i="7" s="1"/>
  <c r="C684" i="7"/>
  <c r="H684" i="7" s="1"/>
  <c r="C685" i="7"/>
  <c r="H685" i="7" s="1"/>
  <c r="C686" i="7"/>
  <c r="H686" i="7" s="1"/>
  <c r="C687" i="7"/>
  <c r="H687" i="7" s="1"/>
  <c r="C688" i="7"/>
  <c r="H688" i="7" s="1"/>
  <c r="C689" i="7"/>
  <c r="H689" i="7" s="1"/>
  <c r="C690" i="7"/>
  <c r="H690" i="7" s="1"/>
  <c r="C691" i="7"/>
  <c r="H691" i="7" s="1"/>
  <c r="C692" i="7"/>
  <c r="H692" i="7" s="1"/>
  <c r="C693" i="7"/>
  <c r="H693" i="7" s="1"/>
  <c r="C694" i="7"/>
  <c r="H694" i="7" s="1"/>
  <c r="C695" i="7"/>
  <c r="H695" i="7" s="1"/>
  <c r="C696" i="7"/>
  <c r="H696" i="7" s="1"/>
  <c r="C697" i="7"/>
  <c r="H697" i="7" s="1"/>
  <c r="C698" i="7"/>
  <c r="H698" i="7" s="1"/>
  <c r="C699" i="7"/>
  <c r="H699" i="7" s="1"/>
  <c r="C700" i="7"/>
  <c r="H700" i="7" s="1"/>
  <c r="C701" i="7"/>
  <c r="H701" i="7" s="1"/>
  <c r="C702" i="7"/>
  <c r="H702" i="7" s="1"/>
  <c r="C703" i="7"/>
  <c r="H703" i="7" s="1"/>
  <c r="C704" i="7"/>
  <c r="H704" i="7" s="1"/>
  <c r="C705" i="7"/>
  <c r="H705" i="7" s="1"/>
  <c r="C706" i="7"/>
  <c r="H706" i="7" s="1"/>
  <c r="C707" i="7"/>
  <c r="H707" i="7" s="1"/>
  <c r="C708" i="7"/>
  <c r="H708" i="7" s="1"/>
  <c r="C709" i="7"/>
  <c r="H709" i="7" s="1"/>
  <c r="C710" i="7"/>
  <c r="H710" i="7" s="1"/>
  <c r="C711" i="7"/>
  <c r="H711" i="7" s="1"/>
  <c r="C712" i="7"/>
  <c r="H712" i="7" s="1"/>
  <c r="C713" i="7"/>
  <c r="H713" i="7" s="1"/>
  <c r="C714" i="7"/>
  <c r="H714" i="7" s="1"/>
  <c r="C715" i="7"/>
  <c r="H715" i="7" s="1"/>
  <c r="C716" i="7"/>
  <c r="H716" i="7" s="1"/>
  <c r="C717" i="7"/>
  <c r="H717" i="7" s="1"/>
  <c r="C718" i="7"/>
  <c r="H718" i="7" s="1"/>
  <c r="C719" i="7"/>
  <c r="H719" i="7" s="1"/>
  <c r="C720" i="7"/>
  <c r="H720" i="7" s="1"/>
  <c r="C721" i="7"/>
  <c r="H721" i="7" s="1"/>
  <c r="C722" i="7"/>
  <c r="H722" i="7" s="1"/>
  <c r="C723" i="7"/>
  <c r="H723" i="7" s="1"/>
  <c r="C724" i="7"/>
  <c r="H724" i="7" s="1"/>
  <c r="C725" i="7"/>
  <c r="H725" i="7" s="1"/>
  <c r="C726" i="7"/>
  <c r="H726" i="7" s="1"/>
  <c r="C727" i="7"/>
  <c r="H727" i="7" s="1"/>
  <c r="C728" i="7"/>
  <c r="H728" i="7" s="1"/>
  <c r="C729" i="7"/>
  <c r="H729" i="7" s="1"/>
  <c r="C730" i="7"/>
  <c r="H730" i="7" s="1"/>
  <c r="C731" i="7"/>
  <c r="H731" i="7" s="1"/>
  <c r="C732" i="7"/>
  <c r="H732" i="7" s="1"/>
  <c r="C733" i="7"/>
  <c r="H733" i="7" s="1"/>
  <c r="C734" i="7"/>
  <c r="H734" i="7" s="1"/>
  <c r="C735" i="7"/>
  <c r="H735" i="7" s="1"/>
  <c r="C736" i="7"/>
  <c r="H736" i="7" s="1"/>
  <c r="C737" i="7"/>
  <c r="H737" i="7" s="1"/>
  <c r="C738" i="7"/>
  <c r="H738" i="7" s="1"/>
  <c r="C739" i="7"/>
  <c r="H739" i="7" s="1"/>
  <c r="C740" i="7"/>
  <c r="H740" i="7" s="1"/>
  <c r="C741" i="7"/>
  <c r="H741" i="7" s="1"/>
  <c r="C742" i="7"/>
  <c r="H742" i="7" s="1"/>
  <c r="C743" i="7"/>
  <c r="H743" i="7" s="1"/>
  <c r="C744" i="7"/>
  <c r="H744" i="7" s="1"/>
  <c r="C745" i="7"/>
  <c r="H745" i="7" s="1"/>
  <c r="C746" i="7"/>
  <c r="H746" i="7" s="1"/>
  <c r="C747" i="7"/>
  <c r="H747" i="7" s="1"/>
  <c r="C748" i="7"/>
  <c r="H748" i="7" s="1"/>
  <c r="C749" i="7"/>
  <c r="H749" i="7" s="1"/>
  <c r="C750" i="7"/>
  <c r="H750" i="7" s="1"/>
  <c r="C751" i="7"/>
  <c r="H751" i="7" s="1"/>
  <c r="C752" i="7"/>
  <c r="H752" i="7" s="1"/>
  <c r="C753" i="7"/>
  <c r="H753" i="7" s="1"/>
  <c r="C754" i="7"/>
  <c r="H754" i="7" s="1"/>
  <c r="C755" i="7"/>
  <c r="H755" i="7" s="1"/>
  <c r="C756" i="7"/>
  <c r="H756" i="7" s="1"/>
  <c r="C757" i="7"/>
  <c r="H757" i="7" s="1"/>
  <c r="C758" i="7"/>
  <c r="H758" i="7" s="1"/>
  <c r="C759" i="7"/>
  <c r="H759" i="7" s="1"/>
  <c r="C760" i="7"/>
  <c r="H760" i="7" s="1"/>
  <c r="C761" i="7"/>
  <c r="H761" i="7" s="1"/>
  <c r="C762" i="7"/>
  <c r="H762" i="7" s="1"/>
  <c r="C763" i="7"/>
  <c r="H763" i="7" s="1"/>
  <c r="C764" i="7"/>
  <c r="H764" i="7" s="1"/>
  <c r="C765" i="7"/>
  <c r="H765" i="7" s="1"/>
  <c r="C766" i="7"/>
  <c r="H766" i="7" s="1"/>
  <c r="C767" i="7"/>
  <c r="H767" i="7" s="1"/>
  <c r="C768" i="7"/>
  <c r="H768" i="7" s="1"/>
  <c r="C769" i="7"/>
  <c r="H769" i="7" s="1"/>
  <c r="C770" i="7"/>
  <c r="H770" i="7" s="1"/>
  <c r="C771" i="7"/>
  <c r="H771" i="7" s="1"/>
  <c r="C772" i="7"/>
  <c r="H772" i="7" s="1"/>
  <c r="C773" i="7"/>
  <c r="H773" i="7" s="1"/>
  <c r="C774" i="7"/>
  <c r="H774" i="7" s="1"/>
  <c r="C775" i="7"/>
  <c r="H775" i="7" s="1"/>
  <c r="C776" i="7"/>
  <c r="H776" i="7" s="1"/>
  <c r="C777" i="7"/>
  <c r="H777" i="7" s="1"/>
  <c r="C778" i="7"/>
  <c r="H778" i="7" s="1"/>
  <c r="C779" i="7"/>
  <c r="H779" i="7" s="1"/>
  <c r="C780" i="7"/>
  <c r="H780" i="7" s="1"/>
  <c r="C781" i="7"/>
  <c r="H781" i="7" s="1"/>
  <c r="C782" i="7"/>
  <c r="H782" i="7" s="1"/>
  <c r="C783" i="7"/>
  <c r="H783" i="7" s="1"/>
  <c r="C784" i="7"/>
  <c r="H784" i="7" s="1"/>
  <c r="C785" i="7"/>
  <c r="H785" i="7" s="1"/>
  <c r="C786" i="7"/>
  <c r="H786" i="7" s="1"/>
  <c r="C787" i="7"/>
  <c r="H787" i="7" s="1"/>
  <c r="C788" i="7"/>
  <c r="H788" i="7" s="1"/>
  <c r="C789" i="7"/>
  <c r="H789" i="7" s="1"/>
  <c r="C790" i="7"/>
  <c r="H790" i="7" s="1"/>
  <c r="C791" i="7"/>
  <c r="H791" i="7" s="1"/>
  <c r="C792" i="7"/>
  <c r="H792" i="7" s="1"/>
  <c r="C793" i="7"/>
  <c r="H793" i="7" s="1"/>
  <c r="C794" i="7"/>
  <c r="H794" i="7" s="1"/>
  <c r="C795" i="7"/>
  <c r="H795" i="7" s="1"/>
  <c r="C796" i="7"/>
  <c r="H796" i="7" s="1"/>
  <c r="C2" i="7"/>
  <c r="H2" i="7" s="1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A34" i="7"/>
  <c r="A35" i="7"/>
  <c r="A36" i="7"/>
  <c r="A37" i="7"/>
  <c r="A38" i="7"/>
  <c r="A39" i="7"/>
  <c r="A40" i="7"/>
  <c r="A41" i="7"/>
  <c r="A42" i="7"/>
  <c r="A43" i="7"/>
  <c r="A44" i="7"/>
  <c r="A45" i="7"/>
  <c r="A46" i="7"/>
  <c r="A47" i="7"/>
  <c r="A48" i="7"/>
  <c r="A49" i="7"/>
  <c r="A50" i="7"/>
  <c r="A51" i="7"/>
  <c r="A52" i="7"/>
  <c r="A53" i="7"/>
  <c r="A54" i="7"/>
  <c r="A55" i="7"/>
  <c r="A56" i="7"/>
  <c r="A57" i="7"/>
  <c r="A58" i="7"/>
  <c r="A59" i="7"/>
  <c r="A60" i="7"/>
  <c r="A61" i="7"/>
  <c r="A62" i="7"/>
  <c r="A63" i="7"/>
  <c r="A64" i="7"/>
  <c r="A65" i="7"/>
  <c r="A66" i="7"/>
  <c r="A67" i="7"/>
  <c r="A68" i="7"/>
  <c r="A69" i="7"/>
  <c r="A70" i="7"/>
  <c r="A71" i="7"/>
  <c r="A72" i="7"/>
  <c r="A73" i="7"/>
  <c r="A74" i="7"/>
  <c r="A75" i="7"/>
  <c r="A76" i="7"/>
  <c r="A77" i="7"/>
  <c r="A78" i="7"/>
  <c r="A79" i="7"/>
  <c r="A80" i="7"/>
  <c r="A81" i="7"/>
  <c r="A82" i="7"/>
  <c r="A83" i="7"/>
  <c r="A84" i="7"/>
  <c r="A85" i="7"/>
  <c r="A86" i="7"/>
  <c r="A87" i="7"/>
  <c r="A88" i="7"/>
  <c r="A89" i="7"/>
  <c r="A90" i="7"/>
  <c r="A91" i="7"/>
  <c r="A92" i="7"/>
  <c r="A93" i="7"/>
  <c r="A94" i="7"/>
  <c r="A95" i="7"/>
  <c r="A96" i="7"/>
  <c r="A97" i="7"/>
  <c r="A98" i="7"/>
  <c r="A99" i="7"/>
  <c r="A100" i="7"/>
  <c r="A101" i="7"/>
  <c r="A102" i="7"/>
  <c r="A103" i="7"/>
  <c r="A104" i="7"/>
  <c r="A105" i="7"/>
  <c r="A106" i="7"/>
  <c r="A107" i="7"/>
  <c r="A108" i="7"/>
  <c r="A109" i="7"/>
  <c r="A110" i="7"/>
  <c r="A111" i="7"/>
  <c r="A112" i="7"/>
  <c r="A113" i="7"/>
  <c r="A114" i="7"/>
  <c r="A115" i="7"/>
  <c r="A116" i="7"/>
  <c r="A117" i="7"/>
  <c r="A118" i="7"/>
  <c r="A119" i="7"/>
  <c r="A120" i="7"/>
  <c r="A121" i="7"/>
  <c r="A122" i="7"/>
  <c r="A123" i="7"/>
  <c r="A124" i="7"/>
  <c r="A125" i="7"/>
  <c r="A126" i="7"/>
  <c r="A127" i="7"/>
  <c r="A128" i="7"/>
  <c r="A129" i="7"/>
  <c r="A130" i="7"/>
  <c r="A131" i="7"/>
  <c r="A132" i="7"/>
  <c r="A133" i="7"/>
  <c r="A134" i="7"/>
  <c r="A135" i="7"/>
  <c r="A136" i="7"/>
  <c r="A137" i="7"/>
  <c r="A138" i="7"/>
  <c r="A139" i="7"/>
  <c r="A140" i="7"/>
  <c r="A141" i="7"/>
  <c r="A142" i="7"/>
  <c r="A143" i="7"/>
  <c r="A144" i="7"/>
  <c r="A145" i="7"/>
  <c r="A146" i="7"/>
  <c r="A147" i="7"/>
  <c r="A148" i="7"/>
  <c r="A149" i="7"/>
  <c r="A150" i="7"/>
  <c r="A151" i="7"/>
  <c r="A152" i="7"/>
  <c r="A153" i="7"/>
  <c r="A154" i="7"/>
  <c r="A155" i="7"/>
  <c r="A156" i="7"/>
  <c r="A157" i="7"/>
  <c r="A158" i="7"/>
  <c r="A159" i="7"/>
  <c r="A160" i="7"/>
  <c r="A161" i="7"/>
  <c r="A162" i="7"/>
  <c r="A163" i="7"/>
  <c r="A164" i="7"/>
  <c r="A165" i="7"/>
  <c r="A166" i="7"/>
  <c r="A167" i="7"/>
  <c r="A168" i="7"/>
  <c r="A169" i="7"/>
  <c r="A170" i="7"/>
  <c r="A171" i="7"/>
  <c r="A172" i="7"/>
  <c r="A173" i="7"/>
  <c r="A174" i="7"/>
  <c r="A175" i="7"/>
  <c r="A176" i="7"/>
  <c r="A177" i="7"/>
  <c r="A178" i="7"/>
  <c r="A179" i="7"/>
  <c r="A180" i="7"/>
  <c r="A181" i="7"/>
  <c r="A182" i="7"/>
  <c r="A183" i="7"/>
  <c r="A184" i="7"/>
  <c r="A185" i="7"/>
  <c r="A186" i="7"/>
  <c r="A187" i="7"/>
  <c r="A188" i="7"/>
  <c r="A189" i="7"/>
  <c r="A190" i="7"/>
  <c r="A191" i="7"/>
  <c r="A192" i="7"/>
  <c r="A193" i="7"/>
  <c r="A194" i="7"/>
  <c r="A195" i="7"/>
  <c r="A196" i="7"/>
  <c r="A197" i="7"/>
  <c r="A198" i="7"/>
  <c r="A199" i="7"/>
  <c r="A200" i="7"/>
  <c r="A201" i="7"/>
  <c r="A202" i="7"/>
  <c r="A203" i="7"/>
  <c r="A204" i="7"/>
  <c r="A205" i="7"/>
  <c r="A206" i="7"/>
  <c r="A207" i="7"/>
  <c r="A208" i="7"/>
  <c r="A209" i="7"/>
  <c r="A210" i="7"/>
  <c r="A211" i="7"/>
  <c r="A212" i="7"/>
  <c r="A213" i="7"/>
  <c r="A214" i="7"/>
  <c r="A215" i="7"/>
  <c r="A216" i="7"/>
  <c r="A217" i="7"/>
  <c r="A218" i="7"/>
  <c r="A219" i="7"/>
  <c r="A220" i="7"/>
  <c r="A221" i="7"/>
  <c r="A222" i="7"/>
  <c r="A223" i="7"/>
  <c r="A224" i="7"/>
  <c r="A225" i="7"/>
  <c r="A226" i="7"/>
  <c r="A227" i="7"/>
  <c r="A228" i="7"/>
  <c r="A229" i="7"/>
  <c r="A230" i="7"/>
  <c r="A231" i="7"/>
  <c r="A232" i="7"/>
  <c r="A233" i="7"/>
  <c r="A234" i="7"/>
  <c r="A235" i="7"/>
  <c r="A236" i="7"/>
  <c r="A237" i="7"/>
  <c r="A238" i="7"/>
  <c r="A239" i="7"/>
  <c r="A240" i="7"/>
  <c r="A241" i="7"/>
  <c r="A242" i="7"/>
  <c r="A243" i="7"/>
  <c r="A244" i="7"/>
  <c r="A245" i="7"/>
  <c r="A246" i="7"/>
  <c r="A247" i="7"/>
  <c r="A248" i="7"/>
  <c r="A249" i="7"/>
  <c r="A250" i="7"/>
  <c r="A251" i="7"/>
  <c r="A252" i="7"/>
  <c r="A253" i="7"/>
  <c r="A254" i="7"/>
  <c r="A255" i="7"/>
  <c r="A256" i="7"/>
  <c r="A257" i="7"/>
  <c r="A258" i="7"/>
  <c r="A259" i="7"/>
  <c r="A260" i="7"/>
  <c r="A261" i="7"/>
  <c r="A262" i="7"/>
  <c r="A263" i="7"/>
  <c r="A264" i="7"/>
  <c r="A265" i="7"/>
  <c r="A266" i="7"/>
  <c r="A267" i="7"/>
  <c r="A268" i="7"/>
  <c r="A269" i="7"/>
  <c r="A270" i="7"/>
  <c r="A271" i="7"/>
  <c r="A272" i="7"/>
  <c r="A273" i="7"/>
  <c r="A274" i="7"/>
  <c r="A275" i="7"/>
  <c r="A276" i="7"/>
  <c r="A277" i="7"/>
  <c r="A278" i="7"/>
  <c r="A279" i="7"/>
  <c r="A280" i="7"/>
  <c r="A281" i="7"/>
  <c r="A282" i="7"/>
  <c r="A283" i="7"/>
  <c r="A284" i="7"/>
  <c r="A285" i="7"/>
  <c r="A286" i="7"/>
  <c r="A287" i="7"/>
  <c r="A288" i="7"/>
  <c r="A289" i="7"/>
  <c r="A290" i="7"/>
  <c r="A291" i="7"/>
  <c r="A292" i="7"/>
  <c r="A293" i="7"/>
  <c r="A294" i="7"/>
  <c r="A295" i="7"/>
  <c r="A296" i="7"/>
  <c r="A297" i="7"/>
  <c r="A298" i="7"/>
  <c r="A299" i="7"/>
  <c r="A300" i="7"/>
  <c r="A301" i="7"/>
  <c r="A302" i="7"/>
  <c r="A303" i="7"/>
  <c r="A304" i="7"/>
  <c r="A305" i="7"/>
  <c r="A306" i="7"/>
  <c r="A307" i="7"/>
  <c r="A308" i="7"/>
  <c r="A309" i="7"/>
  <c r="A310" i="7"/>
  <c r="A311" i="7"/>
  <c r="A312" i="7"/>
  <c r="A313" i="7"/>
  <c r="A314" i="7"/>
  <c r="A315" i="7"/>
  <c r="A316" i="7"/>
  <c r="A317" i="7"/>
  <c r="A318" i="7"/>
  <c r="A319" i="7"/>
  <c r="A320" i="7"/>
  <c r="A321" i="7"/>
  <c r="A322" i="7"/>
  <c r="A323" i="7"/>
  <c r="A324" i="7"/>
  <c r="A325" i="7"/>
  <c r="A326" i="7"/>
  <c r="A327" i="7"/>
  <c r="A328" i="7"/>
  <c r="A329" i="7"/>
  <c r="A330" i="7"/>
  <c r="A331" i="7"/>
  <c r="A332" i="7"/>
  <c r="A333" i="7"/>
  <c r="A334" i="7"/>
  <c r="A335" i="7"/>
  <c r="A336" i="7"/>
  <c r="A337" i="7"/>
  <c r="A338" i="7"/>
  <c r="A339" i="7"/>
  <c r="A340" i="7"/>
  <c r="A341" i="7"/>
  <c r="A342" i="7"/>
  <c r="A343" i="7"/>
  <c r="A344" i="7"/>
  <c r="A345" i="7"/>
  <c r="A346" i="7"/>
  <c r="A347" i="7"/>
  <c r="A348" i="7"/>
  <c r="A349" i="7"/>
  <c r="A350" i="7"/>
  <c r="A351" i="7"/>
  <c r="A352" i="7"/>
  <c r="A353" i="7"/>
  <c r="A354" i="7"/>
  <c r="A355" i="7"/>
  <c r="A356" i="7"/>
  <c r="A357" i="7"/>
  <c r="A358" i="7"/>
  <c r="A359" i="7"/>
  <c r="A360" i="7"/>
  <c r="A361" i="7"/>
  <c r="A362" i="7"/>
  <c r="A363" i="7"/>
  <c r="A364" i="7"/>
  <c r="A365" i="7"/>
  <c r="A366" i="7"/>
  <c r="A367" i="7"/>
  <c r="A368" i="7"/>
  <c r="A369" i="7"/>
  <c r="A370" i="7"/>
  <c r="A371" i="7"/>
  <c r="A372" i="7"/>
  <c r="A373" i="7"/>
  <c r="A374" i="7"/>
  <c r="A375" i="7"/>
  <c r="A376" i="7"/>
  <c r="A377" i="7"/>
  <c r="A378" i="7"/>
  <c r="A379" i="7"/>
  <c r="A380" i="7"/>
  <c r="A381" i="7"/>
  <c r="A382" i="7"/>
  <c r="A383" i="7"/>
  <c r="A384" i="7"/>
  <c r="A385" i="7"/>
  <c r="A386" i="7"/>
  <c r="A387" i="7"/>
  <c r="A388" i="7"/>
  <c r="A389" i="7"/>
  <c r="A390" i="7"/>
  <c r="A391" i="7"/>
  <c r="A392" i="7"/>
  <c r="A393" i="7"/>
  <c r="A394" i="7"/>
  <c r="A395" i="7"/>
  <c r="A396" i="7"/>
  <c r="A397" i="7"/>
  <c r="A398" i="7"/>
  <c r="A399" i="7"/>
  <c r="A400" i="7"/>
  <c r="A401" i="7"/>
  <c r="A402" i="7"/>
  <c r="A403" i="7"/>
  <c r="A404" i="7"/>
  <c r="A405" i="7"/>
  <c r="A406" i="7"/>
  <c r="A407" i="7"/>
  <c r="A408" i="7"/>
  <c r="A409" i="7"/>
  <c r="A410" i="7"/>
  <c r="A411" i="7"/>
  <c r="A412" i="7"/>
  <c r="A413" i="7"/>
  <c r="A414" i="7"/>
  <c r="A415" i="7"/>
  <c r="A416" i="7"/>
  <c r="A417" i="7"/>
  <c r="A418" i="7"/>
  <c r="A419" i="7"/>
  <c r="A420" i="7"/>
  <c r="A421" i="7"/>
  <c r="A422" i="7"/>
  <c r="A423" i="7"/>
  <c r="A424" i="7"/>
  <c r="A425" i="7"/>
  <c r="A426" i="7"/>
  <c r="A427" i="7"/>
  <c r="A428" i="7"/>
  <c r="A429" i="7"/>
  <c r="A430" i="7"/>
  <c r="A431" i="7"/>
  <c r="A432" i="7"/>
  <c r="A433" i="7"/>
  <c r="A434" i="7"/>
  <c r="A435" i="7"/>
  <c r="A436" i="7"/>
  <c r="A437" i="7"/>
  <c r="A438" i="7"/>
  <c r="A439" i="7"/>
  <c r="A440" i="7"/>
  <c r="A441" i="7"/>
  <c r="A442" i="7"/>
  <c r="A443" i="7"/>
  <c r="A444" i="7"/>
  <c r="A445" i="7"/>
  <c r="A446" i="7"/>
  <c r="A447" i="7"/>
  <c r="A448" i="7"/>
  <c r="A449" i="7"/>
  <c r="A450" i="7"/>
  <c r="A451" i="7"/>
  <c r="A452" i="7"/>
  <c r="A453" i="7"/>
  <c r="A454" i="7"/>
  <c r="A455" i="7"/>
  <c r="A456" i="7"/>
  <c r="A457" i="7"/>
  <c r="A458" i="7"/>
  <c r="A459" i="7"/>
  <c r="A460" i="7"/>
  <c r="A461" i="7"/>
  <c r="A462" i="7"/>
  <c r="A463" i="7"/>
  <c r="A464" i="7"/>
  <c r="A465" i="7"/>
  <c r="A466" i="7"/>
  <c r="A467" i="7"/>
  <c r="A468" i="7"/>
  <c r="A469" i="7"/>
  <c r="A470" i="7"/>
  <c r="A471" i="7"/>
  <c r="A472" i="7"/>
  <c r="A473" i="7"/>
  <c r="A474" i="7"/>
  <c r="A475" i="7"/>
  <c r="A476" i="7"/>
  <c r="A477" i="7"/>
  <c r="A478" i="7"/>
  <c r="A479" i="7"/>
  <c r="A480" i="7"/>
  <c r="A481" i="7"/>
  <c r="A482" i="7"/>
  <c r="A483" i="7"/>
  <c r="A484" i="7"/>
  <c r="A485" i="7"/>
  <c r="A486" i="7"/>
  <c r="A487" i="7"/>
  <c r="A488" i="7"/>
  <c r="A489" i="7"/>
  <c r="A490" i="7"/>
  <c r="A491" i="7"/>
  <c r="A492" i="7"/>
  <c r="A493" i="7"/>
  <c r="A494" i="7"/>
  <c r="A495" i="7"/>
  <c r="A496" i="7"/>
  <c r="A497" i="7"/>
  <c r="A498" i="7"/>
  <c r="A499" i="7"/>
  <c r="A500" i="7"/>
  <c r="A501" i="7"/>
  <c r="A502" i="7"/>
  <c r="A503" i="7"/>
  <c r="A504" i="7"/>
  <c r="A505" i="7"/>
  <c r="A506" i="7"/>
  <c r="A507" i="7"/>
  <c r="A508" i="7"/>
  <c r="A509" i="7"/>
  <c r="A510" i="7"/>
  <c r="A511" i="7"/>
  <c r="A512" i="7"/>
  <c r="A513" i="7"/>
  <c r="A514" i="7"/>
  <c r="A515" i="7"/>
  <c r="A516" i="7"/>
  <c r="A517" i="7"/>
  <c r="A518" i="7"/>
  <c r="A519" i="7"/>
  <c r="A520" i="7"/>
  <c r="A521" i="7"/>
  <c r="A522" i="7"/>
  <c r="A523" i="7"/>
  <c r="A524" i="7"/>
  <c r="A525" i="7"/>
  <c r="A526" i="7"/>
  <c r="A527" i="7"/>
  <c r="A528" i="7"/>
  <c r="A529" i="7"/>
  <c r="A530" i="7"/>
  <c r="A531" i="7"/>
  <c r="A532" i="7"/>
  <c r="A533" i="7"/>
  <c r="A534" i="7"/>
  <c r="A535" i="7"/>
  <c r="A536" i="7"/>
  <c r="A537" i="7"/>
  <c r="A538" i="7"/>
  <c r="A539" i="7"/>
  <c r="A540" i="7"/>
  <c r="A541" i="7"/>
  <c r="A542" i="7"/>
  <c r="A543" i="7"/>
  <c r="A544" i="7"/>
  <c r="A545" i="7"/>
  <c r="A546" i="7"/>
  <c r="A547" i="7"/>
  <c r="A548" i="7"/>
  <c r="A549" i="7"/>
  <c r="A550" i="7"/>
  <c r="A551" i="7"/>
  <c r="A552" i="7"/>
  <c r="A553" i="7"/>
  <c r="A554" i="7"/>
  <c r="A555" i="7"/>
  <c r="A556" i="7"/>
  <c r="A557" i="7"/>
  <c r="A558" i="7"/>
  <c r="A559" i="7"/>
  <c r="A560" i="7"/>
  <c r="A561" i="7"/>
  <c r="A562" i="7"/>
  <c r="A563" i="7"/>
  <c r="A564" i="7"/>
  <c r="A565" i="7"/>
  <c r="A566" i="7"/>
  <c r="A567" i="7"/>
  <c r="A568" i="7"/>
  <c r="A569" i="7"/>
  <c r="A570" i="7"/>
  <c r="A571" i="7"/>
  <c r="A572" i="7"/>
  <c r="A573" i="7"/>
  <c r="A574" i="7"/>
  <c r="A575" i="7"/>
  <c r="A576" i="7"/>
  <c r="A577" i="7"/>
  <c r="A578" i="7"/>
  <c r="A579" i="7"/>
  <c r="A580" i="7"/>
  <c r="A581" i="7"/>
  <c r="A582" i="7"/>
  <c r="A583" i="7"/>
  <c r="A584" i="7"/>
  <c r="A585" i="7"/>
  <c r="A586" i="7"/>
  <c r="A587" i="7"/>
  <c r="A588" i="7"/>
  <c r="A589" i="7"/>
  <c r="A590" i="7"/>
  <c r="A591" i="7"/>
  <c r="A592" i="7"/>
  <c r="A593" i="7"/>
  <c r="A594" i="7"/>
  <c r="A595" i="7"/>
  <c r="A596" i="7"/>
  <c r="A597" i="7"/>
  <c r="A598" i="7"/>
  <c r="A599" i="7"/>
  <c r="A600" i="7"/>
  <c r="A601" i="7"/>
  <c r="A602" i="7"/>
  <c r="A603" i="7"/>
  <c r="A604" i="7"/>
  <c r="A605" i="7"/>
  <c r="A606" i="7"/>
  <c r="A607" i="7"/>
  <c r="A608" i="7"/>
  <c r="A609" i="7"/>
  <c r="A610" i="7"/>
  <c r="A611" i="7"/>
  <c r="A612" i="7"/>
  <c r="A613" i="7"/>
  <c r="A614" i="7"/>
  <c r="A615" i="7"/>
  <c r="A616" i="7"/>
  <c r="A617" i="7"/>
  <c r="A618" i="7"/>
  <c r="A619" i="7"/>
  <c r="A620" i="7"/>
  <c r="A621" i="7"/>
  <c r="A622" i="7"/>
  <c r="A623" i="7"/>
  <c r="A624" i="7"/>
  <c r="A625" i="7"/>
  <c r="A626" i="7"/>
  <c r="A627" i="7"/>
  <c r="A628" i="7"/>
  <c r="A629" i="7"/>
  <c r="A630" i="7"/>
  <c r="A631" i="7"/>
  <c r="A632" i="7"/>
  <c r="A633" i="7"/>
  <c r="A634" i="7"/>
  <c r="A635" i="7"/>
  <c r="A636" i="7"/>
  <c r="A637" i="7"/>
  <c r="A638" i="7"/>
  <c r="A639" i="7"/>
  <c r="A640" i="7"/>
  <c r="A641" i="7"/>
  <c r="A642" i="7"/>
  <c r="A643" i="7"/>
  <c r="A644" i="7"/>
  <c r="A645" i="7"/>
  <c r="A646" i="7"/>
  <c r="A647" i="7"/>
  <c r="A648" i="7"/>
  <c r="A649" i="7"/>
  <c r="A650" i="7"/>
  <c r="A651" i="7"/>
  <c r="A652" i="7"/>
  <c r="A653" i="7"/>
  <c r="A654" i="7"/>
  <c r="A655" i="7"/>
  <c r="A656" i="7"/>
  <c r="A657" i="7"/>
  <c r="A658" i="7"/>
  <c r="A659" i="7"/>
  <c r="A660" i="7"/>
  <c r="A661" i="7"/>
  <c r="A662" i="7"/>
  <c r="A663" i="7"/>
  <c r="A664" i="7"/>
  <c r="A665" i="7"/>
  <c r="A666" i="7"/>
  <c r="A667" i="7"/>
  <c r="A668" i="7"/>
  <c r="A669" i="7"/>
  <c r="A670" i="7"/>
  <c r="A671" i="7"/>
  <c r="A672" i="7"/>
  <c r="A673" i="7"/>
  <c r="A674" i="7"/>
  <c r="A675" i="7"/>
  <c r="A676" i="7"/>
  <c r="A677" i="7"/>
  <c r="A678" i="7"/>
  <c r="A679" i="7"/>
  <c r="A680" i="7"/>
  <c r="A681" i="7"/>
  <c r="A682" i="7"/>
  <c r="A683" i="7"/>
  <c r="A684" i="7"/>
  <c r="A685" i="7"/>
  <c r="A686" i="7"/>
  <c r="A687" i="7"/>
  <c r="A688" i="7"/>
  <c r="A689" i="7"/>
  <c r="A690" i="7"/>
  <c r="A691" i="7"/>
  <c r="A692" i="7"/>
  <c r="A693" i="7"/>
  <c r="A694" i="7"/>
  <c r="A695" i="7"/>
  <c r="A696" i="7"/>
  <c r="A697" i="7"/>
  <c r="A698" i="7"/>
  <c r="A699" i="7"/>
  <c r="A700" i="7"/>
  <c r="A701" i="7"/>
  <c r="A702" i="7"/>
  <c r="A703" i="7"/>
  <c r="A704" i="7"/>
  <c r="A705" i="7"/>
  <c r="A706" i="7"/>
  <c r="A707" i="7"/>
  <c r="A708" i="7"/>
  <c r="A709" i="7"/>
  <c r="A710" i="7"/>
  <c r="A711" i="7"/>
  <c r="A712" i="7"/>
  <c r="A713" i="7"/>
  <c r="A714" i="7"/>
  <c r="A715" i="7"/>
  <c r="A716" i="7"/>
  <c r="A717" i="7"/>
  <c r="A718" i="7"/>
  <c r="A719" i="7"/>
  <c r="A720" i="7"/>
  <c r="A721" i="7"/>
  <c r="A722" i="7"/>
  <c r="A723" i="7"/>
  <c r="A724" i="7"/>
  <c r="A725" i="7"/>
  <c r="A726" i="7"/>
  <c r="A727" i="7"/>
  <c r="A728" i="7"/>
  <c r="A729" i="7"/>
  <c r="A730" i="7"/>
  <c r="A731" i="7"/>
  <c r="A732" i="7"/>
  <c r="A733" i="7"/>
  <c r="A734" i="7"/>
  <c r="A735" i="7"/>
  <c r="A736" i="7"/>
  <c r="A737" i="7"/>
  <c r="A738" i="7"/>
  <c r="A739" i="7"/>
  <c r="A740" i="7"/>
  <c r="A741" i="7"/>
  <c r="A742" i="7"/>
  <c r="A743" i="7"/>
  <c r="A744" i="7"/>
  <c r="A745" i="7"/>
  <c r="A746" i="7"/>
  <c r="A747" i="7"/>
  <c r="A748" i="7"/>
  <c r="A749" i="7"/>
  <c r="A750" i="7"/>
  <c r="A751" i="7"/>
  <c r="A752" i="7"/>
  <c r="A753" i="7"/>
  <c r="A754" i="7"/>
  <c r="A755" i="7"/>
  <c r="A756" i="7"/>
  <c r="A757" i="7"/>
  <c r="A758" i="7"/>
  <c r="A759" i="7"/>
  <c r="A760" i="7"/>
  <c r="A761" i="7"/>
  <c r="A762" i="7"/>
  <c r="A763" i="7"/>
  <c r="A764" i="7"/>
  <c r="A765" i="7"/>
  <c r="A766" i="7"/>
  <c r="A767" i="7"/>
  <c r="A768" i="7"/>
  <c r="A769" i="7"/>
  <c r="A770" i="7"/>
  <c r="A771" i="7"/>
  <c r="A772" i="7"/>
  <c r="A773" i="7"/>
  <c r="A774" i="7"/>
  <c r="A775" i="7"/>
  <c r="A776" i="7"/>
  <c r="A777" i="7"/>
  <c r="A778" i="7"/>
  <c r="A779" i="7"/>
  <c r="A780" i="7"/>
  <c r="A781" i="7"/>
  <c r="A782" i="7"/>
  <c r="A783" i="7"/>
  <c r="A784" i="7"/>
  <c r="A785" i="7"/>
  <c r="A786" i="7"/>
  <c r="A787" i="7"/>
  <c r="A788" i="7"/>
  <c r="A789" i="7"/>
  <c r="A790" i="7"/>
  <c r="A791" i="7"/>
  <c r="A792" i="7"/>
  <c r="A793" i="7"/>
  <c r="A794" i="7"/>
  <c r="A795" i="7"/>
  <c r="A796" i="7"/>
  <c r="A3" i="7"/>
  <c r="A4" i="7"/>
  <c r="A5" i="7"/>
  <c r="A6" i="7"/>
  <c r="A7" i="7"/>
  <c r="A8" i="7"/>
  <c r="A9" i="7"/>
  <c r="A10" i="7"/>
  <c r="A11" i="7"/>
  <c r="A12" i="7"/>
  <c r="A2" i="7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G301" i="5"/>
  <c r="G302" i="5"/>
  <c r="G303" i="5"/>
  <c r="G304" i="5"/>
  <c r="G305" i="5"/>
  <c r="G306" i="5"/>
  <c r="G307" i="5"/>
  <c r="G308" i="5"/>
  <c r="G309" i="5"/>
  <c r="G310" i="5"/>
  <c r="G311" i="5"/>
  <c r="G312" i="5"/>
  <c r="G313" i="5"/>
  <c r="G314" i="5"/>
  <c r="G315" i="5"/>
  <c r="G316" i="5"/>
  <c r="G317" i="5"/>
  <c r="G318" i="5"/>
  <c r="G319" i="5"/>
  <c r="G320" i="5"/>
  <c r="G321" i="5"/>
  <c r="G322" i="5"/>
  <c r="G323" i="5"/>
  <c r="G324" i="5"/>
  <c r="G325" i="5"/>
  <c r="G326" i="5"/>
  <c r="G327" i="5"/>
  <c r="G328" i="5"/>
  <c r="G329" i="5"/>
  <c r="G330" i="5"/>
  <c r="G331" i="5"/>
  <c r="G332" i="5"/>
  <c r="G333" i="5"/>
  <c r="G334" i="5"/>
  <c r="G335" i="5"/>
  <c r="G336" i="5"/>
  <c r="G337" i="5"/>
  <c r="G338" i="5"/>
  <c r="G339" i="5"/>
  <c r="G340" i="5"/>
  <c r="G341" i="5"/>
  <c r="G342" i="5"/>
  <c r="G343" i="5"/>
  <c r="G344" i="5"/>
  <c r="G345" i="5"/>
  <c r="G346" i="5"/>
  <c r="G347" i="5"/>
  <c r="G348" i="5"/>
  <c r="G349" i="5"/>
  <c r="G350" i="5"/>
  <c r="G351" i="5"/>
  <c r="G352" i="5"/>
  <c r="G353" i="5"/>
  <c r="G354" i="5"/>
  <c r="G355" i="5"/>
  <c r="G356" i="5"/>
  <c r="G357" i="5"/>
  <c r="G358" i="5"/>
  <c r="G359" i="5"/>
  <c r="G360" i="5"/>
  <c r="G361" i="5"/>
  <c r="G362" i="5"/>
  <c r="G363" i="5"/>
  <c r="G364" i="5"/>
  <c r="G365" i="5"/>
  <c r="G366" i="5"/>
  <c r="G367" i="5"/>
  <c r="G368" i="5"/>
  <c r="G369" i="5"/>
  <c r="G370" i="5"/>
  <c r="G371" i="5"/>
  <c r="G372" i="5"/>
  <c r="G373" i="5"/>
  <c r="G374" i="5"/>
  <c r="G375" i="5"/>
  <c r="G376" i="5"/>
  <c r="G377" i="5"/>
  <c r="G378" i="5"/>
  <c r="G379" i="5"/>
  <c r="G380" i="5"/>
  <c r="G381" i="5"/>
  <c r="G382" i="5"/>
  <c r="G383" i="5"/>
  <c r="G384" i="5"/>
  <c r="G385" i="5"/>
  <c r="G386" i="5"/>
  <c r="G387" i="5"/>
  <c r="G388" i="5"/>
  <c r="G389" i="5"/>
  <c r="G390" i="5"/>
  <c r="G391" i="5"/>
  <c r="G392" i="5"/>
  <c r="G393" i="5"/>
  <c r="G394" i="5"/>
  <c r="G395" i="5"/>
  <c r="G396" i="5"/>
  <c r="G397" i="5"/>
  <c r="G398" i="5"/>
  <c r="G399" i="5"/>
  <c r="G400" i="5"/>
  <c r="G401" i="5"/>
  <c r="G402" i="5"/>
  <c r="G403" i="5"/>
  <c r="G404" i="5"/>
  <c r="G405" i="5"/>
  <c r="G406" i="5"/>
  <c r="G407" i="5"/>
  <c r="G408" i="5"/>
  <c r="G409" i="5"/>
  <c r="G410" i="5"/>
  <c r="G411" i="5"/>
  <c r="G412" i="5"/>
  <c r="G413" i="5"/>
  <c r="G414" i="5"/>
  <c r="G415" i="5"/>
  <c r="G416" i="5"/>
  <c r="G417" i="5"/>
  <c r="G418" i="5"/>
  <c r="G419" i="5"/>
  <c r="G420" i="5"/>
  <c r="G421" i="5"/>
  <c r="G422" i="5"/>
  <c r="G423" i="5"/>
  <c r="G424" i="5"/>
  <c r="G425" i="5"/>
  <c r="G426" i="5"/>
  <c r="G427" i="5"/>
  <c r="G428" i="5"/>
  <c r="G429" i="5"/>
  <c r="G430" i="5"/>
  <c r="G431" i="5"/>
  <c r="G432" i="5"/>
  <c r="G433" i="5"/>
  <c r="G434" i="5"/>
  <c r="G435" i="5"/>
  <c r="G436" i="5"/>
  <c r="G437" i="5"/>
  <c r="G438" i="5"/>
  <c r="G439" i="5"/>
  <c r="G440" i="5"/>
  <c r="G441" i="5"/>
  <c r="G442" i="5"/>
  <c r="G443" i="5"/>
  <c r="G444" i="5"/>
  <c r="G445" i="5"/>
  <c r="G446" i="5"/>
  <c r="G447" i="5"/>
  <c r="G448" i="5"/>
  <c r="G449" i="5"/>
  <c r="G450" i="5"/>
  <c r="G451" i="5"/>
  <c r="G452" i="5"/>
  <c r="G453" i="5"/>
  <c r="G454" i="5"/>
  <c r="G455" i="5"/>
  <c r="G456" i="5"/>
  <c r="G457" i="5"/>
  <c r="G458" i="5"/>
  <c r="G459" i="5"/>
  <c r="G460" i="5"/>
  <c r="G461" i="5"/>
  <c r="G462" i="5"/>
  <c r="G463" i="5"/>
  <c r="G464" i="5"/>
  <c r="G465" i="5"/>
  <c r="G466" i="5"/>
  <c r="G467" i="5"/>
  <c r="G468" i="5"/>
  <c r="G469" i="5"/>
  <c r="G470" i="5"/>
  <c r="G471" i="5"/>
  <c r="G472" i="5"/>
  <c r="G473" i="5"/>
  <c r="G474" i="5"/>
  <c r="G475" i="5"/>
  <c r="G476" i="5"/>
  <c r="G477" i="5"/>
  <c r="G478" i="5"/>
  <c r="G479" i="5"/>
  <c r="G480" i="5"/>
  <c r="G481" i="5"/>
  <c r="G482" i="5"/>
  <c r="G483" i="5"/>
  <c r="G484" i="5"/>
  <c r="G485" i="5"/>
  <c r="G486" i="5"/>
  <c r="G487" i="5"/>
  <c r="G488" i="5"/>
  <c r="G489" i="5"/>
  <c r="G490" i="5"/>
  <c r="G491" i="5"/>
  <c r="G492" i="5"/>
  <c r="G493" i="5"/>
  <c r="G494" i="5"/>
  <c r="G495" i="5"/>
  <c r="G496" i="5"/>
  <c r="G497" i="5"/>
  <c r="G498" i="5"/>
  <c r="G499" i="5"/>
  <c r="G500" i="5"/>
  <c r="G501" i="5"/>
  <c r="G502" i="5"/>
  <c r="G503" i="5"/>
  <c r="G504" i="5"/>
  <c r="G505" i="5"/>
  <c r="G506" i="5"/>
  <c r="G507" i="5"/>
  <c r="G508" i="5"/>
  <c r="G509" i="5"/>
  <c r="G510" i="5"/>
  <c r="G511" i="5"/>
  <c r="G512" i="5"/>
  <c r="G513" i="5"/>
  <c r="G514" i="5"/>
  <c r="G515" i="5"/>
  <c r="G516" i="5"/>
  <c r="G517" i="5"/>
  <c r="G518" i="5"/>
  <c r="G519" i="5"/>
  <c r="G520" i="5"/>
  <c r="G521" i="5"/>
  <c r="G522" i="5"/>
  <c r="G523" i="5"/>
  <c r="G524" i="5"/>
  <c r="G525" i="5"/>
  <c r="G526" i="5"/>
  <c r="G527" i="5"/>
  <c r="G528" i="5"/>
  <c r="G529" i="5"/>
  <c r="G530" i="5"/>
  <c r="G531" i="5"/>
  <c r="G532" i="5"/>
  <c r="G533" i="5"/>
  <c r="G534" i="5"/>
  <c r="G535" i="5"/>
  <c r="G536" i="5"/>
  <c r="G537" i="5"/>
  <c r="G538" i="5"/>
  <c r="G539" i="5"/>
  <c r="G540" i="5"/>
  <c r="G541" i="5"/>
  <c r="G542" i="5"/>
  <c r="G543" i="5"/>
  <c r="G544" i="5"/>
  <c r="G545" i="5"/>
  <c r="G546" i="5"/>
  <c r="G547" i="5"/>
  <c r="G548" i="5"/>
  <c r="G549" i="5"/>
  <c r="G550" i="5"/>
  <c r="G551" i="5"/>
  <c r="G552" i="5"/>
  <c r="G553" i="5"/>
  <c r="G554" i="5"/>
  <c r="G555" i="5"/>
  <c r="G556" i="5"/>
  <c r="G557" i="5"/>
  <c r="G558" i="5"/>
  <c r="G559" i="5"/>
  <c r="G560" i="5"/>
  <c r="G561" i="5"/>
  <c r="G562" i="5"/>
  <c r="G563" i="5"/>
  <c r="G564" i="5"/>
  <c r="G565" i="5"/>
  <c r="G566" i="5"/>
  <c r="G567" i="5"/>
  <c r="G568" i="5"/>
  <c r="G569" i="5"/>
  <c r="G570" i="5"/>
  <c r="G571" i="5"/>
  <c r="G572" i="5"/>
  <c r="G573" i="5"/>
  <c r="G574" i="5"/>
  <c r="G575" i="5"/>
  <c r="G576" i="5"/>
  <c r="G577" i="5"/>
  <c r="G578" i="5"/>
  <c r="G579" i="5"/>
  <c r="G580" i="5"/>
  <c r="G581" i="5"/>
  <c r="G582" i="5"/>
  <c r="G583" i="5"/>
  <c r="G584" i="5"/>
  <c r="G585" i="5"/>
  <c r="G586" i="5"/>
  <c r="G587" i="5"/>
  <c r="G588" i="5"/>
  <c r="G589" i="5"/>
  <c r="G590" i="5"/>
  <c r="G591" i="5"/>
  <c r="G592" i="5"/>
  <c r="G593" i="5"/>
  <c r="G594" i="5"/>
  <c r="G595" i="5"/>
  <c r="G596" i="5"/>
  <c r="G597" i="5"/>
  <c r="G598" i="5"/>
  <c r="G599" i="5"/>
  <c r="G600" i="5"/>
  <c r="G601" i="5"/>
  <c r="G602" i="5"/>
  <c r="G603" i="5"/>
  <c r="G604" i="5"/>
  <c r="G605" i="5"/>
  <c r="G606" i="5"/>
  <c r="G607" i="5"/>
  <c r="G608" i="5"/>
  <c r="G609" i="5"/>
  <c r="G610" i="5"/>
  <c r="G611" i="5"/>
  <c r="G612" i="5"/>
  <c r="G613" i="5"/>
  <c r="G614" i="5"/>
  <c r="G615" i="5"/>
  <c r="G616" i="5"/>
  <c r="G617" i="5"/>
  <c r="G618" i="5"/>
  <c r="G619" i="5"/>
  <c r="G620" i="5"/>
  <c r="G621" i="5"/>
  <c r="G622" i="5"/>
  <c r="G623" i="5"/>
  <c r="G624" i="5"/>
  <c r="G625" i="5"/>
  <c r="G626" i="5"/>
  <c r="G627" i="5"/>
  <c r="G628" i="5"/>
  <c r="G629" i="5"/>
  <c r="G630" i="5"/>
  <c r="G631" i="5"/>
  <c r="G632" i="5"/>
  <c r="G633" i="5"/>
  <c r="G634" i="5"/>
  <c r="G635" i="5"/>
  <c r="G636" i="5"/>
  <c r="G637" i="5"/>
  <c r="G638" i="5"/>
  <c r="G639" i="5"/>
  <c r="G640" i="5"/>
  <c r="G641" i="5"/>
  <c r="G642" i="5"/>
  <c r="G643" i="5"/>
  <c r="G644" i="5"/>
  <c r="G645" i="5"/>
  <c r="G646" i="5"/>
  <c r="G647" i="5"/>
  <c r="G648" i="5"/>
  <c r="G649" i="5"/>
  <c r="G650" i="5"/>
  <c r="G651" i="5"/>
  <c r="G652" i="5"/>
  <c r="G653" i="5"/>
  <c r="G654" i="5"/>
  <c r="G655" i="5"/>
  <c r="G656" i="5"/>
  <c r="G657" i="5"/>
  <c r="G658" i="5"/>
  <c r="G659" i="5"/>
  <c r="G660" i="5"/>
  <c r="G661" i="5"/>
  <c r="G662" i="5"/>
  <c r="G663" i="5"/>
  <c r="G664" i="5"/>
  <c r="G665" i="5"/>
  <c r="G666" i="5"/>
  <c r="G667" i="5"/>
  <c r="G668" i="5"/>
  <c r="G669" i="5"/>
  <c r="G670" i="5"/>
  <c r="G671" i="5"/>
  <c r="G672" i="5"/>
  <c r="G673" i="5"/>
  <c r="G674" i="5"/>
  <c r="G675" i="5"/>
  <c r="G676" i="5"/>
  <c r="G677" i="5"/>
  <c r="G678" i="5"/>
  <c r="G679" i="5"/>
  <c r="G680" i="5"/>
  <c r="G681" i="5"/>
  <c r="G682" i="5"/>
  <c r="G683" i="5"/>
  <c r="G684" i="5"/>
  <c r="G685" i="5"/>
  <c r="G686" i="5"/>
  <c r="G687" i="5"/>
  <c r="G688" i="5"/>
  <c r="G689" i="5"/>
  <c r="G690" i="5"/>
  <c r="G691" i="5"/>
  <c r="G692" i="5"/>
  <c r="G693" i="5"/>
  <c r="G694" i="5"/>
  <c r="G695" i="5"/>
  <c r="G696" i="5"/>
  <c r="G697" i="5"/>
  <c r="G698" i="5"/>
  <c r="G699" i="5"/>
  <c r="G700" i="5"/>
  <c r="G701" i="5"/>
  <c r="G702" i="5"/>
  <c r="G703" i="5"/>
  <c r="G704" i="5"/>
  <c r="G705" i="5"/>
  <c r="G706" i="5"/>
  <c r="G707" i="5"/>
  <c r="G708" i="5"/>
  <c r="G709" i="5"/>
  <c r="G710" i="5"/>
  <c r="G711" i="5"/>
  <c r="G712" i="5"/>
  <c r="G713" i="5"/>
  <c r="G714" i="5"/>
  <c r="G715" i="5"/>
  <c r="G716" i="5"/>
  <c r="G717" i="5"/>
  <c r="G718" i="5"/>
  <c r="G719" i="5"/>
  <c r="G720" i="5"/>
  <c r="G721" i="5"/>
  <c r="G722" i="5"/>
  <c r="G723" i="5"/>
  <c r="G724" i="5"/>
  <c r="G725" i="5"/>
  <c r="G726" i="5"/>
  <c r="G727" i="5"/>
  <c r="G728" i="5"/>
  <c r="G729" i="5"/>
  <c r="G730" i="5"/>
  <c r="G731" i="5"/>
  <c r="G732" i="5"/>
  <c r="G733" i="5"/>
  <c r="G734" i="5"/>
  <c r="G735" i="5"/>
  <c r="G736" i="5"/>
  <c r="G737" i="5"/>
  <c r="G738" i="5"/>
  <c r="G739" i="5"/>
  <c r="G740" i="5"/>
  <c r="G741" i="5"/>
  <c r="G742" i="5"/>
  <c r="G743" i="5"/>
  <c r="G744" i="5"/>
  <c r="G745" i="5"/>
  <c r="G746" i="5"/>
  <c r="G747" i="5"/>
  <c r="G748" i="5"/>
  <c r="G749" i="5"/>
  <c r="G750" i="5"/>
  <c r="G751" i="5"/>
  <c r="G752" i="5"/>
  <c r="G753" i="5"/>
  <c r="G754" i="5"/>
  <c r="G755" i="5"/>
  <c r="G756" i="5"/>
  <c r="G757" i="5"/>
  <c r="G758" i="5"/>
  <c r="G759" i="5"/>
  <c r="G760" i="5"/>
  <c r="G761" i="5"/>
  <c r="G762" i="5"/>
  <c r="G763" i="5"/>
  <c r="G764" i="5"/>
  <c r="G765" i="5"/>
  <c r="G766" i="5"/>
  <c r="G767" i="5"/>
  <c r="G768" i="5"/>
  <c r="G769" i="5"/>
  <c r="G770" i="5"/>
  <c r="G771" i="5"/>
  <c r="G772" i="5"/>
  <c r="G773" i="5"/>
  <c r="G774" i="5"/>
  <c r="G775" i="5"/>
  <c r="G776" i="5"/>
  <c r="G777" i="5"/>
  <c r="G778" i="5"/>
  <c r="G779" i="5"/>
  <c r="G780" i="5"/>
  <c r="G781" i="5"/>
  <c r="G782" i="5"/>
  <c r="G783" i="5"/>
  <c r="G784" i="5"/>
  <c r="G785" i="5"/>
  <c r="G786" i="5"/>
  <c r="G787" i="5"/>
  <c r="G788" i="5"/>
  <c r="G789" i="5"/>
  <c r="G790" i="5"/>
  <c r="G791" i="5"/>
  <c r="G792" i="5"/>
  <c r="G793" i="5"/>
  <c r="G794" i="5"/>
  <c r="G795" i="5"/>
  <c r="G796" i="5"/>
  <c r="G2" i="5"/>
  <c r="E48" i="5"/>
  <c r="F48" i="5" s="1"/>
  <c r="E49" i="5"/>
  <c r="F49" i="5" s="1"/>
  <c r="E50" i="5"/>
  <c r="F50" i="5" s="1"/>
  <c r="E51" i="5"/>
  <c r="F51" i="5" s="1"/>
  <c r="E52" i="5"/>
  <c r="F52" i="5" s="1"/>
  <c r="E53" i="5"/>
  <c r="F53" i="5" s="1"/>
  <c r="E54" i="5"/>
  <c r="F54" i="5" s="1"/>
  <c r="E55" i="5"/>
  <c r="F55" i="5" s="1"/>
  <c r="E56" i="5"/>
  <c r="F56" i="5" s="1"/>
  <c r="E57" i="5"/>
  <c r="F57" i="5" s="1"/>
  <c r="E58" i="5"/>
  <c r="F58" i="5" s="1"/>
  <c r="E59" i="5"/>
  <c r="F59" i="5" s="1"/>
  <c r="E60" i="5"/>
  <c r="F60" i="5" s="1"/>
  <c r="E61" i="5"/>
  <c r="F61" i="5" s="1"/>
  <c r="E62" i="5"/>
  <c r="F62" i="5" s="1"/>
  <c r="E63" i="5"/>
  <c r="F63" i="5" s="1"/>
  <c r="E64" i="5"/>
  <c r="F64" i="5" s="1"/>
  <c r="E65" i="5"/>
  <c r="F65" i="5" s="1"/>
  <c r="E66" i="5"/>
  <c r="F66" i="5" s="1"/>
  <c r="E67" i="5"/>
  <c r="F67" i="5" s="1"/>
  <c r="E68" i="5"/>
  <c r="F68" i="5" s="1"/>
  <c r="E69" i="5"/>
  <c r="F69" i="5" s="1"/>
  <c r="E70" i="5"/>
  <c r="F70" i="5" s="1"/>
  <c r="E71" i="5"/>
  <c r="F71" i="5" s="1"/>
  <c r="E72" i="5"/>
  <c r="F72" i="5" s="1"/>
  <c r="E73" i="5"/>
  <c r="F73" i="5" s="1"/>
  <c r="E74" i="5"/>
  <c r="F74" i="5" s="1"/>
  <c r="E75" i="5"/>
  <c r="F75" i="5" s="1"/>
  <c r="E76" i="5"/>
  <c r="F76" i="5" s="1"/>
  <c r="E77" i="5"/>
  <c r="F77" i="5" s="1"/>
  <c r="E78" i="5"/>
  <c r="F78" i="5" s="1"/>
  <c r="E79" i="5"/>
  <c r="F79" i="5" s="1"/>
  <c r="E80" i="5"/>
  <c r="F80" i="5" s="1"/>
  <c r="E81" i="5"/>
  <c r="F81" i="5" s="1"/>
  <c r="E82" i="5"/>
  <c r="F82" i="5" s="1"/>
  <c r="E83" i="5"/>
  <c r="F83" i="5" s="1"/>
  <c r="E84" i="5"/>
  <c r="F84" i="5" s="1"/>
  <c r="E85" i="5"/>
  <c r="F85" i="5" s="1"/>
  <c r="E86" i="5"/>
  <c r="F86" i="5" s="1"/>
  <c r="E87" i="5"/>
  <c r="F87" i="5" s="1"/>
  <c r="E88" i="5"/>
  <c r="F88" i="5" s="1"/>
  <c r="E89" i="5"/>
  <c r="F89" i="5" s="1"/>
  <c r="E90" i="5"/>
  <c r="F90" i="5" s="1"/>
  <c r="E91" i="5"/>
  <c r="F91" i="5" s="1"/>
  <c r="E92" i="5"/>
  <c r="F92" i="5" s="1"/>
  <c r="E93" i="5"/>
  <c r="F93" i="5" s="1"/>
  <c r="E94" i="5"/>
  <c r="F94" i="5" s="1"/>
  <c r="E95" i="5"/>
  <c r="F95" i="5" s="1"/>
  <c r="E96" i="5"/>
  <c r="F96" i="5" s="1"/>
  <c r="E97" i="5"/>
  <c r="F97" i="5" s="1"/>
  <c r="E98" i="5"/>
  <c r="F98" i="5" s="1"/>
  <c r="E99" i="5"/>
  <c r="F99" i="5" s="1"/>
  <c r="E100" i="5"/>
  <c r="F100" i="5" s="1"/>
  <c r="E101" i="5"/>
  <c r="F101" i="5" s="1"/>
  <c r="E102" i="5"/>
  <c r="F102" i="5" s="1"/>
  <c r="E103" i="5"/>
  <c r="F103" i="5" s="1"/>
  <c r="E104" i="5"/>
  <c r="F104" i="5" s="1"/>
  <c r="E105" i="5"/>
  <c r="F105" i="5" s="1"/>
  <c r="E106" i="5"/>
  <c r="F106" i="5" s="1"/>
  <c r="E107" i="5"/>
  <c r="F107" i="5" s="1"/>
  <c r="E108" i="5"/>
  <c r="F108" i="5" s="1"/>
  <c r="E109" i="5"/>
  <c r="F109" i="5" s="1"/>
  <c r="E110" i="5"/>
  <c r="F110" i="5" s="1"/>
  <c r="E111" i="5"/>
  <c r="F111" i="5" s="1"/>
  <c r="E112" i="5"/>
  <c r="F112" i="5" s="1"/>
  <c r="E113" i="5"/>
  <c r="F113" i="5" s="1"/>
  <c r="E114" i="5"/>
  <c r="F114" i="5" s="1"/>
  <c r="E115" i="5"/>
  <c r="F115" i="5" s="1"/>
  <c r="E116" i="5"/>
  <c r="F116" i="5" s="1"/>
  <c r="E117" i="5"/>
  <c r="F117" i="5" s="1"/>
  <c r="E118" i="5"/>
  <c r="F118" i="5" s="1"/>
  <c r="E119" i="5"/>
  <c r="F119" i="5" s="1"/>
  <c r="E120" i="5"/>
  <c r="F120" i="5" s="1"/>
  <c r="E121" i="5"/>
  <c r="F121" i="5" s="1"/>
  <c r="E122" i="5"/>
  <c r="F122" i="5" s="1"/>
  <c r="E123" i="5"/>
  <c r="F123" i="5" s="1"/>
  <c r="E124" i="5"/>
  <c r="F124" i="5" s="1"/>
  <c r="E125" i="5"/>
  <c r="F125" i="5" s="1"/>
  <c r="E126" i="5"/>
  <c r="F126" i="5" s="1"/>
  <c r="E127" i="5"/>
  <c r="F127" i="5" s="1"/>
  <c r="E128" i="5"/>
  <c r="F128" i="5" s="1"/>
  <c r="E129" i="5"/>
  <c r="F129" i="5" s="1"/>
  <c r="E130" i="5"/>
  <c r="F130" i="5" s="1"/>
  <c r="E131" i="5"/>
  <c r="F131" i="5" s="1"/>
  <c r="E132" i="5"/>
  <c r="F132" i="5" s="1"/>
  <c r="E133" i="5"/>
  <c r="F133" i="5" s="1"/>
  <c r="E134" i="5"/>
  <c r="F134" i="5" s="1"/>
  <c r="E135" i="5"/>
  <c r="F135" i="5" s="1"/>
  <c r="E136" i="5"/>
  <c r="F136" i="5" s="1"/>
  <c r="E137" i="5"/>
  <c r="F137" i="5" s="1"/>
  <c r="E138" i="5"/>
  <c r="F138" i="5" s="1"/>
  <c r="E139" i="5"/>
  <c r="F139" i="5" s="1"/>
  <c r="E140" i="5"/>
  <c r="F140" i="5" s="1"/>
  <c r="E141" i="5"/>
  <c r="F141" i="5" s="1"/>
  <c r="E142" i="5"/>
  <c r="F142" i="5" s="1"/>
  <c r="E143" i="5"/>
  <c r="F143" i="5" s="1"/>
  <c r="E144" i="5"/>
  <c r="F144" i="5" s="1"/>
  <c r="E145" i="5"/>
  <c r="F145" i="5" s="1"/>
  <c r="E146" i="5"/>
  <c r="F146" i="5" s="1"/>
  <c r="E147" i="5"/>
  <c r="F147" i="5" s="1"/>
  <c r="E148" i="5"/>
  <c r="F148" i="5" s="1"/>
  <c r="E149" i="5"/>
  <c r="F149" i="5" s="1"/>
  <c r="E150" i="5"/>
  <c r="F150" i="5" s="1"/>
  <c r="E151" i="5"/>
  <c r="F151" i="5" s="1"/>
  <c r="E152" i="5"/>
  <c r="F152" i="5" s="1"/>
  <c r="E153" i="5"/>
  <c r="F153" i="5" s="1"/>
  <c r="E154" i="5"/>
  <c r="F154" i="5" s="1"/>
  <c r="E155" i="5"/>
  <c r="F155" i="5" s="1"/>
  <c r="E156" i="5"/>
  <c r="F156" i="5" s="1"/>
  <c r="E157" i="5"/>
  <c r="F157" i="5" s="1"/>
  <c r="E158" i="5"/>
  <c r="F158" i="5" s="1"/>
  <c r="E159" i="5"/>
  <c r="F159" i="5" s="1"/>
  <c r="E160" i="5"/>
  <c r="F160" i="5" s="1"/>
  <c r="E161" i="5"/>
  <c r="F161" i="5" s="1"/>
  <c r="E162" i="5"/>
  <c r="F162" i="5" s="1"/>
  <c r="E163" i="5"/>
  <c r="F163" i="5" s="1"/>
  <c r="E164" i="5"/>
  <c r="F164" i="5" s="1"/>
  <c r="E165" i="5"/>
  <c r="F165" i="5" s="1"/>
  <c r="E166" i="5"/>
  <c r="F166" i="5" s="1"/>
  <c r="E167" i="5"/>
  <c r="F167" i="5" s="1"/>
  <c r="E168" i="5"/>
  <c r="F168" i="5" s="1"/>
  <c r="E169" i="5"/>
  <c r="F169" i="5" s="1"/>
  <c r="E170" i="5"/>
  <c r="F170" i="5" s="1"/>
  <c r="E171" i="5"/>
  <c r="F171" i="5" s="1"/>
  <c r="E172" i="5"/>
  <c r="F172" i="5" s="1"/>
  <c r="E173" i="5"/>
  <c r="F173" i="5" s="1"/>
  <c r="E174" i="5"/>
  <c r="F174" i="5" s="1"/>
  <c r="E175" i="5"/>
  <c r="F175" i="5" s="1"/>
  <c r="E176" i="5"/>
  <c r="F176" i="5" s="1"/>
  <c r="E177" i="5"/>
  <c r="F177" i="5" s="1"/>
  <c r="E178" i="5"/>
  <c r="F178" i="5" s="1"/>
  <c r="E179" i="5"/>
  <c r="F179" i="5" s="1"/>
  <c r="E180" i="5"/>
  <c r="F180" i="5" s="1"/>
  <c r="E181" i="5"/>
  <c r="F181" i="5" s="1"/>
  <c r="E182" i="5"/>
  <c r="F182" i="5" s="1"/>
  <c r="E183" i="5"/>
  <c r="F183" i="5" s="1"/>
  <c r="E184" i="5"/>
  <c r="F184" i="5" s="1"/>
  <c r="E185" i="5"/>
  <c r="F185" i="5" s="1"/>
  <c r="E186" i="5"/>
  <c r="F186" i="5" s="1"/>
  <c r="E187" i="5"/>
  <c r="F187" i="5" s="1"/>
  <c r="E188" i="5"/>
  <c r="F188" i="5" s="1"/>
  <c r="E189" i="5"/>
  <c r="F189" i="5" s="1"/>
  <c r="E190" i="5"/>
  <c r="F190" i="5" s="1"/>
  <c r="E191" i="5"/>
  <c r="F191" i="5" s="1"/>
  <c r="E192" i="5"/>
  <c r="F192" i="5" s="1"/>
  <c r="E193" i="5"/>
  <c r="F193" i="5" s="1"/>
  <c r="E194" i="5"/>
  <c r="F194" i="5" s="1"/>
  <c r="E195" i="5"/>
  <c r="F195" i="5" s="1"/>
  <c r="E196" i="5"/>
  <c r="F196" i="5" s="1"/>
  <c r="E197" i="5"/>
  <c r="F197" i="5" s="1"/>
  <c r="E198" i="5"/>
  <c r="F198" i="5" s="1"/>
  <c r="E199" i="5"/>
  <c r="F199" i="5" s="1"/>
  <c r="E200" i="5"/>
  <c r="F200" i="5" s="1"/>
  <c r="E201" i="5"/>
  <c r="F201" i="5" s="1"/>
  <c r="E202" i="5"/>
  <c r="F202" i="5" s="1"/>
  <c r="E203" i="5"/>
  <c r="F203" i="5" s="1"/>
  <c r="E204" i="5"/>
  <c r="F204" i="5" s="1"/>
  <c r="E205" i="5"/>
  <c r="F205" i="5" s="1"/>
  <c r="E206" i="5"/>
  <c r="F206" i="5" s="1"/>
  <c r="E207" i="5"/>
  <c r="F207" i="5" s="1"/>
  <c r="E208" i="5"/>
  <c r="F208" i="5" s="1"/>
  <c r="E209" i="5"/>
  <c r="F209" i="5" s="1"/>
  <c r="E210" i="5"/>
  <c r="F210" i="5" s="1"/>
  <c r="E211" i="5"/>
  <c r="F211" i="5" s="1"/>
  <c r="E212" i="5"/>
  <c r="F212" i="5" s="1"/>
  <c r="E213" i="5"/>
  <c r="F213" i="5" s="1"/>
  <c r="E214" i="5"/>
  <c r="F214" i="5" s="1"/>
  <c r="E215" i="5"/>
  <c r="F215" i="5" s="1"/>
  <c r="E216" i="5"/>
  <c r="F216" i="5" s="1"/>
  <c r="E217" i="5"/>
  <c r="F217" i="5" s="1"/>
  <c r="E218" i="5"/>
  <c r="F218" i="5" s="1"/>
  <c r="E219" i="5"/>
  <c r="F219" i="5" s="1"/>
  <c r="E220" i="5"/>
  <c r="F220" i="5" s="1"/>
  <c r="E221" i="5"/>
  <c r="F221" i="5" s="1"/>
  <c r="E222" i="5"/>
  <c r="F222" i="5" s="1"/>
  <c r="E223" i="5"/>
  <c r="F223" i="5" s="1"/>
  <c r="E224" i="5"/>
  <c r="F224" i="5" s="1"/>
  <c r="E225" i="5"/>
  <c r="F225" i="5" s="1"/>
  <c r="E226" i="5"/>
  <c r="F226" i="5" s="1"/>
  <c r="E227" i="5"/>
  <c r="F227" i="5" s="1"/>
  <c r="E228" i="5"/>
  <c r="F228" i="5" s="1"/>
  <c r="E229" i="5"/>
  <c r="F229" i="5" s="1"/>
  <c r="E230" i="5"/>
  <c r="F230" i="5" s="1"/>
  <c r="E231" i="5"/>
  <c r="F231" i="5" s="1"/>
  <c r="E232" i="5"/>
  <c r="F232" i="5" s="1"/>
  <c r="E233" i="5"/>
  <c r="F233" i="5" s="1"/>
  <c r="E234" i="5"/>
  <c r="F234" i="5" s="1"/>
  <c r="E235" i="5"/>
  <c r="F235" i="5" s="1"/>
  <c r="E236" i="5"/>
  <c r="F236" i="5" s="1"/>
  <c r="E237" i="5"/>
  <c r="F237" i="5" s="1"/>
  <c r="E238" i="5"/>
  <c r="F238" i="5" s="1"/>
  <c r="E239" i="5"/>
  <c r="F239" i="5" s="1"/>
  <c r="E240" i="5"/>
  <c r="F240" i="5" s="1"/>
  <c r="E241" i="5"/>
  <c r="F241" i="5" s="1"/>
  <c r="E242" i="5"/>
  <c r="F242" i="5" s="1"/>
  <c r="E243" i="5"/>
  <c r="F243" i="5" s="1"/>
  <c r="E244" i="5"/>
  <c r="F244" i="5" s="1"/>
  <c r="E245" i="5"/>
  <c r="F245" i="5" s="1"/>
  <c r="E246" i="5"/>
  <c r="F246" i="5" s="1"/>
  <c r="E247" i="5"/>
  <c r="F247" i="5" s="1"/>
  <c r="E248" i="5"/>
  <c r="F248" i="5" s="1"/>
  <c r="E249" i="5"/>
  <c r="F249" i="5" s="1"/>
  <c r="E250" i="5"/>
  <c r="F250" i="5" s="1"/>
  <c r="E251" i="5"/>
  <c r="F251" i="5" s="1"/>
  <c r="E252" i="5"/>
  <c r="F252" i="5" s="1"/>
  <c r="E253" i="5"/>
  <c r="F253" i="5" s="1"/>
  <c r="E254" i="5"/>
  <c r="F254" i="5" s="1"/>
  <c r="E255" i="5"/>
  <c r="F255" i="5" s="1"/>
  <c r="E256" i="5"/>
  <c r="F256" i="5" s="1"/>
  <c r="E257" i="5"/>
  <c r="F257" i="5" s="1"/>
  <c r="E258" i="5"/>
  <c r="F258" i="5" s="1"/>
  <c r="E259" i="5"/>
  <c r="F259" i="5" s="1"/>
  <c r="E260" i="5"/>
  <c r="F260" i="5" s="1"/>
  <c r="E261" i="5"/>
  <c r="F261" i="5" s="1"/>
  <c r="E262" i="5"/>
  <c r="F262" i="5" s="1"/>
  <c r="E263" i="5"/>
  <c r="F263" i="5" s="1"/>
  <c r="E264" i="5"/>
  <c r="F264" i="5" s="1"/>
  <c r="E265" i="5"/>
  <c r="F265" i="5" s="1"/>
  <c r="E266" i="5"/>
  <c r="F266" i="5" s="1"/>
  <c r="E267" i="5"/>
  <c r="F267" i="5" s="1"/>
  <c r="E268" i="5"/>
  <c r="F268" i="5" s="1"/>
  <c r="E269" i="5"/>
  <c r="F269" i="5" s="1"/>
  <c r="E270" i="5"/>
  <c r="F270" i="5" s="1"/>
  <c r="E271" i="5"/>
  <c r="F271" i="5" s="1"/>
  <c r="E272" i="5"/>
  <c r="F272" i="5" s="1"/>
  <c r="E273" i="5"/>
  <c r="F273" i="5" s="1"/>
  <c r="E274" i="5"/>
  <c r="F274" i="5" s="1"/>
  <c r="E275" i="5"/>
  <c r="F275" i="5" s="1"/>
  <c r="E276" i="5"/>
  <c r="F276" i="5" s="1"/>
  <c r="E277" i="5"/>
  <c r="F277" i="5" s="1"/>
  <c r="E278" i="5"/>
  <c r="F278" i="5" s="1"/>
  <c r="E279" i="5"/>
  <c r="F279" i="5" s="1"/>
  <c r="E280" i="5"/>
  <c r="F280" i="5" s="1"/>
  <c r="E281" i="5"/>
  <c r="F281" i="5" s="1"/>
  <c r="E282" i="5"/>
  <c r="F282" i="5" s="1"/>
  <c r="E283" i="5"/>
  <c r="F283" i="5" s="1"/>
  <c r="E284" i="5"/>
  <c r="F284" i="5" s="1"/>
  <c r="E285" i="5"/>
  <c r="F285" i="5" s="1"/>
  <c r="E286" i="5"/>
  <c r="F286" i="5" s="1"/>
  <c r="E287" i="5"/>
  <c r="F287" i="5" s="1"/>
  <c r="E288" i="5"/>
  <c r="F288" i="5" s="1"/>
  <c r="E289" i="5"/>
  <c r="F289" i="5" s="1"/>
  <c r="E290" i="5"/>
  <c r="F290" i="5" s="1"/>
  <c r="E291" i="5"/>
  <c r="F291" i="5" s="1"/>
  <c r="E292" i="5"/>
  <c r="F292" i="5" s="1"/>
  <c r="E293" i="5"/>
  <c r="F293" i="5" s="1"/>
  <c r="E294" i="5"/>
  <c r="F294" i="5" s="1"/>
  <c r="E295" i="5"/>
  <c r="F295" i="5" s="1"/>
  <c r="E296" i="5"/>
  <c r="F296" i="5" s="1"/>
  <c r="E297" i="5"/>
  <c r="F297" i="5" s="1"/>
  <c r="E298" i="5"/>
  <c r="F298" i="5" s="1"/>
  <c r="E299" i="5"/>
  <c r="F299" i="5" s="1"/>
  <c r="E300" i="5"/>
  <c r="F300" i="5" s="1"/>
  <c r="E301" i="5"/>
  <c r="F301" i="5" s="1"/>
  <c r="E302" i="5"/>
  <c r="F302" i="5" s="1"/>
  <c r="E303" i="5"/>
  <c r="F303" i="5" s="1"/>
  <c r="E304" i="5"/>
  <c r="F304" i="5" s="1"/>
  <c r="E305" i="5"/>
  <c r="F305" i="5" s="1"/>
  <c r="E306" i="5"/>
  <c r="F306" i="5" s="1"/>
  <c r="E307" i="5"/>
  <c r="F307" i="5" s="1"/>
  <c r="E308" i="5"/>
  <c r="F308" i="5" s="1"/>
  <c r="E309" i="5"/>
  <c r="F309" i="5" s="1"/>
  <c r="E310" i="5"/>
  <c r="F310" i="5" s="1"/>
  <c r="E311" i="5"/>
  <c r="F311" i="5" s="1"/>
  <c r="E312" i="5"/>
  <c r="F312" i="5" s="1"/>
  <c r="E313" i="5"/>
  <c r="F313" i="5" s="1"/>
  <c r="E314" i="5"/>
  <c r="F314" i="5" s="1"/>
  <c r="E315" i="5"/>
  <c r="F315" i="5" s="1"/>
  <c r="E316" i="5"/>
  <c r="F316" i="5" s="1"/>
  <c r="E317" i="5"/>
  <c r="F317" i="5" s="1"/>
  <c r="E318" i="5"/>
  <c r="F318" i="5" s="1"/>
  <c r="E319" i="5"/>
  <c r="F319" i="5" s="1"/>
  <c r="E320" i="5"/>
  <c r="F320" i="5" s="1"/>
  <c r="E321" i="5"/>
  <c r="F321" i="5" s="1"/>
  <c r="E322" i="5"/>
  <c r="F322" i="5" s="1"/>
  <c r="E323" i="5"/>
  <c r="F323" i="5" s="1"/>
  <c r="E324" i="5"/>
  <c r="F324" i="5" s="1"/>
  <c r="E325" i="5"/>
  <c r="F325" i="5" s="1"/>
  <c r="E326" i="5"/>
  <c r="F326" i="5" s="1"/>
  <c r="E327" i="5"/>
  <c r="F327" i="5" s="1"/>
  <c r="E328" i="5"/>
  <c r="F328" i="5" s="1"/>
  <c r="E329" i="5"/>
  <c r="F329" i="5" s="1"/>
  <c r="E330" i="5"/>
  <c r="F330" i="5" s="1"/>
  <c r="E331" i="5"/>
  <c r="F331" i="5" s="1"/>
  <c r="E332" i="5"/>
  <c r="F332" i="5" s="1"/>
  <c r="E333" i="5"/>
  <c r="F333" i="5" s="1"/>
  <c r="E334" i="5"/>
  <c r="F334" i="5" s="1"/>
  <c r="E335" i="5"/>
  <c r="F335" i="5" s="1"/>
  <c r="E336" i="5"/>
  <c r="F336" i="5" s="1"/>
  <c r="E337" i="5"/>
  <c r="F337" i="5" s="1"/>
  <c r="E338" i="5"/>
  <c r="F338" i="5" s="1"/>
  <c r="E339" i="5"/>
  <c r="F339" i="5" s="1"/>
  <c r="E340" i="5"/>
  <c r="F340" i="5" s="1"/>
  <c r="E341" i="5"/>
  <c r="F341" i="5" s="1"/>
  <c r="E342" i="5"/>
  <c r="F342" i="5" s="1"/>
  <c r="E343" i="5"/>
  <c r="F343" i="5" s="1"/>
  <c r="E344" i="5"/>
  <c r="F344" i="5" s="1"/>
  <c r="E345" i="5"/>
  <c r="F345" i="5" s="1"/>
  <c r="E346" i="5"/>
  <c r="F346" i="5" s="1"/>
  <c r="E347" i="5"/>
  <c r="F347" i="5" s="1"/>
  <c r="E348" i="5"/>
  <c r="F348" i="5" s="1"/>
  <c r="E349" i="5"/>
  <c r="F349" i="5" s="1"/>
  <c r="E350" i="5"/>
  <c r="F350" i="5" s="1"/>
  <c r="E351" i="5"/>
  <c r="F351" i="5" s="1"/>
  <c r="E352" i="5"/>
  <c r="F352" i="5" s="1"/>
  <c r="E353" i="5"/>
  <c r="F353" i="5" s="1"/>
  <c r="E354" i="5"/>
  <c r="F354" i="5" s="1"/>
  <c r="E355" i="5"/>
  <c r="F355" i="5" s="1"/>
  <c r="E356" i="5"/>
  <c r="F356" i="5" s="1"/>
  <c r="E357" i="5"/>
  <c r="F357" i="5" s="1"/>
  <c r="E358" i="5"/>
  <c r="F358" i="5" s="1"/>
  <c r="E359" i="5"/>
  <c r="F359" i="5" s="1"/>
  <c r="E360" i="5"/>
  <c r="F360" i="5" s="1"/>
  <c r="E361" i="5"/>
  <c r="F361" i="5" s="1"/>
  <c r="E362" i="5"/>
  <c r="F362" i="5" s="1"/>
  <c r="E363" i="5"/>
  <c r="F363" i="5" s="1"/>
  <c r="E364" i="5"/>
  <c r="F364" i="5" s="1"/>
  <c r="E365" i="5"/>
  <c r="F365" i="5" s="1"/>
  <c r="E366" i="5"/>
  <c r="F366" i="5" s="1"/>
  <c r="E367" i="5"/>
  <c r="F367" i="5" s="1"/>
  <c r="E368" i="5"/>
  <c r="F368" i="5" s="1"/>
  <c r="E369" i="5"/>
  <c r="F369" i="5" s="1"/>
  <c r="E370" i="5"/>
  <c r="F370" i="5" s="1"/>
  <c r="E371" i="5"/>
  <c r="F371" i="5" s="1"/>
  <c r="E372" i="5"/>
  <c r="F372" i="5" s="1"/>
  <c r="E373" i="5"/>
  <c r="F373" i="5" s="1"/>
  <c r="E374" i="5"/>
  <c r="F374" i="5" s="1"/>
  <c r="E375" i="5"/>
  <c r="F375" i="5" s="1"/>
  <c r="E376" i="5"/>
  <c r="F376" i="5" s="1"/>
  <c r="E377" i="5"/>
  <c r="F377" i="5" s="1"/>
  <c r="E378" i="5"/>
  <c r="F378" i="5" s="1"/>
  <c r="E379" i="5"/>
  <c r="F379" i="5" s="1"/>
  <c r="E380" i="5"/>
  <c r="F380" i="5" s="1"/>
  <c r="E381" i="5"/>
  <c r="F381" i="5" s="1"/>
  <c r="E382" i="5"/>
  <c r="F382" i="5" s="1"/>
  <c r="E383" i="5"/>
  <c r="F383" i="5" s="1"/>
  <c r="E384" i="5"/>
  <c r="F384" i="5" s="1"/>
  <c r="E385" i="5"/>
  <c r="F385" i="5" s="1"/>
  <c r="E386" i="5"/>
  <c r="F386" i="5" s="1"/>
  <c r="E387" i="5"/>
  <c r="F387" i="5" s="1"/>
  <c r="E388" i="5"/>
  <c r="F388" i="5" s="1"/>
  <c r="E389" i="5"/>
  <c r="F389" i="5" s="1"/>
  <c r="E390" i="5"/>
  <c r="F390" i="5" s="1"/>
  <c r="E391" i="5"/>
  <c r="F391" i="5" s="1"/>
  <c r="E392" i="5"/>
  <c r="F392" i="5" s="1"/>
  <c r="E393" i="5"/>
  <c r="F393" i="5" s="1"/>
  <c r="E394" i="5"/>
  <c r="F394" i="5" s="1"/>
  <c r="E395" i="5"/>
  <c r="F395" i="5" s="1"/>
  <c r="E396" i="5"/>
  <c r="F396" i="5" s="1"/>
  <c r="E397" i="5"/>
  <c r="F397" i="5" s="1"/>
  <c r="E398" i="5"/>
  <c r="F398" i="5" s="1"/>
  <c r="E399" i="5"/>
  <c r="F399" i="5" s="1"/>
  <c r="E400" i="5"/>
  <c r="F400" i="5" s="1"/>
  <c r="E401" i="5"/>
  <c r="F401" i="5" s="1"/>
  <c r="E402" i="5"/>
  <c r="F402" i="5" s="1"/>
  <c r="E403" i="5"/>
  <c r="F403" i="5" s="1"/>
  <c r="E404" i="5"/>
  <c r="F404" i="5" s="1"/>
  <c r="E405" i="5"/>
  <c r="F405" i="5" s="1"/>
  <c r="E406" i="5"/>
  <c r="F406" i="5" s="1"/>
  <c r="E407" i="5"/>
  <c r="F407" i="5" s="1"/>
  <c r="E408" i="5"/>
  <c r="F408" i="5" s="1"/>
  <c r="E409" i="5"/>
  <c r="F409" i="5" s="1"/>
  <c r="E410" i="5"/>
  <c r="F410" i="5" s="1"/>
  <c r="E411" i="5"/>
  <c r="F411" i="5" s="1"/>
  <c r="E412" i="5"/>
  <c r="F412" i="5" s="1"/>
  <c r="E413" i="5"/>
  <c r="F413" i="5" s="1"/>
  <c r="E414" i="5"/>
  <c r="F414" i="5" s="1"/>
  <c r="E415" i="5"/>
  <c r="F415" i="5" s="1"/>
  <c r="E416" i="5"/>
  <c r="F416" i="5" s="1"/>
  <c r="E417" i="5"/>
  <c r="F417" i="5" s="1"/>
  <c r="E418" i="5"/>
  <c r="F418" i="5" s="1"/>
  <c r="E419" i="5"/>
  <c r="F419" i="5" s="1"/>
  <c r="E420" i="5"/>
  <c r="F420" i="5" s="1"/>
  <c r="E421" i="5"/>
  <c r="F421" i="5" s="1"/>
  <c r="E422" i="5"/>
  <c r="F422" i="5" s="1"/>
  <c r="E423" i="5"/>
  <c r="F423" i="5" s="1"/>
  <c r="E424" i="5"/>
  <c r="F424" i="5" s="1"/>
  <c r="E425" i="5"/>
  <c r="F425" i="5" s="1"/>
  <c r="E426" i="5"/>
  <c r="F426" i="5" s="1"/>
  <c r="E427" i="5"/>
  <c r="F427" i="5" s="1"/>
  <c r="E428" i="5"/>
  <c r="F428" i="5" s="1"/>
  <c r="E429" i="5"/>
  <c r="F429" i="5" s="1"/>
  <c r="E430" i="5"/>
  <c r="F430" i="5" s="1"/>
  <c r="E431" i="5"/>
  <c r="F431" i="5" s="1"/>
  <c r="E432" i="5"/>
  <c r="F432" i="5" s="1"/>
  <c r="E433" i="5"/>
  <c r="F433" i="5" s="1"/>
  <c r="E434" i="5"/>
  <c r="F434" i="5" s="1"/>
  <c r="E436" i="5"/>
  <c r="F436" i="5" s="1"/>
  <c r="E437" i="5"/>
  <c r="F437" i="5" s="1"/>
  <c r="E438" i="5"/>
  <c r="F438" i="5" s="1"/>
  <c r="E439" i="5"/>
  <c r="F439" i="5" s="1"/>
  <c r="E440" i="5"/>
  <c r="F440" i="5" s="1"/>
  <c r="E441" i="5"/>
  <c r="F441" i="5" s="1"/>
  <c r="E442" i="5"/>
  <c r="F442" i="5" s="1"/>
  <c r="E443" i="5"/>
  <c r="F443" i="5" s="1"/>
  <c r="E444" i="5"/>
  <c r="F444" i="5" s="1"/>
  <c r="E445" i="5"/>
  <c r="F445" i="5" s="1"/>
  <c r="E446" i="5"/>
  <c r="F446" i="5" s="1"/>
  <c r="E447" i="5"/>
  <c r="F447" i="5" s="1"/>
  <c r="E448" i="5"/>
  <c r="F448" i="5" s="1"/>
  <c r="E449" i="5"/>
  <c r="F449" i="5" s="1"/>
  <c r="E450" i="5"/>
  <c r="F450" i="5" s="1"/>
  <c r="E451" i="5"/>
  <c r="F451" i="5" s="1"/>
  <c r="E452" i="5"/>
  <c r="F452" i="5" s="1"/>
  <c r="E453" i="5"/>
  <c r="F453" i="5" s="1"/>
  <c r="E454" i="5"/>
  <c r="F454" i="5" s="1"/>
  <c r="E455" i="5"/>
  <c r="F455" i="5" s="1"/>
  <c r="E456" i="5"/>
  <c r="F456" i="5" s="1"/>
  <c r="E457" i="5"/>
  <c r="F457" i="5" s="1"/>
  <c r="E458" i="5"/>
  <c r="F458" i="5" s="1"/>
  <c r="E459" i="5"/>
  <c r="F459" i="5" s="1"/>
  <c r="E460" i="5"/>
  <c r="F460" i="5" s="1"/>
  <c r="E461" i="5"/>
  <c r="F461" i="5" s="1"/>
  <c r="E462" i="5"/>
  <c r="F462" i="5" s="1"/>
  <c r="E463" i="5"/>
  <c r="F463" i="5" s="1"/>
  <c r="E464" i="5"/>
  <c r="F464" i="5" s="1"/>
  <c r="E465" i="5"/>
  <c r="F465" i="5" s="1"/>
  <c r="E466" i="5"/>
  <c r="F466" i="5" s="1"/>
  <c r="E467" i="5"/>
  <c r="F467" i="5" s="1"/>
  <c r="E468" i="5"/>
  <c r="F468" i="5" s="1"/>
  <c r="E469" i="5"/>
  <c r="F469" i="5" s="1"/>
  <c r="E470" i="5"/>
  <c r="F470" i="5" s="1"/>
  <c r="E471" i="5"/>
  <c r="F471" i="5" s="1"/>
  <c r="E472" i="5"/>
  <c r="F472" i="5" s="1"/>
  <c r="E473" i="5"/>
  <c r="F473" i="5" s="1"/>
  <c r="E474" i="5"/>
  <c r="F474" i="5" s="1"/>
  <c r="E475" i="5"/>
  <c r="F475" i="5" s="1"/>
  <c r="E476" i="5"/>
  <c r="F476" i="5" s="1"/>
  <c r="E477" i="5"/>
  <c r="F477" i="5" s="1"/>
  <c r="E478" i="5"/>
  <c r="F478" i="5" s="1"/>
  <c r="E479" i="5"/>
  <c r="F479" i="5" s="1"/>
  <c r="E480" i="5"/>
  <c r="F480" i="5" s="1"/>
  <c r="E481" i="5"/>
  <c r="F481" i="5" s="1"/>
  <c r="E482" i="5"/>
  <c r="F482" i="5" s="1"/>
  <c r="E483" i="5"/>
  <c r="F483" i="5" s="1"/>
  <c r="E484" i="5"/>
  <c r="F484" i="5" s="1"/>
  <c r="E485" i="5"/>
  <c r="F485" i="5" s="1"/>
  <c r="E486" i="5"/>
  <c r="F486" i="5" s="1"/>
  <c r="E487" i="5"/>
  <c r="F487" i="5" s="1"/>
  <c r="E488" i="5"/>
  <c r="F488" i="5" s="1"/>
  <c r="E489" i="5"/>
  <c r="F489" i="5" s="1"/>
  <c r="E490" i="5"/>
  <c r="F490" i="5" s="1"/>
  <c r="E491" i="5"/>
  <c r="F491" i="5" s="1"/>
  <c r="E492" i="5"/>
  <c r="F492" i="5" s="1"/>
  <c r="E493" i="5"/>
  <c r="F493" i="5" s="1"/>
  <c r="E494" i="5"/>
  <c r="F494" i="5" s="1"/>
  <c r="E495" i="5"/>
  <c r="F495" i="5" s="1"/>
  <c r="E496" i="5"/>
  <c r="F496" i="5" s="1"/>
  <c r="E497" i="5"/>
  <c r="F497" i="5" s="1"/>
  <c r="E498" i="5"/>
  <c r="F498" i="5" s="1"/>
  <c r="E499" i="5"/>
  <c r="F499" i="5" s="1"/>
  <c r="E500" i="5"/>
  <c r="F500" i="5" s="1"/>
  <c r="E501" i="5"/>
  <c r="F501" i="5" s="1"/>
  <c r="E502" i="5"/>
  <c r="F502" i="5" s="1"/>
  <c r="E503" i="5"/>
  <c r="F503" i="5" s="1"/>
  <c r="E504" i="5"/>
  <c r="F504" i="5" s="1"/>
  <c r="E505" i="5"/>
  <c r="F505" i="5" s="1"/>
  <c r="E506" i="5"/>
  <c r="F506" i="5" s="1"/>
  <c r="E507" i="5"/>
  <c r="F507" i="5" s="1"/>
  <c r="E508" i="5"/>
  <c r="F508" i="5" s="1"/>
  <c r="E509" i="5"/>
  <c r="F509" i="5" s="1"/>
  <c r="E510" i="5"/>
  <c r="F510" i="5" s="1"/>
  <c r="E511" i="5"/>
  <c r="F511" i="5" s="1"/>
  <c r="E512" i="5"/>
  <c r="F512" i="5" s="1"/>
  <c r="E513" i="5"/>
  <c r="F513" i="5" s="1"/>
  <c r="E514" i="5"/>
  <c r="F514" i="5" s="1"/>
  <c r="E515" i="5"/>
  <c r="F515" i="5" s="1"/>
  <c r="E516" i="5"/>
  <c r="F516" i="5" s="1"/>
  <c r="E517" i="5"/>
  <c r="F517" i="5" s="1"/>
  <c r="E518" i="5"/>
  <c r="F518" i="5" s="1"/>
  <c r="E519" i="5"/>
  <c r="F519" i="5" s="1"/>
  <c r="E520" i="5"/>
  <c r="F520" i="5" s="1"/>
  <c r="E521" i="5"/>
  <c r="F521" i="5" s="1"/>
  <c r="E522" i="5"/>
  <c r="F522" i="5" s="1"/>
  <c r="E523" i="5"/>
  <c r="F523" i="5" s="1"/>
  <c r="E524" i="5"/>
  <c r="F524" i="5" s="1"/>
  <c r="E525" i="5"/>
  <c r="F525" i="5" s="1"/>
  <c r="E526" i="5"/>
  <c r="F526" i="5" s="1"/>
  <c r="E527" i="5"/>
  <c r="F527" i="5" s="1"/>
  <c r="E528" i="5"/>
  <c r="F528" i="5" s="1"/>
  <c r="E529" i="5"/>
  <c r="F529" i="5" s="1"/>
  <c r="E530" i="5"/>
  <c r="F530" i="5" s="1"/>
  <c r="E531" i="5"/>
  <c r="F531" i="5" s="1"/>
  <c r="E532" i="5"/>
  <c r="F532" i="5" s="1"/>
  <c r="E533" i="5"/>
  <c r="F533" i="5" s="1"/>
  <c r="E534" i="5"/>
  <c r="F534" i="5" s="1"/>
  <c r="E535" i="5"/>
  <c r="F535" i="5" s="1"/>
  <c r="E536" i="5"/>
  <c r="F536" i="5" s="1"/>
  <c r="E537" i="5"/>
  <c r="F537" i="5" s="1"/>
  <c r="E538" i="5"/>
  <c r="F538" i="5" s="1"/>
  <c r="E539" i="5"/>
  <c r="F539" i="5" s="1"/>
  <c r="E540" i="5"/>
  <c r="F540" i="5" s="1"/>
  <c r="E541" i="5"/>
  <c r="F541" i="5" s="1"/>
  <c r="E542" i="5"/>
  <c r="F542" i="5" s="1"/>
  <c r="E543" i="5"/>
  <c r="F543" i="5" s="1"/>
  <c r="E544" i="5"/>
  <c r="F544" i="5" s="1"/>
  <c r="E545" i="5"/>
  <c r="F545" i="5" s="1"/>
  <c r="E546" i="5"/>
  <c r="F546" i="5" s="1"/>
  <c r="E547" i="5"/>
  <c r="F547" i="5" s="1"/>
  <c r="E548" i="5"/>
  <c r="F548" i="5" s="1"/>
  <c r="E549" i="5"/>
  <c r="F549" i="5" s="1"/>
  <c r="E550" i="5"/>
  <c r="F550" i="5" s="1"/>
  <c r="E551" i="5"/>
  <c r="F551" i="5" s="1"/>
  <c r="E552" i="5"/>
  <c r="F552" i="5" s="1"/>
  <c r="E553" i="5"/>
  <c r="F553" i="5" s="1"/>
  <c r="E554" i="5"/>
  <c r="F554" i="5" s="1"/>
  <c r="E555" i="5"/>
  <c r="F555" i="5" s="1"/>
  <c r="E556" i="5"/>
  <c r="F556" i="5" s="1"/>
  <c r="E557" i="5"/>
  <c r="F557" i="5" s="1"/>
  <c r="E558" i="5"/>
  <c r="F558" i="5" s="1"/>
  <c r="E559" i="5"/>
  <c r="F559" i="5" s="1"/>
  <c r="E560" i="5"/>
  <c r="F560" i="5" s="1"/>
  <c r="E561" i="5"/>
  <c r="F561" i="5" s="1"/>
  <c r="E562" i="5"/>
  <c r="F562" i="5" s="1"/>
  <c r="E563" i="5"/>
  <c r="F563" i="5" s="1"/>
  <c r="E564" i="5"/>
  <c r="F564" i="5" s="1"/>
  <c r="E565" i="5"/>
  <c r="F565" i="5" s="1"/>
  <c r="E566" i="5"/>
  <c r="F566" i="5" s="1"/>
  <c r="E567" i="5"/>
  <c r="F567" i="5" s="1"/>
  <c r="E568" i="5"/>
  <c r="F568" i="5" s="1"/>
  <c r="E569" i="5"/>
  <c r="F569" i="5" s="1"/>
  <c r="E570" i="5"/>
  <c r="F570" i="5" s="1"/>
  <c r="E571" i="5"/>
  <c r="F571" i="5" s="1"/>
  <c r="E572" i="5"/>
  <c r="F572" i="5" s="1"/>
  <c r="E573" i="5"/>
  <c r="F573" i="5" s="1"/>
  <c r="E574" i="5"/>
  <c r="F574" i="5" s="1"/>
  <c r="E575" i="5"/>
  <c r="F575" i="5" s="1"/>
  <c r="E576" i="5"/>
  <c r="F576" i="5" s="1"/>
  <c r="E577" i="5"/>
  <c r="F577" i="5" s="1"/>
  <c r="E578" i="5"/>
  <c r="F578" i="5" s="1"/>
  <c r="E579" i="5"/>
  <c r="F579" i="5" s="1"/>
  <c r="E580" i="5"/>
  <c r="F580" i="5" s="1"/>
  <c r="E581" i="5"/>
  <c r="F581" i="5" s="1"/>
  <c r="E582" i="5"/>
  <c r="F582" i="5" s="1"/>
  <c r="E583" i="5"/>
  <c r="F583" i="5" s="1"/>
  <c r="E584" i="5"/>
  <c r="F584" i="5" s="1"/>
  <c r="E585" i="5"/>
  <c r="F585" i="5" s="1"/>
  <c r="E586" i="5"/>
  <c r="F586" i="5" s="1"/>
  <c r="E587" i="5"/>
  <c r="F587" i="5" s="1"/>
  <c r="E588" i="5"/>
  <c r="F588" i="5" s="1"/>
  <c r="E589" i="5"/>
  <c r="F589" i="5" s="1"/>
  <c r="E590" i="5"/>
  <c r="F590" i="5" s="1"/>
  <c r="E591" i="5"/>
  <c r="F591" i="5" s="1"/>
  <c r="E592" i="5"/>
  <c r="F592" i="5" s="1"/>
  <c r="E593" i="5"/>
  <c r="F593" i="5" s="1"/>
  <c r="E594" i="5"/>
  <c r="F594" i="5" s="1"/>
  <c r="E595" i="5"/>
  <c r="F595" i="5" s="1"/>
  <c r="E596" i="5"/>
  <c r="F596" i="5" s="1"/>
  <c r="E597" i="5"/>
  <c r="F597" i="5" s="1"/>
  <c r="E598" i="5"/>
  <c r="F598" i="5" s="1"/>
  <c r="E599" i="5"/>
  <c r="F599" i="5" s="1"/>
  <c r="E600" i="5"/>
  <c r="F600" i="5" s="1"/>
  <c r="E601" i="5"/>
  <c r="F601" i="5" s="1"/>
  <c r="E602" i="5"/>
  <c r="F602" i="5" s="1"/>
  <c r="E603" i="5"/>
  <c r="F603" i="5" s="1"/>
  <c r="E604" i="5"/>
  <c r="F604" i="5" s="1"/>
  <c r="E605" i="5"/>
  <c r="F605" i="5" s="1"/>
  <c r="E606" i="5"/>
  <c r="F606" i="5" s="1"/>
  <c r="E607" i="5"/>
  <c r="F607" i="5" s="1"/>
  <c r="E608" i="5"/>
  <c r="F608" i="5" s="1"/>
  <c r="E609" i="5"/>
  <c r="F609" i="5" s="1"/>
  <c r="E610" i="5"/>
  <c r="F610" i="5" s="1"/>
  <c r="E611" i="5"/>
  <c r="F611" i="5" s="1"/>
  <c r="E612" i="5"/>
  <c r="F612" i="5" s="1"/>
  <c r="E613" i="5"/>
  <c r="F613" i="5" s="1"/>
  <c r="E614" i="5"/>
  <c r="F614" i="5" s="1"/>
  <c r="E615" i="5"/>
  <c r="F615" i="5" s="1"/>
  <c r="E616" i="5"/>
  <c r="F616" i="5" s="1"/>
  <c r="E617" i="5"/>
  <c r="F617" i="5" s="1"/>
  <c r="E618" i="5"/>
  <c r="F618" i="5" s="1"/>
  <c r="E619" i="5"/>
  <c r="F619" i="5" s="1"/>
  <c r="E620" i="5"/>
  <c r="F620" i="5" s="1"/>
  <c r="E621" i="5"/>
  <c r="F621" i="5" s="1"/>
  <c r="E622" i="5"/>
  <c r="F622" i="5" s="1"/>
  <c r="E623" i="5"/>
  <c r="F623" i="5" s="1"/>
  <c r="E624" i="5"/>
  <c r="F624" i="5" s="1"/>
  <c r="E625" i="5"/>
  <c r="F625" i="5" s="1"/>
  <c r="E626" i="5"/>
  <c r="F626" i="5" s="1"/>
  <c r="E627" i="5"/>
  <c r="F627" i="5" s="1"/>
  <c r="E628" i="5"/>
  <c r="F628" i="5" s="1"/>
  <c r="E629" i="5"/>
  <c r="F629" i="5" s="1"/>
  <c r="E630" i="5"/>
  <c r="F630" i="5" s="1"/>
  <c r="E631" i="5"/>
  <c r="F631" i="5" s="1"/>
  <c r="E632" i="5"/>
  <c r="F632" i="5" s="1"/>
  <c r="E633" i="5"/>
  <c r="F633" i="5" s="1"/>
  <c r="E634" i="5"/>
  <c r="F634" i="5" s="1"/>
  <c r="E635" i="5"/>
  <c r="F635" i="5" s="1"/>
  <c r="E636" i="5"/>
  <c r="F636" i="5" s="1"/>
  <c r="E637" i="5"/>
  <c r="F637" i="5" s="1"/>
  <c r="E638" i="5"/>
  <c r="F638" i="5" s="1"/>
  <c r="E639" i="5"/>
  <c r="F639" i="5" s="1"/>
  <c r="E640" i="5"/>
  <c r="F640" i="5" s="1"/>
  <c r="E641" i="5"/>
  <c r="F641" i="5" s="1"/>
  <c r="E642" i="5"/>
  <c r="F642" i="5" s="1"/>
  <c r="E643" i="5"/>
  <c r="F643" i="5" s="1"/>
  <c r="E644" i="5"/>
  <c r="F644" i="5" s="1"/>
  <c r="E645" i="5"/>
  <c r="F645" i="5" s="1"/>
  <c r="E646" i="5"/>
  <c r="F646" i="5" s="1"/>
  <c r="E647" i="5"/>
  <c r="F647" i="5" s="1"/>
  <c r="E648" i="5"/>
  <c r="F648" i="5" s="1"/>
  <c r="E649" i="5"/>
  <c r="F649" i="5" s="1"/>
  <c r="E650" i="5"/>
  <c r="F650" i="5" s="1"/>
  <c r="E651" i="5"/>
  <c r="F651" i="5" s="1"/>
  <c r="E652" i="5"/>
  <c r="F652" i="5" s="1"/>
  <c r="E653" i="5"/>
  <c r="F653" i="5" s="1"/>
  <c r="E654" i="5"/>
  <c r="F654" i="5" s="1"/>
  <c r="E655" i="5"/>
  <c r="F655" i="5" s="1"/>
  <c r="E656" i="5"/>
  <c r="F656" i="5" s="1"/>
  <c r="E657" i="5"/>
  <c r="F657" i="5" s="1"/>
  <c r="E658" i="5"/>
  <c r="F658" i="5" s="1"/>
  <c r="E659" i="5"/>
  <c r="F659" i="5" s="1"/>
  <c r="E660" i="5"/>
  <c r="F660" i="5" s="1"/>
  <c r="E661" i="5"/>
  <c r="F661" i="5" s="1"/>
  <c r="E662" i="5"/>
  <c r="F662" i="5" s="1"/>
  <c r="E663" i="5"/>
  <c r="F663" i="5" s="1"/>
  <c r="E664" i="5"/>
  <c r="F664" i="5" s="1"/>
  <c r="E665" i="5"/>
  <c r="F665" i="5" s="1"/>
  <c r="E666" i="5"/>
  <c r="F666" i="5" s="1"/>
  <c r="E667" i="5"/>
  <c r="F667" i="5" s="1"/>
  <c r="E668" i="5"/>
  <c r="F668" i="5" s="1"/>
  <c r="E669" i="5"/>
  <c r="F669" i="5" s="1"/>
  <c r="E670" i="5"/>
  <c r="F670" i="5" s="1"/>
  <c r="E671" i="5"/>
  <c r="F671" i="5" s="1"/>
  <c r="E672" i="5"/>
  <c r="F672" i="5" s="1"/>
  <c r="E673" i="5"/>
  <c r="F673" i="5" s="1"/>
  <c r="E674" i="5"/>
  <c r="F674" i="5" s="1"/>
  <c r="E675" i="5"/>
  <c r="F675" i="5" s="1"/>
  <c r="E676" i="5"/>
  <c r="F676" i="5" s="1"/>
  <c r="E677" i="5"/>
  <c r="F677" i="5" s="1"/>
  <c r="E678" i="5"/>
  <c r="F678" i="5" s="1"/>
  <c r="E679" i="5"/>
  <c r="F679" i="5" s="1"/>
  <c r="E680" i="5"/>
  <c r="F680" i="5" s="1"/>
  <c r="E681" i="5"/>
  <c r="F681" i="5" s="1"/>
  <c r="E682" i="5"/>
  <c r="F682" i="5" s="1"/>
  <c r="E683" i="5"/>
  <c r="F683" i="5" s="1"/>
  <c r="E684" i="5"/>
  <c r="F684" i="5" s="1"/>
  <c r="E685" i="5"/>
  <c r="F685" i="5" s="1"/>
  <c r="E686" i="5"/>
  <c r="F686" i="5" s="1"/>
  <c r="E687" i="5"/>
  <c r="F687" i="5" s="1"/>
  <c r="E688" i="5"/>
  <c r="F688" i="5" s="1"/>
  <c r="E689" i="5"/>
  <c r="F689" i="5" s="1"/>
  <c r="E690" i="5"/>
  <c r="F690" i="5" s="1"/>
  <c r="E691" i="5"/>
  <c r="F691" i="5" s="1"/>
  <c r="E692" i="5"/>
  <c r="F692" i="5" s="1"/>
  <c r="E693" i="5"/>
  <c r="F693" i="5" s="1"/>
  <c r="E694" i="5"/>
  <c r="F694" i="5" s="1"/>
  <c r="E695" i="5"/>
  <c r="F695" i="5" s="1"/>
  <c r="E696" i="5"/>
  <c r="F696" i="5" s="1"/>
  <c r="E697" i="5"/>
  <c r="F697" i="5" s="1"/>
  <c r="E698" i="5"/>
  <c r="F698" i="5" s="1"/>
  <c r="E699" i="5"/>
  <c r="F699" i="5" s="1"/>
  <c r="E700" i="5"/>
  <c r="F700" i="5" s="1"/>
  <c r="E701" i="5"/>
  <c r="F701" i="5" s="1"/>
  <c r="E702" i="5"/>
  <c r="F702" i="5" s="1"/>
  <c r="E703" i="5"/>
  <c r="F703" i="5" s="1"/>
  <c r="E704" i="5"/>
  <c r="F704" i="5" s="1"/>
  <c r="E705" i="5"/>
  <c r="F705" i="5" s="1"/>
  <c r="E706" i="5"/>
  <c r="F706" i="5" s="1"/>
  <c r="E707" i="5"/>
  <c r="F707" i="5" s="1"/>
  <c r="E708" i="5"/>
  <c r="F708" i="5" s="1"/>
  <c r="E709" i="5"/>
  <c r="F709" i="5" s="1"/>
  <c r="E710" i="5"/>
  <c r="F710" i="5" s="1"/>
  <c r="E711" i="5"/>
  <c r="F711" i="5" s="1"/>
  <c r="E712" i="5"/>
  <c r="F712" i="5" s="1"/>
  <c r="E713" i="5"/>
  <c r="F713" i="5" s="1"/>
  <c r="E714" i="5"/>
  <c r="F714" i="5" s="1"/>
  <c r="E715" i="5"/>
  <c r="F715" i="5" s="1"/>
  <c r="E716" i="5"/>
  <c r="F716" i="5" s="1"/>
  <c r="E717" i="5"/>
  <c r="F717" i="5" s="1"/>
  <c r="E718" i="5"/>
  <c r="F718" i="5" s="1"/>
  <c r="E719" i="5"/>
  <c r="F719" i="5" s="1"/>
  <c r="E720" i="5"/>
  <c r="F720" i="5" s="1"/>
  <c r="E721" i="5"/>
  <c r="F721" i="5" s="1"/>
  <c r="E722" i="5"/>
  <c r="F722" i="5" s="1"/>
  <c r="E723" i="5"/>
  <c r="F723" i="5" s="1"/>
  <c r="E724" i="5"/>
  <c r="F724" i="5" s="1"/>
  <c r="E725" i="5"/>
  <c r="F725" i="5" s="1"/>
  <c r="E726" i="5"/>
  <c r="F726" i="5" s="1"/>
  <c r="E727" i="5"/>
  <c r="F727" i="5" s="1"/>
  <c r="E728" i="5"/>
  <c r="F728" i="5" s="1"/>
  <c r="E729" i="5"/>
  <c r="F729" i="5" s="1"/>
  <c r="E730" i="5"/>
  <c r="F730" i="5" s="1"/>
  <c r="E731" i="5"/>
  <c r="F731" i="5" s="1"/>
  <c r="E732" i="5"/>
  <c r="F732" i="5" s="1"/>
  <c r="E733" i="5"/>
  <c r="F733" i="5" s="1"/>
  <c r="E734" i="5"/>
  <c r="F734" i="5" s="1"/>
  <c r="E735" i="5"/>
  <c r="F735" i="5" s="1"/>
  <c r="E736" i="5"/>
  <c r="F736" i="5" s="1"/>
  <c r="E737" i="5"/>
  <c r="F737" i="5" s="1"/>
  <c r="E738" i="5"/>
  <c r="F738" i="5" s="1"/>
  <c r="E739" i="5"/>
  <c r="F739" i="5" s="1"/>
  <c r="E740" i="5"/>
  <c r="F740" i="5" s="1"/>
  <c r="E741" i="5"/>
  <c r="F741" i="5" s="1"/>
  <c r="E742" i="5"/>
  <c r="F742" i="5" s="1"/>
  <c r="E743" i="5"/>
  <c r="F743" i="5" s="1"/>
  <c r="E744" i="5"/>
  <c r="F744" i="5" s="1"/>
  <c r="E745" i="5"/>
  <c r="F745" i="5" s="1"/>
  <c r="E746" i="5"/>
  <c r="F746" i="5" s="1"/>
  <c r="E747" i="5"/>
  <c r="F747" i="5" s="1"/>
  <c r="E748" i="5"/>
  <c r="F748" i="5" s="1"/>
  <c r="E749" i="5"/>
  <c r="F749" i="5" s="1"/>
  <c r="E750" i="5"/>
  <c r="F750" i="5" s="1"/>
  <c r="E751" i="5"/>
  <c r="F751" i="5" s="1"/>
  <c r="E752" i="5"/>
  <c r="F752" i="5" s="1"/>
  <c r="E753" i="5"/>
  <c r="F753" i="5" s="1"/>
  <c r="E754" i="5"/>
  <c r="F754" i="5" s="1"/>
  <c r="E755" i="5"/>
  <c r="F755" i="5" s="1"/>
  <c r="E756" i="5"/>
  <c r="F756" i="5" s="1"/>
  <c r="E757" i="5"/>
  <c r="F757" i="5" s="1"/>
  <c r="E758" i="5"/>
  <c r="F758" i="5" s="1"/>
  <c r="E759" i="5"/>
  <c r="F759" i="5" s="1"/>
  <c r="E760" i="5"/>
  <c r="F760" i="5" s="1"/>
  <c r="E761" i="5"/>
  <c r="F761" i="5" s="1"/>
  <c r="E762" i="5"/>
  <c r="F762" i="5" s="1"/>
  <c r="E763" i="5"/>
  <c r="F763" i="5" s="1"/>
  <c r="E764" i="5"/>
  <c r="F764" i="5" s="1"/>
  <c r="E765" i="5"/>
  <c r="F765" i="5" s="1"/>
  <c r="E766" i="5"/>
  <c r="F766" i="5" s="1"/>
  <c r="E767" i="5"/>
  <c r="F767" i="5" s="1"/>
  <c r="E768" i="5"/>
  <c r="F768" i="5" s="1"/>
  <c r="E769" i="5"/>
  <c r="F769" i="5" s="1"/>
  <c r="E770" i="5"/>
  <c r="F770" i="5" s="1"/>
  <c r="E771" i="5"/>
  <c r="F771" i="5" s="1"/>
  <c r="E772" i="5"/>
  <c r="F772" i="5" s="1"/>
  <c r="E773" i="5"/>
  <c r="F773" i="5" s="1"/>
  <c r="E774" i="5"/>
  <c r="F774" i="5" s="1"/>
  <c r="E775" i="5"/>
  <c r="F775" i="5" s="1"/>
  <c r="E776" i="5"/>
  <c r="F776" i="5" s="1"/>
  <c r="E777" i="5"/>
  <c r="F777" i="5" s="1"/>
  <c r="E778" i="5"/>
  <c r="F778" i="5" s="1"/>
  <c r="E779" i="5"/>
  <c r="F779" i="5" s="1"/>
  <c r="E780" i="5"/>
  <c r="F780" i="5" s="1"/>
  <c r="E781" i="5"/>
  <c r="F781" i="5" s="1"/>
  <c r="E782" i="5"/>
  <c r="F782" i="5" s="1"/>
  <c r="E783" i="5"/>
  <c r="F783" i="5" s="1"/>
  <c r="E784" i="5"/>
  <c r="F784" i="5" s="1"/>
  <c r="E785" i="5"/>
  <c r="F785" i="5" s="1"/>
  <c r="E786" i="5"/>
  <c r="F786" i="5" s="1"/>
  <c r="E787" i="5"/>
  <c r="F787" i="5" s="1"/>
  <c r="E788" i="5"/>
  <c r="F788" i="5" s="1"/>
  <c r="E789" i="5"/>
  <c r="F789" i="5" s="1"/>
  <c r="E790" i="5"/>
  <c r="F790" i="5" s="1"/>
  <c r="E791" i="5"/>
  <c r="F791" i="5" s="1"/>
  <c r="E792" i="5"/>
  <c r="F792" i="5" s="1"/>
  <c r="E793" i="5"/>
  <c r="F793" i="5" s="1"/>
  <c r="E794" i="5"/>
  <c r="F794" i="5" s="1"/>
  <c r="E795" i="5"/>
  <c r="F795" i="5" s="1"/>
  <c r="E796" i="5"/>
  <c r="F796" i="5" s="1"/>
  <c r="E3" i="5"/>
  <c r="F3" i="5" s="1"/>
  <c r="E4" i="5"/>
  <c r="F4" i="5" s="1"/>
  <c r="E5" i="5"/>
  <c r="F5" i="5" s="1"/>
  <c r="E6" i="5"/>
  <c r="F6" i="5" s="1"/>
  <c r="E7" i="5"/>
  <c r="F7" i="5" s="1"/>
  <c r="E8" i="5"/>
  <c r="F8" i="5" s="1"/>
  <c r="E9" i="5"/>
  <c r="F9" i="5" s="1"/>
  <c r="E10" i="5"/>
  <c r="F10" i="5" s="1"/>
  <c r="E11" i="5"/>
  <c r="F11" i="5" s="1"/>
  <c r="E12" i="5"/>
  <c r="F12" i="5" s="1"/>
  <c r="E13" i="5"/>
  <c r="F13" i="5" s="1"/>
  <c r="E14" i="5"/>
  <c r="F14" i="5" s="1"/>
  <c r="E15" i="5"/>
  <c r="F15" i="5" s="1"/>
  <c r="E16" i="5"/>
  <c r="F16" i="5" s="1"/>
  <c r="E17" i="5"/>
  <c r="F17" i="5" s="1"/>
  <c r="E18" i="5"/>
  <c r="F18" i="5" s="1"/>
  <c r="E19" i="5"/>
  <c r="F19" i="5" s="1"/>
  <c r="E20" i="5"/>
  <c r="F20" i="5" s="1"/>
  <c r="E21" i="5"/>
  <c r="F21" i="5" s="1"/>
  <c r="E22" i="5"/>
  <c r="F22" i="5" s="1"/>
  <c r="E23" i="5"/>
  <c r="F23" i="5" s="1"/>
  <c r="E24" i="5"/>
  <c r="F24" i="5" s="1"/>
  <c r="E25" i="5"/>
  <c r="F25" i="5" s="1"/>
  <c r="E26" i="5"/>
  <c r="F26" i="5" s="1"/>
  <c r="E27" i="5"/>
  <c r="F27" i="5" s="1"/>
  <c r="E28" i="5"/>
  <c r="F28" i="5" s="1"/>
  <c r="E29" i="5"/>
  <c r="F29" i="5" s="1"/>
  <c r="E30" i="5"/>
  <c r="F30" i="5" s="1"/>
  <c r="E31" i="5"/>
  <c r="F31" i="5" s="1"/>
  <c r="E32" i="5"/>
  <c r="F32" i="5" s="1"/>
  <c r="E33" i="5"/>
  <c r="F33" i="5" s="1"/>
  <c r="E34" i="5"/>
  <c r="F34" i="5" s="1"/>
  <c r="E35" i="5"/>
  <c r="F35" i="5" s="1"/>
  <c r="E36" i="5"/>
  <c r="F36" i="5" s="1"/>
  <c r="E37" i="5"/>
  <c r="F37" i="5" s="1"/>
  <c r="E38" i="5"/>
  <c r="F38" i="5" s="1"/>
  <c r="E39" i="5"/>
  <c r="F39" i="5" s="1"/>
  <c r="E40" i="5"/>
  <c r="F40" i="5" s="1"/>
  <c r="E41" i="5"/>
  <c r="F41" i="5" s="1"/>
  <c r="E42" i="5"/>
  <c r="F42" i="5" s="1"/>
  <c r="E43" i="5"/>
  <c r="F43" i="5" s="1"/>
  <c r="E44" i="5"/>
  <c r="F44" i="5" s="1"/>
  <c r="E45" i="5"/>
  <c r="F45" i="5" s="1"/>
  <c r="E46" i="5"/>
  <c r="F46" i="5" s="1"/>
  <c r="E47" i="5"/>
  <c r="F47" i="5" s="1"/>
  <c r="E2" i="5"/>
  <c r="F2" i="5" s="1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263" i="5"/>
  <c r="D264" i="5"/>
  <c r="D265" i="5"/>
  <c r="D266" i="5"/>
  <c r="D267" i="5"/>
  <c r="D268" i="5"/>
  <c r="D269" i="5"/>
  <c r="D270" i="5"/>
  <c r="D271" i="5"/>
  <c r="D272" i="5"/>
  <c r="D273" i="5"/>
  <c r="D274" i="5"/>
  <c r="D275" i="5"/>
  <c r="D276" i="5"/>
  <c r="D277" i="5"/>
  <c r="D278" i="5"/>
  <c r="D279" i="5"/>
  <c r="D280" i="5"/>
  <c r="D281" i="5"/>
  <c r="D282" i="5"/>
  <c r="D283" i="5"/>
  <c r="D284" i="5"/>
  <c r="D285" i="5"/>
  <c r="D286" i="5"/>
  <c r="D287" i="5"/>
  <c r="D288" i="5"/>
  <c r="D289" i="5"/>
  <c r="D290" i="5"/>
  <c r="D291" i="5"/>
  <c r="D292" i="5"/>
  <c r="D293" i="5"/>
  <c r="D294" i="5"/>
  <c r="D295" i="5"/>
  <c r="D296" i="5"/>
  <c r="D297" i="5"/>
  <c r="D298" i="5"/>
  <c r="D299" i="5"/>
  <c r="D300" i="5"/>
  <c r="D301" i="5"/>
  <c r="D302" i="5"/>
  <c r="D303" i="5"/>
  <c r="D304" i="5"/>
  <c r="D305" i="5"/>
  <c r="D306" i="5"/>
  <c r="D307" i="5"/>
  <c r="D308" i="5"/>
  <c r="D309" i="5"/>
  <c r="D310" i="5"/>
  <c r="D311" i="5"/>
  <c r="D312" i="5"/>
  <c r="D313" i="5"/>
  <c r="D314" i="5"/>
  <c r="D315" i="5"/>
  <c r="D316" i="5"/>
  <c r="D317" i="5"/>
  <c r="D318" i="5"/>
  <c r="D319" i="5"/>
  <c r="D320" i="5"/>
  <c r="D321" i="5"/>
  <c r="D322" i="5"/>
  <c r="D323" i="5"/>
  <c r="D324" i="5"/>
  <c r="D325" i="5"/>
  <c r="D326" i="5"/>
  <c r="D327" i="5"/>
  <c r="D328" i="5"/>
  <c r="D329" i="5"/>
  <c r="D330" i="5"/>
  <c r="D331" i="5"/>
  <c r="D332" i="5"/>
  <c r="D333" i="5"/>
  <c r="D334" i="5"/>
  <c r="D335" i="5"/>
  <c r="D336" i="5"/>
  <c r="D337" i="5"/>
  <c r="D338" i="5"/>
  <c r="D339" i="5"/>
  <c r="D340" i="5"/>
  <c r="D341" i="5"/>
  <c r="D342" i="5"/>
  <c r="D343" i="5"/>
  <c r="D344" i="5"/>
  <c r="D345" i="5"/>
  <c r="D346" i="5"/>
  <c r="D347" i="5"/>
  <c r="D348" i="5"/>
  <c r="D349" i="5"/>
  <c r="D350" i="5"/>
  <c r="D351" i="5"/>
  <c r="D352" i="5"/>
  <c r="D353" i="5"/>
  <c r="D354" i="5"/>
  <c r="D355" i="5"/>
  <c r="D356" i="5"/>
  <c r="D357" i="5"/>
  <c r="D358" i="5"/>
  <c r="D359" i="5"/>
  <c r="D360" i="5"/>
  <c r="D361" i="5"/>
  <c r="D362" i="5"/>
  <c r="D363" i="5"/>
  <c r="D364" i="5"/>
  <c r="D365" i="5"/>
  <c r="D366" i="5"/>
  <c r="D367" i="5"/>
  <c r="D368" i="5"/>
  <c r="D369" i="5"/>
  <c r="D370" i="5"/>
  <c r="D371" i="5"/>
  <c r="D372" i="5"/>
  <c r="D373" i="5"/>
  <c r="D374" i="5"/>
  <c r="D375" i="5"/>
  <c r="D376" i="5"/>
  <c r="D377" i="5"/>
  <c r="D378" i="5"/>
  <c r="D379" i="5"/>
  <c r="D380" i="5"/>
  <c r="D381" i="5"/>
  <c r="D382" i="5"/>
  <c r="D383" i="5"/>
  <c r="D384" i="5"/>
  <c r="D385" i="5"/>
  <c r="D386" i="5"/>
  <c r="D387" i="5"/>
  <c r="D388" i="5"/>
  <c r="D389" i="5"/>
  <c r="D390" i="5"/>
  <c r="D391" i="5"/>
  <c r="D392" i="5"/>
  <c r="D393" i="5"/>
  <c r="D394" i="5"/>
  <c r="D395" i="5"/>
  <c r="D396" i="5"/>
  <c r="D397" i="5"/>
  <c r="D398" i="5"/>
  <c r="D399" i="5"/>
  <c r="D400" i="5"/>
  <c r="D401" i="5"/>
  <c r="D402" i="5"/>
  <c r="D403" i="5"/>
  <c r="D404" i="5"/>
  <c r="D405" i="5"/>
  <c r="D406" i="5"/>
  <c r="D407" i="5"/>
  <c r="D408" i="5"/>
  <c r="D409" i="5"/>
  <c r="D410" i="5"/>
  <c r="D411" i="5"/>
  <c r="D412" i="5"/>
  <c r="D413" i="5"/>
  <c r="D414" i="5"/>
  <c r="D415" i="5"/>
  <c r="D416" i="5"/>
  <c r="D417" i="5"/>
  <c r="D418" i="5"/>
  <c r="D419" i="5"/>
  <c r="D420" i="5"/>
  <c r="D421" i="5"/>
  <c r="D422" i="5"/>
  <c r="D423" i="5"/>
  <c r="D424" i="5"/>
  <c r="D425" i="5"/>
  <c r="D426" i="5"/>
  <c r="D427" i="5"/>
  <c r="D428" i="5"/>
  <c r="D429" i="5"/>
  <c r="D430" i="5"/>
  <c r="D431" i="5"/>
  <c r="D432" i="5"/>
  <c r="D433" i="5"/>
  <c r="D434" i="5"/>
  <c r="D435" i="5"/>
  <c r="D436" i="5"/>
  <c r="D437" i="5"/>
  <c r="D438" i="5"/>
  <c r="D439" i="5"/>
  <c r="D440" i="5"/>
  <c r="D441" i="5"/>
  <c r="D442" i="5"/>
  <c r="D443" i="5"/>
  <c r="D444" i="5"/>
  <c r="D445" i="5"/>
  <c r="D446" i="5"/>
  <c r="D447" i="5"/>
  <c r="D448" i="5"/>
  <c r="D449" i="5"/>
  <c r="D450" i="5"/>
  <c r="D451" i="5"/>
  <c r="D452" i="5"/>
  <c r="D453" i="5"/>
  <c r="D454" i="5"/>
  <c r="D455" i="5"/>
  <c r="D456" i="5"/>
  <c r="D457" i="5"/>
  <c r="D458" i="5"/>
  <c r="D459" i="5"/>
  <c r="D460" i="5"/>
  <c r="D461" i="5"/>
  <c r="D462" i="5"/>
  <c r="D463" i="5"/>
  <c r="D464" i="5"/>
  <c r="D465" i="5"/>
  <c r="D466" i="5"/>
  <c r="D467" i="5"/>
  <c r="D468" i="5"/>
  <c r="D469" i="5"/>
  <c r="D470" i="5"/>
  <c r="D471" i="5"/>
  <c r="D472" i="5"/>
  <c r="D473" i="5"/>
  <c r="D474" i="5"/>
  <c r="D475" i="5"/>
  <c r="D476" i="5"/>
  <c r="D477" i="5"/>
  <c r="D478" i="5"/>
  <c r="D479" i="5"/>
  <c r="D480" i="5"/>
  <c r="D481" i="5"/>
  <c r="D482" i="5"/>
  <c r="D483" i="5"/>
  <c r="D484" i="5"/>
  <c r="D485" i="5"/>
  <c r="D486" i="5"/>
  <c r="D487" i="5"/>
  <c r="D488" i="5"/>
  <c r="D489" i="5"/>
  <c r="D490" i="5"/>
  <c r="D491" i="5"/>
  <c r="D492" i="5"/>
  <c r="D493" i="5"/>
  <c r="D494" i="5"/>
  <c r="D495" i="5"/>
  <c r="D496" i="5"/>
  <c r="D497" i="5"/>
  <c r="D498" i="5"/>
  <c r="D499" i="5"/>
  <c r="D500" i="5"/>
  <c r="D501" i="5"/>
  <c r="D502" i="5"/>
  <c r="D503" i="5"/>
  <c r="D504" i="5"/>
  <c r="D505" i="5"/>
  <c r="D506" i="5"/>
  <c r="D507" i="5"/>
  <c r="D508" i="5"/>
  <c r="D509" i="5"/>
  <c r="D510" i="5"/>
  <c r="D511" i="5"/>
  <c r="D512" i="5"/>
  <c r="D513" i="5"/>
  <c r="D514" i="5"/>
  <c r="D515" i="5"/>
  <c r="D516" i="5"/>
  <c r="D517" i="5"/>
  <c r="D518" i="5"/>
  <c r="D519" i="5"/>
  <c r="D520" i="5"/>
  <c r="D521" i="5"/>
  <c r="D522" i="5"/>
  <c r="D523" i="5"/>
  <c r="D524" i="5"/>
  <c r="D525" i="5"/>
  <c r="D526" i="5"/>
  <c r="D527" i="5"/>
  <c r="D528" i="5"/>
  <c r="D529" i="5"/>
  <c r="D530" i="5"/>
  <c r="D531" i="5"/>
  <c r="D532" i="5"/>
  <c r="D533" i="5"/>
  <c r="D534" i="5"/>
  <c r="D535" i="5"/>
  <c r="D536" i="5"/>
  <c r="D537" i="5"/>
  <c r="D538" i="5"/>
  <c r="D539" i="5"/>
  <c r="D540" i="5"/>
  <c r="D541" i="5"/>
  <c r="D542" i="5"/>
  <c r="D543" i="5"/>
  <c r="D544" i="5"/>
  <c r="D545" i="5"/>
  <c r="D546" i="5"/>
  <c r="D547" i="5"/>
  <c r="D548" i="5"/>
  <c r="D549" i="5"/>
  <c r="D550" i="5"/>
  <c r="D551" i="5"/>
  <c r="D552" i="5"/>
  <c r="D553" i="5"/>
  <c r="D554" i="5"/>
  <c r="D555" i="5"/>
  <c r="D556" i="5"/>
  <c r="D557" i="5"/>
  <c r="D558" i="5"/>
  <c r="D559" i="5"/>
  <c r="D560" i="5"/>
  <c r="D561" i="5"/>
  <c r="D562" i="5"/>
  <c r="D563" i="5"/>
  <c r="D564" i="5"/>
  <c r="D565" i="5"/>
  <c r="D566" i="5"/>
  <c r="D567" i="5"/>
  <c r="D568" i="5"/>
  <c r="D569" i="5"/>
  <c r="D570" i="5"/>
  <c r="D571" i="5"/>
  <c r="D572" i="5"/>
  <c r="D573" i="5"/>
  <c r="D574" i="5"/>
  <c r="D575" i="5"/>
  <c r="D576" i="5"/>
  <c r="D577" i="5"/>
  <c r="D578" i="5"/>
  <c r="D579" i="5"/>
  <c r="D580" i="5"/>
  <c r="D581" i="5"/>
  <c r="D582" i="5"/>
  <c r="D583" i="5"/>
  <c r="D584" i="5"/>
  <c r="D585" i="5"/>
  <c r="D586" i="5"/>
  <c r="D587" i="5"/>
  <c r="D588" i="5"/>
  <c r="D589" i="5"/>
  <c r="D590" i="5"/>
  <c r="D591" i="5"/>
  <c r="D592" i="5"/>
  <c r="D593" i="5"/>
  <c r="D594" i="5"/>
  <c r="D595" i="5"/>
  <c r="D596" i="5"/>
  <c r="D597" i="5"/>
  <c r="D598" i="5"/>
  <c r="D599" i="5"/>
  <c r="D600" i="5"/>
  <c r="D601" i="5"/>
  <c r="D602" i="5"/>
  <c r="D603" i="5"/>
  <c r="D604" i="5"/>
  <c r="D605" i="5"/>
  <c r="D606" i="5"/>
  <c r="D607" i="5"/>
  <c r="D608" i="5"/>
  <c r="D609" i="5"/>
  <c r="D610" i="5"/>
  <c r="D611" i="5"/>
  <c r="D612" i="5"/>
  <c r="D613" i="5"/>
  <c r="D614" i="5"/>
  <c r="D615" i="5"/>
  <c r="D616" i="5"/>
  <c r="D617" i="5"/>
  <c r="D618" i="5"/>
  <c r="D619" i="5"/>
  <c r="D620" i="5"/>
  <c r="D621" i="5"/>
  <c r="D622" i="5"/>
  <c r="D623" i="5"/>
  <c r="D624" i="5"/>
  <c r="D625" i="5"/>
  <c r="D626" i="5"/>
  <c r="D627" i="5"/>
  <c r="D628" i="5"/>
  <c r="D629" i="5"/>
  <c r="D630" i="5"/>
  <c r="D631" i="5"/>
  <c r="D632" i="5"/>
  <c r="D633" i="5"/>
  <c r="D634" i="5"/>
  <c r="D635" i="5"/>
  <c r="D636" i="5"/>
  <c r="D637" i="5"/>
  <c r="D638" i="5"/>
  <c r="D639" i="5"/>
  <c r="D640" i="5"/>
  <c r="D641" i="5"/>
  <c r="D642" i="5"/>
  <c r="D643" i="5"/>
  <c r="D644" i="5"/>
  <c r="D645" i="5"/>
  <c r="D646" i="5"/>
  <c r="D647" i="5"/>
  <c r="D648" i="5"/>
  <c r="D649" i="5"/>
  <c r="D650" i="5"/>
  <c r="D651" i="5"/>
  <c r="D652" i="5"/>
  <c r="D653" i="5"/>
  <c r="D654" i="5"/>
  <c r="D655" i="5"/>
  <c r="D656" i="5"/>
  <c r="D657" i="5"/>
  <c r="D658" i="5"/>
  <c r="D659" i="5"/>
  <c r="D660" i="5"/>
  <c r="D661" i="5"/>
  <c r="D662" i="5"/>
  <c r="D663" i="5"/>
  <c r="D664" i="5"/>
  <c r="D665" i="5"/>
  <c r="D666" i="5"/>
  <c r="D667" i="5"/>
  <c r="D668" i="5"/>
  <c r="D669" i="5"/>
  <c r="D670" i="5"/>
  <c r="D671" i="5"/>
  <c r="D672" i="5"/>
  <c r="D673" i="5"/>
  <c r="D674" i="5"/>
  <c r="D675" i="5"/>
  <c r="D676" i="5"/>
  <c r="D677" i="5"/>
  <c r="D678" i="5"/>
  <c r="D679" i="5"/>
  <c r="D680" i="5"/>
  <c r="D681" i="5"/>
  <c r="D682" i="5"/>
  <c r="D683" i="5"/>
  <c r="D684" i="5"/>
  <c r="D685" i="5"/>
  <c r="D686" i="5"/>
  <c r="D687" i="5"/>
  <c r="D688" i="5"/>
  <c r="D689" i="5"/>
  <c r="D690" i="5"/>
  <c r="D691" i="5"/>
  <c r="D692" i="5"/>
  <c r="D693" i="5"/>
  <c r="D694" i="5"/>
  <c r="D695" i="5"/>
  <c r="D696" i="5"/>
  <c r="D697" i="5"/>
  <c r="D698" i="5"/>
  <c r="D699" i="5"/>
  <c r="D700" i="5"/>
  <c r="D701" i="5"/>
  <c r="D702" i="5"/>
  <c r="D703" i="5"/>
  <c r="D704" i="5"/>
  <c r="D705" i="5"/>
  <c r="D706" i="5"/>
  <c r="D707" i="5"/>
  <c r="D708" i="5"/>
  <c r="D709" i="5"/>
  <c r="D710" i="5"/>
  <c r="D711" i="5"/>
  <c r="D712" i="5"/>
  <c r="D713" i="5"/>
  <c r="D714" i="5"/>
  <c r="D715" i="5"/>
  <c r="D716" i="5"/>
  <c r="D717" i="5"/>
  <c r="D718" i="5"/>
  <c r="D719" i="5"/>
  <c r="D720" i="5"/>
  <c r="D721" i="5"/>
  <c r="D722" i="5"/>
  <c r="D723" i="5"/>
  <c r="D724" i="5"/>
  <c r="D725" i="5"/>
  <c r="D726" i="5"/>
  <c r="D727" i="5"/>
  <c r="D728" i="5"/>
  <c r="D729" i="5"/>
  <c r="D730" i="5"/>
  <c r="D731" i="5"/>
  <c r="D732" i="5"/>
  <c r="D733" i="5"/>
  <c r="D734" i="5"/>
  <c r="D735" i="5"/>
  <c r="D736" i="5"/>
  <c r="D737" i="5"/>
  <c r="D738" i="5"/>
  <c r="D739" i="5"/>
  <c r="D740" i="5"/>
  <c r="D741" i="5"/>
  <c r="D742" i="5"/>
  <c r="D743" i="5"/>
  <c r="D744" i="5"/>
  <c r="D745" i="5"/>
  <c r="D746" i="5"/>
  <c r="D747" i="5"/>
  <c r="D748" i="5"/>
  <c r="D749" i="5"/>
  <c r="D750" i="5"/>
  <c r="D751" i="5"/>
  <c r="D752" i="5"/>
  <c r="D753" i="5"/>
  <c r="D754" i="5"/>
  <c r="D755" i="5"/>
  <c r="D756" i="5"/>
  <c r="D757" i="5"/>
  <c r="D758" i="5"/>
  <c r="D759" i="5"/>
  <c r="D760" i="5"/>
  <c r="D761" i="5"/>
  <c r="D762" i="5"/>
  <c r="D763" i="5"/>
  <c r="D764" i="5"/>
  <c r="D765" i="5"/>
  <c r="D766" i="5"/>
  <c r="D767" i="5"/>
  <c r="D768" i="5"/>
  <c r="D769" i="5"/>
  <c r="D770" i="5"/>
  <c r="D771" i="5"/>
  <c r="D772" i="5"/>
  <c r="D773" i="5"/>
  <c r="D774" i="5"/>
  <c r="D775" i="5"/>
  <c r="D776" i="5"/>
  <c r="D777" i="5"/>
  <c r="D778" i="5"/>
  <c r="D779" i="5"/>
  <c r="D780" i="5"/>
  <c r="D781" i="5"/>
  <c r="D782" i="5"/>
  <c r="D783" i="5"/>
  <c r="D784" i="5"/>
  <c r="D785" i="5"/>
  <c r="D786" i="5"/>
  <c r="D787" i="5"/>
  <c r="D788" i="5"/>
  <c r="D789" i="5"/>
  <c r="D790" i="5"/>
  <c r="D791" i="5"/>
  <c r="D792" i="5"/>
  <c r="D793" i="5"/>
  <c r="D794" i="5"/>
  <c r="D795" i="5"/>
  <c r="D796" i="5"/>
  <c r="D2" i="5"/>
  <c r="G367" i="3"/>
  <c r="H367" i="3"/>
  <c r="I367" i="3"/>
  <c r="G368" i="3"/>
  <c r="H368" i="3"/>
  <c r="I368" i="3"/>
  <c r="G369" i="3"/>
  <c r="H369" i="3"/>
  <c r="I369" i="3"/>
  <c r="G370" i="3"/>
  <c r="H370" i="3"/>
  <c r="I370" i="3"/>
  <c r="G371" i="3"/>
  <c r="H371" i="3"/>
  <c r="I371" i="3"/>
  <c r="G372" i="3"/>
  <c r="H372" i="3"/>
  <c r="I372" i="3"/>
  <c r="G373" i="3"/>
  <c r="H373" i="3"/>
  <c r="I373" i="3"/>
  <c r="G374" i="3"/>
  <c r="H374" i="3"/>
  <c r="I374" i="3"/>
  <c r="G375" i="3"/>
  <c r="H375" i="3"/>
  <c r="I375" i="3"/>
  <c r="G376" i="3"/>
  <c r="H376" i="3"/>
  <c r="I376" i="3"/>
  <c r="G377" i="3"/>
  <c r="H377" i="3"/>
  <c r="I377" i="3"/>
  <c r="G378" i="3"/>
  <c r="H378" i="3"/>
  <c r="I378" i="3"/>
  <c r="G379" i="3"/>
  <c r="H379" i="3"/>
  <c r="I379" i="3"/>
  <c r="G380" i="3"/>
  <c r="H380" i="3"/>
  <c r="I380" i="3"/>
  <c r="G381" i="3"/>
  <c r="H381" i="3"/>
  <c r="I381" i="3"/>
  <c r="G382" i="3"/>
  <c r="H382" i="3"/>
  <c r="I382" i="3"/>
  <c r="G383" i="3"/>
  <c r="H383" i="3"/>
  <c r="I383" i="3"/>
  <c r="G384" i="3"/>
  <c r="H384" i="3"/>
  <c r="I384" i="3"/>
  <c r="G385" i="3"/>
  <c r="H385" i="3"/>
  <c r="I385" i="3"/>
  <c r="G386" i="3"/>
  <c r="H386" i="3"/>
  <c r="I386" i="3"/>
  <c r="G387" i="3"/>
  <c r="H387" i="3"/>
  <c r="I387" i="3"/>
  <c r="G388" i="3"/>
  <c r="H388" i="3"/>
  <c r="I388" i="3"/>
  <c r="G389" i="3"/>
  <c r="H389" i="3"/>
  <c r="I389" i="3"/>
  <c r="G390" i="3"/>
  <c r="H390" i="3"/>
  <c r="I390" i="3"/>
  <c r="G391" i="3"/>
  <c r="H391" i="3"/>
  <c r="I391" i="3"/>
  <c r="G392" i="3"/>
  <c r="H392" i="3"/>
  <c r="I392" i="3"/>
  <c r="G393" i="3"/>
  <c r="H393" i="3"/>
  <c r="I393" i="3"/>
  <c r="G394" i="3"/>
  <c r="H394" i="3"/>
  <c r="I394" i="3"/>
  <c r="G395" i="3"/>
  <c r="H395" i="3"/>
  <c r="I395" i="3"/>
  <c r="G396" i="3"/>
  <c r="H396" i="3"/>
  <c r="I396" i="3"/>
  <c r="G397" i="3"/>
  <c r="H397" i="3"/>
  <c r="I397" i="3"/>
  <c r="G398" i="3"/>
  <c r="H398" i="3"/>
  <c r="I398" i="3"/>
  <c r="G399" i="3"/>
  <c r="H399" i="3"/>
  <c r="I399" i="3"/>
  <c r="G400" i="3"/>
  <c r="H400" i="3"/>
  <c r="I400" i="3"/>
  <c r="G401" i="3"/>
  <c r="H401" i="3"/>
  <c r="I401" i="3"/>
  <c r="G402" i="3"/>
  <c r="H402" i="3"/>
  <c r="I402" i="3"/>
  <c r="G403" i="3"/>
  <c r="H403" i="3"/>
  <c r="I403" i="3"/>
  <c r="G404" i="3"/>
  <c r="H404" i="3"/>
  <c r="I404" i="3"/>
  <c r="G405" i="3"/>
  <c r="H405" i="3"/>
  <c r="I405" i="3"/>
  <c r="G406" i="3"/>
  <c r="H406" i="3"/>
  <c r="I406" i="3"/>
  <c r="G407" i="3"/>
  <c r="H407" i="3"/>
  <c r="I407" i="3"/>
  <c r="G408" i="3"/>
  <c r="H408" i="3"/>
  <c r="I408" i="3"/>
  <c r="G409" i="3"/>
  <c r="H409" i="3"/>
  <c r="I409" i="3"/>
  <c r="G410" i="3"/>
  <c r="H410" i="3"/>
  <c r="I410" i="3"/>
  <c r="G411" i="3"/>
  <c r="H411" i="3"/>
  <c r="I411" i="3"/>
  <c r="G412" i="3"/>
  <c r="H412" i="3"/>
  <c r="I412" i="3"/>
  <c r="G413" i="3"/>
  <c r="H413" i="3"/>
  <c r="I413" i="3"/>
  <c r="G414" i="3"/>
  <c r="H414" i="3"/>
  <c r="I414" i="3"/>
  <c r="G415" i="3"/>
  <c r="H415" i="3"/>
  <c r="I415" i="3"/>
  <c r="G416" i="3"/>
  <c r="H416" i="3"/>
  <c r="I416" i="3"/>
  <c r="G417" i="3"/>
  <c r="H417" i="3"/>
  <c r="I417" i="3"/>
  <c r="G418" i="3"/>
  <c r="H418" i="3"/>
  <c r="I418" i="3"/>
  <c r="G419" i="3"/>
  <c r="H419" i="3"/>
  <c r="I419" i="3"/>
  <c r="G420" i="3"/>
  <c r="H420" i="3"/>
  <c r="I420" i="3"/>
  <c r="G421" i="3"/>
  <c r="H421" i="3"/>
  <c r="I421" i="3"/>
  <c r="G422" i="3"/>
  <c r="H422" i="3"/>
  <c r="I422" i="3"/>
  <c r="G423" i="3"/>
  <c r="H423" i="3"/>
  <c r="I423" i="3"/>
  <c r="G424" i="3"/>
  <c r="H424" i="3"/>
  <c r="I424" i="3"/>
  <c r="G425" i="3"/>
  <c r="H425" i="3"/>
  <c r="I425" i="3"/>
  <c r="G426" i="3"/>
  <c r="H426" i="3"/>
  <c r="I426" i="3"/>
  <c r="G427" i="3"/>
  <c r="H427" i="3"/>
  <c r="I427" i="3"/>
  <c r="G428" i="3"/>
  <c r="H428" i="3"/>
  <c r="I428" i="3"/>
  <c r="H2" i="3"/>
  <c r="I2" i="3" s="1"/>
  <c r="H3" i="3"/>
  <c r="I3" i="3" s="1"/>
  <c r="H4" i="3"/>
  <c r="I4" i="3" s="1"/>
  <c r="H5" i="3"/>
  <c r="I5" i="3" s="1"/>
  <c r="H6" i="3"/>
  <c r="I6" i="3" s="1"/>
  <c r="H7" i="3"/>
  <c r="I7" i="3" s="1"/>
  <c r="H8" i="3"/>
  <c r="I8" i="3" s="1"/>
  <c r="H9" i="3"/>
  <c r="I9" i="3" s="1"/>
  <c r="H10" i="3"/>
  <c r="I10" i="3" s="1"/>
  <c r="H11" i="3"/>
  <c r="I11" i="3" s="1"/>
  <c r="H12" i="3"/>
  <c r="I12" i="3" s="1"/>
  <c r="H13" i="3"/>
  <c r="I13" i="3" s="1"/>
  <c r="H14" i="3"/>
  <c r="I14" i="3" s="1"/>
  <c r="H15" i="3"/>
  <c r="I15" i="3" s="1"/>
  <c r="H16" i="3"/>
  <c r="I16" i="3" s="1"/>
  <c r="H17" i="3"/>
  <c r="I17" i="3" s="1"/>
  <c r="H18" i="3"/>
  <c r="I18" i="3" s="1"/>
  <c r="H19" i="3"/>
  <c r="I19" i="3" s="1"/>
  <c r="H20" i="3"/>
  <c r="I20" i="3" s="1"/>
  <c r="H21" i="3"/>
  <c r="I21" i="3" s="1"/>
  <c r="H22" i="3"/>
  <c r="I22" i="3" s="1"/>
  <c r="H23" i="3"/>
  <c r="I23" i="3" s="1"/>
  <c r="H24" i="3"/>
  <c r="I24" i="3" s="1"/>
  <c r="H25" i="3"/>
  <c r="I25" i="3" s="1"/>
  <c r="H26" i="3"/>
  <c r="I26" i="3" s="1"/>
  <c r="H27" i="3"/>
  <c r="I27" i="3" s="1"/>
  <c r="H28" i="3"/>
  <c r="I28" i="3" s="1"/>
  <c r="H29" i="3"/>
  <c r="I29" i="3" s="1"/>
  <c r="H30" i="3"/>
  <c r="I30" i="3" s="1"/>
  <c r="H31" i="3"/>
  <c r="I31" i="3" s="1"/>
  <c r="H32" i="3"/>
  <c r="I32" i="3" s="1"/>
  <c r="H33" i="3"/>
  <c r="I33" i="3" s="1"/>
  <c r="H34" i="3"/>
  <c r="I34" i="3" s="1"/>
  <c r="H35" i="3"/>
  <c r="I35" i="3" s="1"/>
  <c r="H36" i="3"/>
  <c r="I36" i="3" s="1"/>
  <c r="H37" i="3"/>
  <c r="I37" i="3" s="1"/>
  <c r="H38" i="3"/>
  <c r="I38" i="3" s="1"/>
  <c r="H39" i="3"/>
  <c r="I39" i="3" s="1"/>
  <c r="H40" i="3"/>
  <c r="I40" i="3" s="1"/>
  <c r="H41" i="3"/>
  <c r="I41" i="3" s="1"/>
  <c r="H42" i="3"/>
  <c r="I42" i="3" s="1"/>
  <c r="H43" i="3"/>
  <c r="I43" i="3" s="1"/>
  <c r="H44" i="3"/>
  <c r="I44" i="3" s="1"/>
  <c r="H45" i="3"/>
  <c r="I45" i="3" s="1"/>
  <c r="H46" i="3"/>
  <c r="I46" i="3" s="1"/>
  <c r="H47" i="3"/>
  <c r="I47" i="3" s="1"/>
  <c r="H48" i="3"/>
  <c r="I48" i="3" s="1"/>
  <c r="H49" i="3"/>
  <c r="I49" i="3" s="1"/>
  <c r="H50" i="3"/>
  <c r="I50" i="3" s="1"/>
  <c r="H51" i="3"/>
  <c r="I51" i="3" s="1"/>
  <c r="H52" i="3"/>
  <c r="I52" i="3" s="1"/>
  <c r="H53" i="3"/>
  <c r="I53" i="3" s="1"/>
  <c r="H54" i="3"/>
  <c r="I54" i="3" s="1"/>
  <c r="H55" i="3"/>
  <c r="I55" i="3" s="1"/>
  <c r="H56" i="3"/>
  <c r="I56" i="3" s="1"/>
  <c r="H57" i="3"/>
  <c r="I57" i="3" s="1"/>
  <c r="H58" i="3"/>
  <c r="I58" i="3" s="1"/>
  <c r="H59" i="3"/>
  <c r="I59" i="3" s="1"/>
  <c r="H60" i="3"/>
  <c r="I60" i="3" s="1"/>
  <c r="H61" i="3"/>
  <c r="I61" i="3" s="1"/>
  <c r="H62" i="3"/>
  <c r="I62" i="3" s="1"/>
  <c r="H63" i="3"/>
  <c r="I63" i="3" s="1"/>
  <c r="H64" i="3"/>
  <c r="I64" i="3" s="1"/>
  <c r="H65" i="3"/>
  <c r="I65" i="3" s="1"/>
  <c r="H66" i="3"/>
  <c r="I66" i="3" s="1"/>
  <c r="H67" i="3"/>
  <c r="I67" i="3" s="1"/>
  <c r="H68" i="3"/>
  <c r="I68" i="3" s="1"/>
  <c r="H69" i="3"/>
  <c r="I69" i="3" s="1"/>
  <c r="H70" i="3"/>
  <c r="I70" i="3" s="1"/>
  <c r="H71" i="3"/>
  <c r="I71" i="3" s="1"/>
  <c r="H72" i="3"/>
  <c r="I72" i="3" s="1"/>
  <c r="H73" i="3"/>
  <c r="I73" i="3" s="1"/>
  <c r="H74" i="3"/>
  <c r="I74" i="3" s="1"/>
  <c r="H75" i="3"/>
  <c r="I75" i="3" s="1"/>
  <c r="H76" i="3"/>
  <c r="I76" i="3" s="1"/>
  <c r="H77" i="3"/>
  <c r="I77" i="3" s="1"/>
  <c r="H78" i="3"/>
  <c r="I78" i="3" s="1"/>
  <c r="H79" i="3"/>
  <c r="I79" i="3" s="1"/>
  <c r="H80" i="3"/>
  <c r="I80" i="3" s="1"/>
  <c r="H81" i="3"/>
  <c r="I81" i="3" s="1"/>
  <c r="H82" i="3"/>
  <c r="I82" i="3" s="1"/>
  <c r="H83" i="3"/>
  <c r="I83" i="3" s="1"/>
  <c r="H84" i="3"/>
  <c r="I84" i="3" s="1"/>
  <c r="H85" i="3"/>
  <c r="I85" i="3" s="1"/>
  <c r="H86" i="3"/>
  <c r="I86" i="3" s="1"/>
  <c r="H87" i="3"/>
  <c r="I87" i="3" s="1"/>
  <c r="H88" i="3"/>
  <c r="I88" i="3" s="1"/>
  <c r="H89" i="3"/>
  <c r="I89" i="3" s="1"/>
  <c r="H90" i="3"/>
  <c r="I90" i="3" s="1"/>
  <c r="H91" i="3"/>
  <c r="I91" i="3" s="1"/>
  <c r="H92" i="3"/>
  <c r="I92" i="3" s="1"/>
  <c r="H93" i="3"/>
  <c r="I93" i="3" s="1"/>
  <c r="H94" i="3"/>
  <c r="I94" i="3" s="1"/>
  <c r="H95" i="3"/>
  <c r="I95" i="3" s="1"/>
  <c r="H96" i="3"/>
  <c r="I96" i="3" s="1"/>
  <c r="H97" i="3"/>
  <c r="I97" i="3" s="1"/>
  <c r="H98" i="3"/>
  <c r="I98" i="3" s="1"/>
  <c r="H99" i="3"/>
  <c r="I99" i="3" s="1"/>
  <c r="H100" i="3"/>
  <c r="I100" i="3" s="1"/>
  <c r="H101" i="3"/>
  <c r="I101" i="3" s="1"/>
  <c r="H102" i="3"/>
  <c r="I102" i="3" s="1"/>
  <c r="H103" i="3"/>
  <c r="I103" i="3" s="1"/>
  <c r="H104" i="3"/>
  <c r="I104" i="3" s="1"/>
  <c r="H105" i="3"/>
  <c r="I105" i="3" s="1"/>
  <c r="H106" i="3"/>
  <c r="I106" i="3" s="1"/>
  <c r="H107" i="3"/>
  <c r="I107" i="3" s="1"/>
  <c r="H108" i="3"/>
  <c r="I108" i="3" s="1"/>
  <c r="H109" i="3"/>
  <c r="I109" i="3" s="1"/>
  <c r="H110" i="3"/>
  <c r="I110" i="3" s="1"/>
  <c r="H111" i="3"/>
  <c r="I111" i="3" s="1"/>
  <c r="H112" i="3"/>
  <c r="I112" i="3" s="1"/>
  <c r="H113" i="3"/>
  <c r="I113" i="3" s="1"/>
  <c r="H114" i="3"/>
  <c r="I114" i="3" s="1"/>
  <c r="H115" i="3"/>
  <c r="I115" i="3" s="1"/>
  <c r="H116" i="3"/>
  <c r="I116" i="3" s="1"/>
  <c r="H117" i="3"/>
  <c r="I117" i="3" s="1"/>
  <c r="H118" i="3"/>
  <c r="I118" i="3" s="1"/>
  <c r="H119" i="3"/>
  <c r="I119" i="3" s="1"/>
  <c r="H120" i="3"/>
  <c r="I120" i="3" s="1"/>
  <c r="H121" i="3"/>
  <c r="I121" i="3" s="1"/>
  <c r="H122" i="3"/>
  <c r="I122" i="3" s="1"/>
  <c r="H123" i="3"/>
  <c r="I123" i="3" s="1"/>
  <c r="H124" i="3"/>
  <c r="I124" i="3" s="1"/>
  <c r="H125" i="3"/>
  <c r="I125" i="3" s="1"/>
  <c r="H126" i="3"/>
  <c r="I126" i="3" s="1"/>
  <c r="H127" i="3"/>
  <c r="I127" i="3" s="1"/>
  <c r="H128" i="3"/>
  <c r="I128" i="3" s="1"/>
  <c r="H129" i="3"/>
  <c r="I129" i="3" s="1"/>
  <c r="H130" i="3"/>
  <c r="I130" i="3" s="1"/>
  <c r="H131" i="3"/>
  <c r="I131" i="3" s="1"/>
  <c r="H132" i="3"/>
  <c r="I132" i="3" s="1"/>
  <c r="H133" i="3"/>
  <c r="I133" i="3" s="1"/>
  <c r="H134" i="3"/>
  <c r="I134" i="3" s="1"/>
  <c r="H135" i="3"/>
  <c r="I135" i="3" s="1"/>
  <c r="H136" i="3"/>
  <c r="I136" i="3" s="1"/>
  <c r="H137" i="3"/>
  <c r="I137" i="3" s="1"/>
  <c r="H138" i="3"/>
  <c r="I138" i="3" s="1"/>
  <c r="H139" i="3"/>
  <c r="I139" i="3" s="1"/>
  <c r="H140" i="3"/>
  <c r="I140" i="3" s="1"/>
  <c r="H141" i="3"/>
  <c r="I141" i="3" s="1"/>
  <c r="H142" i="3"/>
  <c r="I142" i="3" s="1"/>
  <c r="H143" i="3"/>
  <c r="I143" i="3" s="1"/>
  <c r="H144" i="3"/>
  <c r="I144" i="3" s="1"/>
  <c r="H145" i="3"/>
  <c r="I145" i="3" s="1"/>
  <c r="H146" i="3"/>
  <c r="I146" i="3" s="1"/>
  <c r="H147" i="3"/>
  <c r="I147" i="3" s="1"/>
  <c r="H148" i="3"/>
  <c r="I148" i="3" s="1"/>
  <c r="H149" i="3"/>
  <c r="I149" i="3" s="1"/>
  <c r="H150" i="3"/>
  <c r="I150" i="3" s="1"/>
  <c r="H151" i="3"/>
  <c r="I151" i="3" s="1"/>
  <c r="H152" i="3"/>
  <c r="I152" i="3" s="1"/>
  <c r="H153" i="3"/>
  <c r="I153" i="3" s="1"/>
  <c r="H154" i="3"/>
  <c r="I154" i="3" s="1"/>
  <c r="H155" i="3"/>
  <c r="I155" i="3" s="1"/>
  <c r="H156" i="3"/>
  <c r="I156" i="3" s="1"/>
  <c r="H157" i="3"/>
  <c r="I157" i="3" s="1"/>
  <c r="H158" i="3"/>
  <c r="I158" i="3" s="1"/>
  <c r="H159" i="3"/>
  <c r="I159" i="3" s="1"/>
  <c r="H160" i="3"/>
  <c r="I160" i="3" s="1"/>
  <c r="H161" i="3"/>
  <c r="I161" i="3" s="1"/>
  <c r="H162" i="3"/>
  <c r="I162" i="3" s="1"/>
  <c r="H163" i="3"/>
  <c r="I163" i="3" s="1"/>
  <c r="H164" i="3"/>
  <c r="I164" i="3" s="1"/>
  <c r="H165" i="3"/>
  <c r="I165" i="3" s="1"/>
  <c r="H166" i="3"/>
  <c r="I166" i="3" s="1"/>
  <c r="H167" i="3"/>
  <c r="I167" i="3" s="1"/>
  <c r="H168" i="3"/>
  <c r="I168" i="3" s="1"/>
  <c r="H169" i="3"/>
  <c r="I169" i="3" s="1"/>
  <c r="H170" i="3"/>
  <c r="I170" i="3" s="1"/>
  <c r="H171" i="3"/>
  <c r="I171" i="3" s="1"/>
  <c r="H172" i="3"/>
  <c r="I172" i="3" s="1"/>
  <c r="H173" i="3"/>
  <c r="I173" i="3" s="1"/>
  <c r="H174" i="3"/>
  <c r="I174" i="3" s="1"/>
  <c r="H175" i="3"/>
  <c r="I175" i="3" s="1"/>
  <c r="H176" i="3"/>
  <c r="I176" i="3" s="1"/>
  <c r="H177" i="3"/>
  <c r="I177" i="3" s="1"/>
  <c r="H178" i="3"/>
  <c r="I178" i="3" s="1"/>
  <c r="H179" i="3"/>
  <c r="I179" i="3" s="1"/>
  <c r="H180" i="3"/>
  <c r="I180" i="3" s="1"/>
  <c r="H181" i="3"/>
  <c r="I181" i="3" s="1"/>
  <c r="H182" i="3"/>
  <c r="I182" i="3" s="1"/>
  <c r="H183" i="3"/>
  <c r="I183" i="3" s="1"/>
  <c r="H184" i="3"/>
  <c r="I184" i="3" s="1"/>
  <c r="H185" i="3"/>
  <c r="I185" i="3" s="1"/>
  <c r="H186" i="3"/>
  <c r="I186" i="3" s="1"/>
  <c r="H187" i="3"/>
  <c r="I187" i="3" s="1"/>
  <c r="H188" i="3"/>
  <c r="I188" i="3" s="1"/>
  <c r="H189" i="3"/>
  <c r="I189" i="3" s="1"/>
  <c r="H190" i="3"/>
  <c r="I190" i="3" s="1"/>
  <c r="H191" i="3"/>
  <c r="I191" i="3" s="1"/>
  <c r="H192" i="3"/>
  <c r="I192" i="3" s="1"/>
  <c r="H193" i="3"/>
  <c r="I193" i="3" s="1"/>
  <c r="H194" i="3"/>
  <c r="I194" i="3" s="1"/>
  <c r="H195" i="3"/>
  <c r="I195" i="3" s="1"/>
  <c r="H196" i="3"/>
  <c r="I196" i="3" s="1"/>
  <c r="H197" i="3"/>
  <c r="I197" i="3" s="1"/>
  <c r="H198" i="3"/>
  <c r="I198" i="3" s="1"/>
  <c r="H199" i="3"/>
  <c r="I199" i="3" s="1"/>
  <c r="H200" i="3"/>
  <c r="I200" i="3" s="1"/>
  <c r="H201" i="3"/>
  <c r="I201" i="3" s="1"/>
  <c r="H202" i="3"/>
  <c r="I202" i="3" s="1"/>
  <c r="H203" i="3"/>
  <c r="I203" i="3" s="1"/>
  <c r="H204" i="3"/>
  <c r="I204" i="3" s="1"/>
  <c r="H205" i="3"/>
  <c r="I205" i="3" s="1"/>
  <c r="H206" i="3"/>
  <c r="I206" i="3" s="1"/>
  <c r="H207" i="3"/>
  <c r="I207" i="3" s="1"/>
  <c r="H208" i="3"/>
  <c r="I208" i="3" s="1"/>
  <c r="H209" i="3"/>
  <c r="I209" i="3" s="1"/>
  <c r="H210" i="3"/>
  <c r="I210" i="3" s="1"/>
  <c r="H211" i="3"/>
  <c r="I211" i="3" s="1"/>
  <c r="H212" i="3"/>
  <c r="I212" i="3" s="1"/>
  <c r="H213" i="3"/>
  <c r="I213" i="3" s="1"/>
  <c r="H214" i="3"/>
  <c r="I214" i="3" s="1"/>
  <c r="H215" i="3"/>
  <c r="I215" i="3" s="1"/>
  <c r="H216" i="3"/>
  <c r="I216" i="3" s="1"/>
  <c r="H217" i="3"/>
  <c r="I217" i="3" s="1"/>
  <c r="H218" i="3"/>
  <c r="I218" i="3" s="1"/>
  <c r="H219" i="3"/>
  <c r="I219" i="3" s="1"/>
  <c r="H220" i="3"/>
  <c r="I220" i="3" s="1"/>
  <c r="H221" i="3"/>
  <c r="I221" i="3" s="1"/>
  <c r="H222" i="3"/>
  <c r="I222" i="3" s="1"/>
  <c r="H223" i="3"/>
  <c r="I223" i="3" s="1"/>
  <c r="H224" i="3"/>
  <c r="I224" i="3" s="1"/>
  <c r="H225" i="3"/>
  <c r="I225" i="3" s="1"/>
  <c r="H226" i="3"/>
  <c r="I226" i="3" s="1"/>
  <c r="H227" i="3"/>
  <c r="I227" i="3" s="1"/>
  <c r="H228" i="3"/>
  <c r="I228" i="3" s="1"/>
  <c r="H229" i="3"/>
  <c r="I229" i="3" s="1"/>
  <c r="H230" i="3"/>
  <c r="I230" i="3" s="1"/>
  <c r="H231" i="3"/>
  <c r="I231" i="3" s="1"/>
  <c r="H232" i="3"/>
  <c r="I232" i="3" s="1"/>
  <c r="H233" i="3"/>
  <c r="I233" i="3" s="1"/>
  <c r="H234" i="3"/>
  <c r="I234" i="3" s="1"/>
  <c r="H235" i="3"/>
  <c r="I235" i="3" s="1"/>
  <c r="H236" i="3"/>
  <c r="I236" i="3" s="1"/>
  <c r="H237" i="3"/>
  <c r="I237" i="3" s="1"/>
  <c r="H238" i="3"/>
  <c r="I238" i="3" s="1"/>
  <c r="H239" i="3"/>
  <c r="I239" i="3" s="1"/>
  <c r="H240" i="3"/>
  <c r="I240" i="3" s="1"/>
  <c r="H241" i="3"/>
  <c r="I241" i="3" s="1"/>
  <c r="H242" i="3"/>
  <c r="I242" i="3" s="1"/>
  <c r="H243" i="3"/>
  <c r="I243" i="3" s="1"/>
  <c r="H244" i="3"/>
  <c r="I244" i="3" s="1"/>
  <c r="H245" i="3"/>
  <c r="I245" i="3" s="1"/>
  <c r="H246" i="3"/>
  <c r="I246" i="3" s="1"/>
  <c r="H247" i="3"/>
  <c r="I247" i="3" s="1"/>
  <c r="H248" i="3"/>
  <c r="I248" i="3" s="1"/>
  <c r="H249" i="3"/>
  <c r="I249" i="3" s="1"/>
  <c r="H250" i="3"/>
  <c r="I250" i="3" s="1"/>
  <c r="H251" i="3"/>
  <c r="I251" i="3" s="1"/>
  <c r="H252" i="3"/>
  <c r="I252" i="3" s="1"/>
  <c r="H253" i="3"/>
  <c r="I253" i="3" s="1"/>
  <c r="H254" i="3"/>
  <c r="I254" i="3" s="1"/>
  <c r="H255" i="3"/>
  <c r="I255" i="3" s="1"/>
  <c r="H256" i="3"/>
  <c r="I256" i="3" s="1"/>
  <c r="H257" i="3"/>
  <c r="I257" i="3" s="1"/>
  <c r="H258" i="3"/>
  <c r="I258" i="3" s="1"/>
  <c r="H259" i="3"/>
  <c r="I259" i="3" s="1"/>
  <c r="H260" i="3"/>
  <c r="I260" i="3" s="1"/>
  <c r="H261" i="3"/>
  <c r="I261" i="3" s="1"/>
  <c r="H262" i="3"/>
  <c r="I262" i="3" s="1"/>
  <c r="H263" i="3"/>
  <c r="I263" i="3" s="1"/>
  <c r="H264" i="3"/>
  <c r="I264" i="3" s="1"/>
  <c r="H265" i="3"/>
  <c r="I265" i="3" s="1"/>
  <c r="H266" i="3"/>
  <c r="I266" i="3" s="1"/>
  <c r="H267" i="3"/>
  <c r="I267" i="3" s="1"/>
  <c r="H268" i="3"/>
  <c r="I268" i="3" s="1"/>
  <c r="H269" i="3"/>
  <c r="I269" i="3" s="1"/>
  <c r="H270" i="3"/>
  <c r="I270" i="3" s="1"/>
  <c r="H271" i="3"/>
  <c r="I271" i="3" s="1"/>
  <c r="H272" i="3"/>
  <c r="I272" i="3" s="1"/>
  <c r="H273" i="3"/>
  <c r="I273" i="3" s="1"/>
  <c r="H274" i="3"/>
  <c r="I274" i="3" s="1"/>
  <c r="H275" i="3"/>
  <c r="I275" i="3" s="1"/>
  <c r="H276" i="3"/>
  <c r="I276" i="3" s="1"/>
  <c r="H277" i="3"/>
  <c r="I277" i="3" s="1"/>
  <c r="H278" i="3"/>
  <c r="I278" i="3" s="1"/>
  <c r="H279" i="3"/>
  <c r="I279" i="3" s="1"/>
  <c r="H280" i="3"/>
  <c r="I280" i="3" s="1"/>
  <c r="H281" i="3"/>
  <c r="I281" i="3" s="1"/>
  <c r="H282" i="3"/>
  <c r="I282" i="3" s="1"/>
  <c r="H283" i="3"/>
  <c r="I283" i="3" s="1"/>
  <c r="H284" i="3"/>
  <c r="I284" i="3" s="1"/>
  <c r="H285" i="3"/>
  <c r="I285" i="3" s="1"/>
  <c r="H286" i="3"/>
  <c r="I286" i="3" s="1"/>
  <c r="H287" i="3"/>
  <c r="I287" i="3" s="1"/>
  <c r="H288" i="3"/>
  <c r="I288" i="3" s="1"/>
  <c r="H289" i="3"/>
  <c r="I289" i="3" s="1"/>
  <c r="H290" i="3"/>
  <c r="I290" i="3" s="1"/>
  <c r="H291" i="3"/>
  <c r="I291" i="3" s="1"/>
  <c r="H292" i="3"/>
  <c r="I292" i="3" s="1"/>
  <c r="H293" i="3"/>
  <c r="I293" i="3" s="1"/>
  <c r="H294" i="3"/>
  <c r="I294" i="3" s="1"/>
  <c r="H295" i="3"/>
  <c r="I295" i="3" s="1"/>
  <c r="H296" i="3"/>
  <c r="I296" i="3" s="1"/>
  <c r="H297" i="3"/>
  <c r="I297" i="3" s="1"/>
  <c r="H298" i="3"/>
  <c r="I298" i="3" s="1"/>
  <c r="H299" i="3"/>
  <c r="I299" i="3" s="1"/>
  <c r="H300" i="3"/>
  <c r="I300" i="3" s="1"/>
  <c r="H301" i="3"/>
  <c r="I301" i="3" s="1"/>
  <c r="H302" i="3"/>
  <c r="I302" i="3" s="1"/>
  <c r="H303" i="3"/>
  <c r="I303" i="3" s="1"/>
  <c r="H304" i="3"/>
  <c r="I304" i="3" s="1"/>
  <c r="H305" i="3"/>
  <c r="I305" i="3" s="1"/>
  <c r="H306" i="3"/>
  <c r="I306" i="3" s="1"/>
  <c r="H307" i="3"/>
  <c r="I307" i="3" s="1"/>
  <c r="H308" i="3"/>
  <c r="I308" i="3" s="1"/>
  <c r="H309" i="3"/>
  <c r="I309" i="3" s="1"/>
  <c r="H310" i="3"/>
  <c r="I310" i="3" s="1"/>
  <c r="H311" i="3"/>
  <c r="I311" i="3" s="1"/>
  <c r="H312" i="3"/>
  <c r="I312" i="3" s="1"/>
  <c r="H313" i="3"/>
  <c r="I313" i="3" s="1"/>
  <c r="H314" i="3"/>
  <c r="I314" i="3" s="1"/>
  <c r="H315" i="3"/>
  <c r="I315" i="3" s="1"/>
  <c r="H316" i="3"/>
  <c r="I316" i="3" s="1"/>
  <c r="H317" i="3"/>
  <c r="I317" i="3" s="1"/>
  <c r="H318" i="3"/>
  <c r="I318" i="3" s="1"/>
  <c r="H319" i="3"/>
  <c r="I319" i="3" s="1"/>
  <c r="H320" i="3"/>
  <c r="I320" i="3" s="1"/>
  <c r="H321" i="3"/>
  <c r="I321" i="3" s="1"/>
  <c r="H322" i="3"/>
  <c r="I322" i="3" s="1"/>
  <c r="H323" i="3"/>
  <c r="I323" i="3" s="1"/>
  <c r="H324" i="3"/>
  <c r="I324" i="3" s="1"/>
  <c r="H325" i="3"/>
  <c r="I325" i="3" s="1"/>
  <c r="H326" i="3"/>
  <c r="I326" i="3" s="1"/>
  <c r="H327" i="3"/>
  <c r="I327" i="3" s="1"/>
  <c r="H328" i="3"/>
  <c r="I328" i="3" s="1"/>
  <c r="H329" i="3"/>
  <c r="I329" i="3" s="1"/>
  <c r="H330" i="3"/>
  <c r="I330" i="3" s="1"/>
  <c r="H331" i="3"/>
  <c r="I331" i="3" s="1"/>
  <c r="H332" i="3"/>
  <c r="I332" i="3" s="1"/>
  <c r="H333" i="3"/>
  <c r="I333" i="3" s="1"/>
  <c r="H334" i="3"/>
  <c r="I334" i="3" s="1"/>
  <c r="H335" i="3"/>
  <c r="I335" i="3" s="1"/>
  <c r="H336" i="3"/>
  <c r="I336" i="3" s="1"/>
  <c r="H337" i="3"/>
  <c r="I337" i="3" s="1"/>
  <c r="H338" i="3"/>
  <c r="I338" i="3" s="1"/>
  <c r="H339" i="3"/>
  <c r="I339" i="3" s="1"/>
  <c r="H340" i="3"/>
  <c r="I340" i="3" s="1"/>
  <c r="H341" i="3"/>
  <c r="I341" i="3" s="1"/>
  <c r="H342" i="3"/>
  <c r="I342" i="3" s="1"/>
  <c r="H343" i="3"/>
  <c r="I343" i="3" s="1"/>
  <c r="H344" i="3"/>
  <c r="I344" i="3" s="1"/>
  <c r="H345" i="3"/>
  <c r="I345" i="3" s="1"/>
  <c r="H346" i="3"/>
  <c r="I346" i="3" s="1"/>
  <c r="H347" i="3"/>
  <c r="I347" i="3" s="1"/>
  <c r="H348" i="3"/>
  <c r="I348" i="3" s="1"/>
  <c r="H349" i="3"/>
  <c r="I349" i="3" s="1"/>
  <c r="H350" i="3"/>
  <c r="I350" i="3" s="1"/>
  <c r="H351" i="3"/>
  <c r="I351" i="3" s="1"/>
  <c r="H352" i="3"/>
  <c r="I352" i="3" s="1"/>
  <c r="H353" i="3"/>
  <c r="I353" i="3" s="1"/>
  <c r="H354" i="3"/>
  <c r="I354" i="3" s="1"/>
  <c r="H355" i="3"/>
  <c r="I355" i="3" s="1"/>
  <c r="H356" i="3"/>
  <c r="I356" i="3" s="1"/>
  <c r="H357" i="3"/>
  <c r="I357" i="3" s="1"/>
  <c r="H358" i="3"/>
  <c r="I358" i="3" s="1"/>
  <c r="H359" i="3"/>
  <c r="I359" i="3" s="1"/>
  <c r="H360" i="3"/>
  <c r="I360" i="3" s="1"/>
  <c r="H361" i="3"/>
  <c r="I361" i="3" s="1"/>
  <c r="H362" i="3"/>
  <c r="I362" i="3" s="1"/>
  <c r="H363" i="3"/>
  <c r="I363" i="3" s="1"/>
  <c r="H364" i="3"/>
  <c r="I364" i="3" s="1"/>
  <c r="H365" i="3"/>
  <c r="I365" i="3" s="1"/>
  <c r="H366" i="3"/>
  <c r="I366" i="3" s="1"/>
  <c r="H429" i="3"/>
  <c r="I429" i="3" s="1"/>
  <c r="H430" i="3"/>
  <c r="I430" i="3" s="1"/>
  <c r="H431" i="3"/>
  <c r="I431" i="3" s="1"/>
  <c r="H432" i="3"/>
  <c r="I432" i="3" s="1"/>
  <c r="H433" i="3"/>
  <c r="I433" i="3" s="1"/>
  <c r="H434" i="3"/>
  <c r="I434" i="3" s="1"/>
  <c r="H435" i="3"/>
  <c r="I435" i="3" s="1"/>
  <c r="H436" i="3"/>
  <c r="I436" i="3" s="1"/>
  <c r="H437" i="3"/>
  <c r="I437" i="3" s="1"/>
  <c r="H438" i="3"/>
  <c r="I438" i="3" s="1"/>
  <c r="H439" i="3"/>
  <c r="I439" i="3" s="1"/>
  <c r="H440" i="3"/>
  <c r="I440" i="3" s="1"/>
  <c r="H441" i="3"/>
  <c r="I441" i="3" s="1"/>
  <c r="H442" i="3"/>
  <c r="I442" i="3" s="1"/>
  <c r="G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G345" i="4"/>
  <c r="G346" i="4"/>
  <c r="G347" i="4"/>
  <c r="G348" i="4"/>
  <c r="G349" i="4"/>
  <c r="G350" i="4"/>
  <c r="G351" i="4"/>
  <c r="G352" i="4"/>
  <c r="G353" i="4"/>
  <c r="G354" i="4"/>
  <c r="G355" i="4"/>
  <c r="G356" i="4"/>
  <c r="G357" i="4"/>
  <c r="G358" i="4"/>
  <c r="G359" i="4"/>
  <c r="G360" i="4"/>
  <c r="G361" i="4"/>
  <c r="G362" i="4"/>
  <c r="G363" i="4"/>
  <c r="G364" i="4"/>
  <c r="G365" i="4"/>
  <c r="G366" i="4"/>
  <c r="G367" i="4"/>
  <c r="G368" i="4"/>
  <c r="G369" i="4"/>
  <c r="G370" i="4"/>
  <c r="G371" i="4"/>
  <c r="G372" i="4"/>
  <c r="G373" i="4"/>
  <c r="G374" i="4"/>
  <c r="G375" i="4"/>
  <c r="G376" i="4"/>
  <c r="G377" i="4"/>
  <c r="G378" i="4"/>
  <c r="G379" i="4"/>
  <c r="G380" i="4"/>
  <c r="G381" i="4"/>
  <c r="G382" i="4"/>
  <c r="G383" i="4"/>
  <c r="G384" i="4"/>
  <c r="G385" i="4"/>
  <c r="G386" i="4"/>
  <c r="G387" i="4"/>
  <c r="G388" i="4"/>
  <c r="G389" i="4"/>
  <c r="G390" i="4"/>
  <c r="G391" i="4"/>
  <c r="G392" i="4"/>
  <c r="G393" i="4"/>
  <c r="G394" i="4"/>
  <c r="G395" i="4"/>
  <c r="G396" i="4"/>
  <c r="G397" i="4"/>
  <c r="G398" i="4"/>
  <c r="G399" i="4"/>
  <c r="G400" i="4"/>
  <c r="G401" i="4"/>
  <c r="G402" i="4"/>
  <c r="G403" i="4"/>
  <c r="G404" i="4"/>
  <c r="G405" i="4"/>
  <c r="G406" i="4"/>
  <c r="G407" i="4"/>
  <c r="G408" i="4"/>
  <c r="G409" i="4"/>
  <c r="G410" i="4"/>
  <c r="G411" i="4"/>
  <c r="G412" i="4"/>
  <c r="G413" i="4"/>
  <c r="G414" i="4"/>
  <c r="G415" i="4"/>
  <c r="G416" i="4"/>
  <c r="G417" i="4"/>
  <c r="G418" i="4"/>
  <c r="G419" i="4"/>
  <c r="G420" i="4"/>
  <c r="G421" i="4"/>
  <c r="G422" i="4"/>
  <c r="G423" i="4"/>
  <c r="G424" i="4"/>
  <c r="G425" i="4"/>
  <c r="G426" i="4"/>
  <c r="G427" i="4"/>
  <c r="G428" i="4"/>
  <c r="G429" i="4"/>
  <c r="G430" i="4"/>
  <c r="G431" i="4"/>
  <c r="G432" i="4"/>
  <c r="G433" i="4"/>
  <c r="G434" i="4"/>
  <c r="G435" i="4"/>
  <c r="G436" i="4"/>
  <c r="G437" i="4"/>
  <c r="G438" i="4"/>
  <c r="G439" i="4"/>
  <c r="G440" i="4"/>
  <c r="G441" i="4"/>
  <c r="G442" i="4"/>
  <c r="G443" i="4"/>
  <c r="G444" i="4"/>
  <c r="G445" i="4"/>
  <c r="G446" i="4"/>
  <c r="G447" i="4"/>
  <c r="G448" i="4"/>
  <c r="G449" i="4"/>
  <c r="G450" i="4"/>
  <c r="G451" i="4"/>
  <c r="G452" i="4"/>
  <c r="G453" i="4"/>
  <c r="G454" i="4"/>
  <c r="G455" i="4"/>
  <c r="G456" i="4"/>
  <c r="G457" i="4"/>
  <c r="G458" i="4"/>
  <c r="G459" i="4"/>
  <c r="G460" i="4"/>
  <c r="G461" i="4"/>
  <c r="G462" i="4"/>
  <c r="G463" i="4"/>
  <c r="G464" i="4"/>
  <c r="G465" i="4"/>
  <c r="G466" i="4"/>
  <c r="G467" i="4"/>
  <c r="G468" i="4"/>
  <c r="G469" i="4"/>
  <c r="G470" i="4"/>
  <c r="G471" i="4"/>
  <c r="G472" i="4"/>
  <c r="G473" i="4"/>
  <c r="G474" i="4"/>
  <c r="G475" i="4"/>
  <c r="G476" i="4"/>
  <c r="G477" i="4"/>
  <c r="G478" i="4"/>
  <c r="G479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2" i="4"/>
  <c r="G480" i="4" s="1"/>
  <c r="E435" i="5" l="1"/>
  <c r="F435" i="5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<sst xmlns="http://schemas.openxmlformats.org/spreadsheetml/2006/main" count="12375" uniqueCount="3136">
  <si>
    <t>product_id</t>
  </si>
  <si>
    <t>product_name</t>
  </si>
  <si>
    <t>product_category</t>
  </si>
  <si>
    <t>product_price_aud</t>
  </si>
  <si>
    <t>seller_id</t>
  </si>
  <si>
    <t>PROD00001</t>
  </si>
  <si>
    <t>Hair Strengthening Mask shea butter 4 pack</t>
  </si>
  <si>
    <t>Beauty</t>
  </si>
  <si>
    <t>SELL0001</t>
  </si>
  <si>
    <t>PROD00002</t>
  </si>
  <si>
    <t>Hair Strengthening Mask shea butter 2 pack</t>
  </si>
  <si>
    <t>PROD00003</t>
  </si>
  <si>
    <t>Rain Jacket Light Green</t>
  </si>
  <si>
    <t>Clothes</t>
  </si>
  <si>
    <t>SELL0002</t>
  </si>
  <si>
    <t>PROD00004</t>
  </si>
  <si>
    <t>Wireless Keyboard</t>
  </si>
  <si>
    <t>Electronics</t>
  </si>
  <si>
    <t>SELL0003</t>
  </si>
  <si>
    <t>PROD00005</t>
  </si>
  <si>
    <t>Wall Clock - Minimalist (Blue)</t>
  </si>
  <si>
    <t>Home</t>
  </si>
  <si>
    <t>SELL0004</t>
  </si>
  <si>
    <t>PROD00006</t>
  </si>
  <si>
    <t>Highlighter Set Bright 4 pen</t>
  </si>
  <si>
    <t>Stationery</t>
  </si>
  <si>
    <t>SELL0005</t>
  </si>
  <si>
    <t>PROD00007</t>
  </si>
  <si>
    <t>Slime Lab Blue 8pc</t>
  </si>
  <si>
    <t>Toys</t>
  </si>
  <si>
    <t>SELL0006</t>
  </si>
  <si>
    <t>PROD00008</t>
  </si>
  <si>
    <t>Slime Lab Green 8pc</t>
  </si>
  <si>
    <t>PROD00009</t>
  </si>
  <si>
    <t>Heat Therapy Pad</t>
  </si>
  <si>
    <t>Health</t>
  </si>
  <si>
    <t>SELL0007</t>
  </si>
  <si>
    <t>PROD00010</t>
  </si>
  <si>
    <t>Summer Dress - Floral</t>
  </si>
  <si>
    <t>SELL0008</t>
  </si>
  <si>
    <t>PROD00011</t>
  </si>
  <si>
    <t>Summer Dress - Floral Blue</t>
  </si>
  <si>
    <t>PROD00012</t>
  </si>
  <si>
    <t>Whiteboard Markers - 6 pack</t>
  </si>
  <si>
    <t>SELL0010</t>
  </si>
  <si>
    <t>PROD00013</t>
  </si>
  <si>
    <t>SELL0011</t>
  </si>
  <si>
    <t>PROD00014</t>
  </si>
  <si>
    <t>Waterproof Picnic Mat 100x100</t>
  </si>
  <si>
    <t>Outdoor</t>
  </si>
  <si>
    <t>SELL0012</t>
  </si>
  <si>
    <t>PROD00015</t>
  </si>
  <si>
    <t>Garden Lights 4 pack Solar Power</t>
  </si>
  <si>
    <t>SELL0014</t>
  </si>
  <si>
    <t>PROD00016</t>
  </si>
  <si>
    <t>Stainless Steel Grill Basket XL</t>
  </si>
  <si>
    <t>SELL0015</t>
  </si>
  <si>
    <t>PROD00017</t>
  </si>
  <si>
    <t>BBQ Skewers - 12 pack (Bamboo)</t>
  </si>
  <si>
    <t>SELL0016</t>
  </si>
  <si>
    <t>PROD00018</t>
  </si>
  <si>
    <t>PROD00019</t>
  </si>
  <si>
    <t>Hydrating Face Mist</t>
  </si>
  <si>
    <t>SELL0017</t>
  </si>
  <si>
    <t>PROD00020</t>
  </si>
  <si>
    <t>BBQ Skewers - 12 pack (Stainless Steel)</t>
  </si>
  <si>
    <t>SELL0009</t>
  </si>
  <si>
    <t>PROD00021</t>
  </si>
  <si>
    <t>Garden Lights 10 pack Solar Power</t>
  </si>
  <si>
    <t>PROD00022</t>
  </si>
  <si>
    <t>BBQ Skewers - 24 pack (Stainless Steel)</t>
  </si>
  <si>
    <t>SELL0018</t>
  </si>
  <si>
    <t>PROD00023</t>
  </si>
  <si>
    <t>PROD00024</t>
  </si>
  <si>
    <t>BBQ Skewers - 24 pack (Bamboo)</t>
  </si>
  <si>
    <t>PROD00025</t>
  </si>
  <si>
    <t>Vit C Serum Revitalising 50ml</t>
  </si>
  <si>
    <t>PROD00026</t>
  </si>
  <si>
    <t>Digital Thermometer (Yellow)</t>
  </si>
  <si>
    <t>PROD00027</t>
  </si>
  <si>
    <t>Pendant Necklace - Rose Gold</t>
  </si>
  <si>
    <t>Jewellery</t>
  </si>
  <si>
    <t>SELL0019</t>
  </si>
  <si>
    <t>PROD00028</t>
  </si>
  <si>
    <t>Permanent markers 6 pack black</t>
  </si>
  <si>
    <t>PROD00029</t>
  </si>
  <si>
    <t>Permanent markers 6 pack blue</t>
  </si>
  <si>
    <t>SELL0020</t>
  </si>
  <si>
    <t>PROD00030</t>
  </si>
  <si>
    <t>SELL0021</t>
  </si>
  <si>
    <t>PROD00031</t>
  </si>
  <si>
    <t>Solar Garden Light Set (4 pack)</t>
  </si>
  <si>
    <t>PROD00032</t>
  </si>
  <si>
    <t>Solar Garden Light Set (8 pack)</t>
  </si>
  <si>
    <t>PROD00033</t>
  </si>
  <si>
    <t>Kite Blue</t>
  </si>
  <si>
    <t>PROD00034</t>
  </si>
  <si>
    <t>Kite Red</t>
  </si>
  <si>
    <t>PROD00035</t>
  </si>
  <si>
    <t>Snorkel Set - Child</t>
  </si>
  <si>
    <t>SELL0022</t>
  </si>
  <si>
    <t>PROD00036</t>
  </si>
  <si>
    <t>Snorkel Set - Child Pink</t>
  </si>
  <si>
    <t>PROD00037</t>
  </si>
  <si>
    <t>Outdoor Oven Gloves (Red)</t>
  </si>
  <si>
    <t>PROD00038</t>
  </si>
  <si>
    <t>Outdoor Oven Gloves (Pink)</t>
  </si>
  <si>
    <t>PROD00039</t>
  </si>
  <si>
    <t>Vit C Serum Revitalising 100ml</t>
  </si>
  <si>
    <t>PROD00040</t>
  </si>
  <si>
    <t>Body Lotion - Shea Butter 200ml</t>
  </si>
  <si>
    <t>SELL0023</t>
  </si>
  <si>
    <t>PROD00041</t>
  </si>
  <si>
    <t>Body Lotion - Shea Butter 500ml</t>
  </si>
  <si>
    <t>PROD00042</t>
  </si>
  <si>
    <t>Fairy Lights Outdoor Garden String 100</t>
  </si>
  <si>
    <t>PROD00043</t>
  </si>
  <si>
    <t>Fairy Lights Outdoor Garden String 200</t>
  </si>
  <si>
    <t>PROD00044</t>
  </si>
  <si>
    <t>Unisex Hoodie - Blue XXXL</t>
  </si>
  <si>
    <t>PROD00045</t>
  </si>
  <si>
    <t>Wireless Keyboard (Yellow)</t>
  </si>
  <si>
    <t>SELL0024</t>
  </si>
  <si>
    <t>PROD00046</t>
  </si>
  <si>
    <t>Unisex Hoodie - Black XXXL</t>
  </si>
  <si>
    <t>SELL0025</t>
  </si>
  <si>
    <t>PROD00047</t>
  </si>
  <si>
    <t>Wireless Keyboard (Navy)</t>
  </si>
  <si>
    <t>SELL0026</t>
  </si>
  <si>
    <t>PROD00048</t>
  </si>
  <si>
    <t>Essential Oil Diffuser</t>
  </si>
  <si>
    <t>PROD00049</t>
  </si>
  <si>
    <t>Protein Shaker Bottle 600ml (White)</t>
  </si>
  <si>
    <t>SELL0027</t>
  </si>
  <si>
    <t>PROD00050</t>
  </si>
  <si>
    <t>SELL0028</t>
  </si>
  <si>
    <t>PROD00051</t>
  </si>
  <si>
    <t>Protein Shaker Bottle 600ml (Red)</t>
  </si>
  <si>
    <t>PROD00052</t>
  </si>
  <si>
    <t>Glitter Gel Pens 4 pack</t>
  </si>
  <si>
    <t>PROD00053</t>
  </si>
  <si>
    <t>Bluetooth Speaker Portable 200W</t>
  </si>
  <si>
    <t>SELL0029</t>
  </si>
  <si>
    <t>PROD00054</t>
  </si>
  <si>
    <t>Essential Oil Diffuser 200ml Bluetooth</t>
  </si>
  <si>
    <t>PROD00055</t>
  </si>
  <si>
    <t>Plush Giraffe Toy</t>
  </si>
  <si>
    <t>SELL0030</t>
  </si>
  <si>
    <t>PROD00056</t>
  </si>
  <si>
    <t>Yoga Mat 10mm</t>
  </si>
  <si>
    <t>SELL0031</t>
  </si>
  <si>
    <t>PROD00057</t>
  </si>
  <si>
    <t>Gaming Mouse</t>
  </si>
  <si>
    <t>SELL0032</t>
  </si>
  <si>
    <t>PROD00058</t>
  </si>
  <si>
    <t>Educational Puzzle - Jungle Animals</t>
  </si>
  <si>
    <t>PROD00059</t>
  </si>
  <si>
    <t>Blending Sponge</t>
  </si>
  <si>
    <t>PROD00060</t>
  </si>
  <si>
    <t>Nail Polish - Coral</t>
  </si>
  <si>
    <t>SELL0033</t>
  </si>
  <si>
    <t>PROD00061</t>
  </si>
  <si>
    <t>Cushion Fringe Red 60 x 40</t>
  </si>
  <si>
    <t>PROD00062</t>
  </si>
  <si>
    <t>PROD00063</t>
  </si>
  <si>
    <t>Wireless Keyboard Premium</t>
  </si>
  <si>
    <t>PROD00064</t>
  </si>
  <si>
    <t>Blood Pressure Monitor (White)</t>
  </si>
  <si>
    <t>SELL0034</t>
  </si>
  <si>
    <t>PROD00065</t>
  </si>
  <si>
    <t>Blood Pressure Monitor (Grey)</t>
  </si>
  <si>
    <t>PROD00066</t>
  </si>
  <si>
    <t>BBQ Meat Thermometer Battery Powered</t>
  </si>
  <si>
    <t>PROD00067</t>
  </si>
  <si>
    <t>Car Controlled Phone Remote</t>
  </si>
  <si>
    <t>PROD00068</t>
  </si>
  <si>
    <t>Mini Plant Starter Kit</t>
  </si>
  <si>
    <t>Gift_Sets</t>
  </si>
  <si>
    <t>PROD00069</t>
  </si>
  <si>
    <t>Scented Drawer Sachets Lavender</t>
  </si>
  <si>
    <t>SELL0035</t>
  </si>
  <si>
    <t>PROD00070</t>
  </si>
  <si>
    <t>Portable Mini Grill</t>
  </si>
  <si>
    <t>PROD00071</t>
  </si>
  <si>
    <t>Bath Bomb Variety Pack (Ylang ylang jasmine)</t>
  </si>
  <si>
    <t>PROD00072</t>
  </si>
  <si>
    <t>Bubble Maker Machine (Red)</t>
  </si>
  <si>
    <t>PROD00073</t>
  </si>
  <si>
    <t>Wood Chips - Oak</t>
  </si>
  <si>
    <t>PROD00074</t>
  </si>
  <si>
    <t>Wood Chips Smoked Mesquite Premium</t>
  </si>
  <si>
    <t>SELL0036</t>
  </si>
  <si>
    <t>PROD00075</t>
  </si>
  <si>
    <t>Indoor Plant Pot - Medium</t>
  </si>
  <si>
    <t>PROD00076</t>
  </si>
  <si>
    <t>paddling pool pink inflatable</t>
  </si>
  <si>
    <t>PROD00077</t>
  </si>
  <si>
    <t>Scented Drawer Sachets Jasmine</t>
  </si>
  <si>
    <t>PROD00078</t>
  </si>
  <si>
    <t>Building Blocks 150 pc Unicorn Edition</t>
  </si>
  <si>
    <t>SELL0037</t>
  </si>
  <si>
    <t>PROD00079</t>
  </si>
  <si>
    <t>PROD00080</t>
  </si>
  <si>
    <t>Mini Plant Starter Kit (Tulip)</t>
  </si>
  <si>
    <t>PROD00081</t>
  </si>
  <si>
    <t>Crystal Drop Earrings Clipon</t>
  </si>
  <si>
    <t>PROD00082</t>
  </si>
  <si>
    <t>Candle Trio Gift Set Lily</t>
  </si>
  <si>
    <t>PROD00083</t>
  </si>
  <si>
    <t>Metal Ruler 30cm</t>
  </si>
  <si>
    <t>PROD00084</t>
  </si>
  <si>
    <t>Stainless Steel Cutting Board</t>
  </si>
  <si>
    <t>PROD00085</t>
  </si>
  <si>
    <t>Tea Lovers Hamper Earl Grey</t>
  </si>
  <si>
    <t>PROD00086</t>
  </si>
  <si>
    <t>Bath Bomb Strawberry Vanilla Gift Set</t>
  </si>
  <si>
    <t>SELL0038</t>
  </si>
  <si>
    <t>PROD00087</t>
  </si>
  <si>
    <t>Floor Lamp Standing Tall LED</t>
  </si>
  <si>
    <t>PROD00088</t>
  </si>
  <si>
    <t>Sports Socks - 5 pack</t>
  </si>
  <si>
    <t>SELL0039</t>
  </si>
  <si>
    <t>PROD00089</t>
  </si>
  <si>
    <t>Picnic basket</t>
  </si>
  <si>
    <t>PROD00090</t>
  </si>
  <si>
    <t>Reed Oil Diffuser Pomegranate Bay Leaf</t>
  </si>
  <si>
    <t>PROD00091</t>
  </si>
  <si>
    <t>T‑Shirt XL Polycotton Black</t>
  </si>
  <si>
    <t>PROD00092</t>
  </si>
  <si>
    <t>Luxury Skincare Set Shea Vitamin</t>
  </si>
  <si>
    <t>SELL0040</t>
  </si>
  <si>
    <t>PROD00093</t>
  </si>
  <si>
    <t>Highlighter Set Pens Yellow</t>
  </si>
  <si>
    <t>PROD00094</t>
  </si>
  <si>
    <t>BBQ Cleaning Fluid</t>
  </si>
  <si>
    <t>PROD00095</t>
  </si>
  <si>
    <t>Plush Koala Toy</t>
  </si>
  <si>
    <t>PROD00096</t>
  </si>
  <si>
    <t>Car racing track automatic launch</t>
  </si>
  <si>
    <t>PROD00097</t>
  </si>
  <si>
    <t>blood pressure white premium medical grade</t>
  </si>
  <si>
    <t>PROD00098</t>
  </si>
  <si>
    <t>PROD00099</t>
  </si>
  <si>
    <t>Noise Cancelling Headphones</t>
  </si>
  <si>
    <t>SELL0041</t>
  </si>
  <si>
    <t>PROD00100</t>
  </si>
  <si>
    <t>Pearl Stud Earrings Genuine Pearl</t>
  </si>
  <si>
    <t>PROD00101</t>
  </si>
  <si>
    <t>Dark Chocolate Selection Box</t>
  </si>
  <si>
    <t>PROD00102</t>
  </si>
  <si>
    <t>Glittertube Makeup Set Kids</t>
  </si>
  <si>
    <t>PROD00103</t>
  </si>
  <si>
    <t>Cotton T‑Shirt Green XL</t>
  </si>
  <si>
    <t>PROD00104</t>
  </si>
  <si>
    <t>OutdoorOven Oven Gloves (Green)</t>
  </si>
  <si>
    <t>PROD00105</t>
  </si>
  <si>
    <t>Yoga Mat - 8mm Thick</t>
  </si>
  <si>
    <t>SELL0042</t>
  </si>
  <si>
    <t>PROD00106</t>
  </si>
  <si>
    <t>Train Set 9 trains</t>
  </si>
  <si>
    <t>PROD00107</t>
  </si>
  <si>
    <t>Rain Jacket Red L</t>
  </si>
  <si>
    <t>PROD00108</t>
  </si>
  <si>
    <t>Premium Soy Candle Orange Blossom</t>
  </si>
  <si>
    <t>PROD00109</t>
  </si>
  <si>
    <t>Sterling Silver Necklace</t>
  </si>
  <si>
    <t>PROD00110</t>
  </si>
  <si>
    <t>Organic Lip Balm - Cherry</t>
  </si>
  <si>
    <t>SELL0043</t>
  </si>
  <si>
    <t>PROD00111</t>
  </si>
  <si>
    <t>Kids Cotton Pyjamas 18month</t>
  </si>
  <si>
    <t>PROD00112</t>
  </si>
  <si>
    <t>Cotton Bath Towel Set (Green)</t>
  </si>
  <si>
    <t>PROD00113</t>
  </si>
  <si>
    <t>Rain Jacket Red XS</t>
  </si>
  <si>
    <t>PROD00114</t>
  </si>
  <si>
    <t>Portable Power Bank 10,000mAh Grey</t>
  </si>
  <si>
    <t>PROD00115</t>
  </si>
  <si>
    <t>Wireless Bluetooth Earbuds Noise Cancel</t>
  </si>
  <si>
    <t>PROD00116</t>
  </si>
  <si>
    <t>Waterproof Mat Beach</t>
  </si>
  <si>
    <t>SELL0044</t>
  </si>
  <si>
    <t>PROD00117</t>
  </si>
  <si>
    <t>Anklet - Gold</t>
  </si>
  <si>
    <t>PROD00118</t>
  </si>
  <si>
    <t>Unisex Hoodie - Black XXL</t>
  </si>
  <si>
    <t>PROD00119</t>
  </si>
  <si>
    <t>Solar Garden Light</t>
  </si>
  <si>
    <t>SELL0045</t>
  </si>
  <si>
    <t>PROD00120</t>
  </si>
  <si>
    <t>Rain Jacket Red XXS</t>
  </si>
  <si>
    <t>PROD00121</t>
  </si>
  <si>
    <t>Serving Bowl Blue</t>
  </si>
  <si>
    <t>PROD00122</t>
  </si>
  <si>
    <t>Scented Candle Rose</t>
  </si>
  <si>
    <t>PROD00123</t>
  </si>
  <si>
    <t>Compact Hiking Backpack 20L</t>
  </si>
  <si>
    <t>PROD00124</t>
  </si>
  <si>
    <t>Pillowcase Silk Navy Pair</t>
  </si>
  <si>
    <t>SELL0046</t>
  </si>
  <si>
    <t>PROD00125</t>
  </si>
  <si>
    <t>Charm Bracelet gold</t>
  </si>
  <si>
    <t>PROD00126</t>
  </si>
  <si>
    <t>Whiteboard Markers 6pc</t>
  </si>
  <si>
    <t>PROD00127</t>
  </si>
  <si>
    <t>Hickory Wood Chips Large Bag</t>
  </si>
  <si>
    <t>PROD00128</t>
  </si>
  <si>
    <t>Spa Pamper Gift Set For Him</t>
  </si>
  <si>
    <t>PROD00129</t>
  </si>
  <si>
    <t>Hose Garden Red</t>
  </si>
  <si>
    <t>SELL0047</t>
  </si>
  <si>
    <t>PROD00130</t>
  </si>
  <si>
    <t>Kite Glitter</t>
  </si>
  <si>
    <t>PROD00131</t>
  </si>
  <si>
    <t>Koala Stuffed Toy</t>
  </si>
  <si>
    <t>PROD00132</t>
  </si>
  <si>
    <t>Binder Clips - 20 pack</t>
  </si>
  <si>
    <t>PROD00133</t>
  </si>
  <si>
    <t>Building Blocks 300 pcs Special Edition space</t>
  </si>
  <si>
    <t>PROD00134</t>
  </si>
  <si>
    <t>Highlighter Set Bright 7 pen</t>
  </si>
  <si>
    <t>SELL0048</t>
  </si>
  <si>
    <t>PROD00135</t>
  </si>
  <si>
    <t>Garden Light Sun Powered No Recharge</t>
  </si>
  <si>
    <t>PROD00136</t>
  </si>
  <si>
    <t>Rainbow Kite - Light-Up</t>
  </si>
  <si>
    <t>SELL0049</t>
  </si>
  <si>
    <t>PROD00137</t>
  </si>
  <si>
    <t>Whiteoard Markers - 3 pack</t>
  </si>
  <si>
    <t>PROD00138</t>
  </si>
  <si>
    <t>Premium Pencil Case (Glitter)</t>
  </si>
  <si>
    <t>PROD00139</t>
  </si>
  <si>
    <t>Makeup Sponge Pack (Orange) 2 pc</t>
  </si>
  <si>
    <t>PROD00140</t>
  </si>
  <si>
    <t>Wireless Bluetooth Earbuds</t>
  </si>
  <si>
    <t>PROD00141</t>
  </si>
  <si>
    <t>Luxury Skincare Set Gold Peel</t>
  </si>
  <si>
    <t>SELL0050</t>
  </si>
  <si>
    <t>PROD00142</t>
  </si>
  <si>
    <t>Bluetooth Speaker - Portable</t>
  </si>
  <si>
    <t>SELL0051</t>
  </si>
  <si>
    <t>PROD00143</t>
  </si>
  <si>
    <t>Foam Roller - Firm Blue Large</t>
  </si>
  <si>
    <t>PROD00144</t>
  </si>
  <si>
    <t>Scented Soy Candle - Lavender</t>
  </si>
  <si>
    <t>SELL0052</t>
  </si>
  <si>
    <t>PROD00145</t>
  </si>
  <si>
    <t>Wall Clock - Minimalist</t>
  </si>
  <si>
    <t>PROD00146</t>
  </si>
  <si>
    <t>Spa Pamper Gift Set For Her</t>
  </si>
  <si>
    <t>SELL0053</t>
  </si>
  <si>
    <t>PROD00147</t>
  </si>
  <si>
    <t>Portable Mini Grill Gas Fire</t>
  </si>
  <si>
    <t>PROD00148</t>
  </si>
  <si>
    <t>Jewellery Box Birch</t>
  </si>
  <si>
    <t>PROD00149</t>
  </si>
  <si>
    <t>Tea Lovers Hamper Vegemite Edition</t>
  </si>
  <si>
    <t>PROD00150</t>
  </si>
  <si>
    <t>Indoor Plant Pot - Large</t>
  </si>
  <si>
    <t>SELL0054</t>
  </si>
  <si>
    <t>PROD00151</t>
  </si>
  <si>
    <t>PROD00152</t>
  </si>
  <si>
    <t>Women’s Active Leggings L</t>
  </si>
  <si>
    <t>PROD00153</t>
  </si>
  <si>
    <t>Digital Thermometer Battery Powered</t>
  </si>
  <si>
    <t>PROD00154</t>
  </si>
  <si>
    <t>Pendant Necklace Silver</t>
  </si>
  <si>
    <t>SELL0055</t>
  </si>
  <si>
    <t>PROD00155</t>
  </si>
  <si>
    <t>Kids Paint Kit</t>
  </si>
  <si>
    <t>PROD00156</t>
  </si>
  <si>
    <t>Cotton T‑Shirt Black M</t>
  </si>
  <si>
    <t>SELL0056</t>
  </si>
  <si>
    <t>PROD00157</t>
  </si>
  <si>
    <t>Organic Lip Balm - Mint</t>
  </si>
  <si>
    <t>SELL0057</t>
  </si>
  <si>
    <t>PROD00158</t>
  </si>
  <si>
    <t>LED Light Bulb Reusable</t>
  </si>
  <si>
    <t>PROD00159</t>
  </si>
  <si>
    <t>Kids Paint Kit (Blue)</t>
  </si>
  <si>
    <t>PROD00160</t>
  </si>
  <si>
    <t>Kids Paint Kit (Yellow)</t>
  </si>
  <si>
    <t>PROD00161</t>
  </si>
  <si>
    <t>Kids Paint Kit (White)</t>
  </si>
  <si>
    <t>PROD00162</t>
  </si>
  <si>
    <t>Kids Paint Kit (Grey)</t>
  </si>
  <si>
    <t>PROD00163</t>
  </si>
  <si>
    <t>Kids Paint Kit (Navy)</t>
  </si>
  <si>
    <t>PROD00164</t>
  </si>
  <si>
    <t>Ceramic Vase - Sand Finish</t>
  </si>
  <si>
    <t>PROD00165</t>
  </si>
  <si>
    <t>Tea Lovers Hamper Breakfast</t>
  </si>
  <si>
    <t>PROD00166</t>
  </si>
  <si>
    <t>Minimalist Ring Set</t>
  </si>
  <si>
    <t>PROD00167</t>
  </si>
  <si>
    <t>Scented gel pen 20 pack pastel party</t>
  </si>
  <si>
    <t>PROD00168</t>
  </si>
  <si>
    <t>Pearl Stud Earrings</t>
  </si>
  <si>
    <t>SELL0058</t>
  </si>
  <si>
    <t>PROD00169</t>
  </si>
  <si>
    <t>Pearl Stud Earrings Cluster</t>
  </si>
  <si>
    <t>PROD00170</t>
  </si>
  <si>
    <t>Ice bucket outdoor beers garden picnic</t>
  </si>
  <si>
    <t>PROD00171</t>
  </si>
  <si>
    <t>Men’s Chino Shorts S</t>
  </si>
  <si>
    <t>PROD00172</t>
  </si>
  <si>
    <t>Coffee Sampler Pack</t>
  </si>
  <si>
    <t>PROD00173</t>
  </si>
  <si>
    <t>Drop Earrings Dangle Silver</t>
  </si>
  <si>
    <t>SELL0059</t>
  </si>
  <si>
    <t>PROD00174</t>
  </si>
  <si>
    <t>Gel Pen Set - 20 pack (Pastel)</t>
  </si>
  <si>
    <t>SELL0060</t>
  </si>
  <si>
    <t>PROD00175</t>
  </si>
  <si>
    <t>Pearl Earrings Stud</t>
  </si>
  <si>
    <t>PROD00176</t>
  </si>
  <si>
    <t>Steel Grill Basket</t>
  </si>
  <si>
    <t>PROD00177</t>
  </si>
  <si>
    <t>Desk Organizer Tray (Red)</t>
  </si>
  <si>
    <t>PROD00178</t>
  </si>
  <si>
    <t>Desk Organizer Tray (Blue)</t>
  </si>
  <si>
    <t>PROD00179</t>
  </si>
  <si>
    <t>Desk Organizer Tray (Grey)</t>
  </si>
  <si>
    <t>PROD00180</t>
  </si>
  <si>
    <t>Desk Organizer Tray (Green)</t>
  </si>
  <si>
    <t>PROD00181</t>
  </si>
  <si>
    <t>Men’s Chino Shorts L</t>
  </si>
  <si>
    <t>SELL0061</t>
  </si>
  <si>
    <t>PROD00182</t>
  </si>
  <si>
    <t>Cotton T‑Shirt Green L</t>
  </si>
  <si>
    <t>PROD00183</t>
  </si>
  <si>
    <t>Beach Umbrella UV50</t>
  </si>
  <si>
    <t>PROD00184</t>
  </si>
  <si>
    <t xml:space="preserve">Oil Diffuser </t>
  </si>
  <si>
    <t>SELL0062</t>
  </si>
  <si>
    <t>PROD00185</t>
  </si>
  <si>
    <t>Rain Jacket Red M</t>
  </si>
  <si>
    <t>PROD00186</t>
  </si>
  <si>
    <t>Foam Maker</t>
  </si>
  <si>
    <t>PROD00187</t>
  </si>
  <si>
    <t>antique bronze necklace owl vintage</t>
  </si>
  <si>
    <t>PROD00188</t>
  </si>
  <si>
    <t>Waterproof Mat</t>
  </si>
  <si>
    <t>PROD00189</t>
  </si>
  <si>
    <t>Snorkel Set - Adult</t>
  </si>
  <si>
    <t>PROD00190</t>
  </si>
  <si>
    <t>Jewellery Gift Box Clear Plastic 6 compartment</t>
  </si>
  <si>
    <t>PROD00191</t>
  </si>
  <si>
    <t>Men’s Leather Band Bracelet</t>
  </si>
  <si>
    <t>PROD00192</t>
  </si>
  <si>
    <t>Smart Home Hub</t>
  </si>
  <si>
    <t>SELL0063</t>
  </si>
  <si>
    <t>PROD00193</t>
  </si>
  <si>
    <t>Beanie - Yellow (Wool)</t>
  </si>
  <si>
    <t>PROD00194</t>
  </si>
  <si>
    <t>Water Gun Set</t>
  </si>
  <si>
    <t>SELL0064</t>
  </si>
  <si>
    <t>PROD00195</t>
  </si>
  <si>
    <t>Rose Water Toner</t>
  </si>
  <si>
    <t>SELL0065</t>
  </si>
  <si>
    <t>PROD00196</t>
  </si>
  <si>
    <t>Kite Rainbow</t>
  </si>
  <si>
    <t>PROD00197</t>
  </si>
  <si>
    <t>Blood Pressure Monitor Digital</t>
  </si>
  <si>
    <t>SELL0066</t>
  </si>
  <si>
    <t>PROD00198</t>
  </si>
  <si>
    <t>Light up lawnmower AI powered</t>
  </si>
  <si>
    <t>SELL0067</t>
  </si>
  <si>
    <t>PROD00199</t>
  </si>
  <si>
    <t>Rain Jacket - Lightweight</t>
  </si>
  <si>
    <t>PROD00200</t>
  </si>
  <si>
    <t>BBQ Cleaning Brush</t>
  </si>
  <si>
    <t>PROD00201</t>
  </si>
  <si>
    <t>BBQ Cleaning Brush XXL</t>
  </si>
  <si>
    <t>PROD00202</t>
  </si>
  <si>
    <t>Body Lotion Shea Butter 1L</t>
  </si>
  <si>
    <t>PROD00203</t>
  </si>
  <si>
    <t>Smart LED Light Bulb 10W</t>
  </si>
  <si>
    <t>PROD00204</t>
  </si>
  <si>
    <t>USB C Fast Charger 30W (Black)</t>
  </si>
  <si>
    <t>PROD00205</t>
  </si>
  <si>
    <t>Denim Shirt M</t>
  </si>
  <si>
    <t>SELL0068</t>
  </si>
  <si>
    <t>PROD00206</t>
  </si>
  <si>
    <t>Cotton T‑Shirt L</t>
  </si>
  <si>
    <t>PROD00207</t>
  </si>
  <si>
    <t>Hydrating Face Mist 500ml</t>
  </si>
  <si>
    <t>SELL0069</t>
  </si>
  <si>
    <t>PROD00208</t>
  </si>
  <si>
    <t>Oil Diffuser 700ml</t>
  </si>
  <si>
    <t>PROD00209</t>
  </si>
  <si>
    <t>Beach Umbrella - UV50+ White</t>
  </si>
  <si>
    <t>PROD00210</t>
  </si>
  <si>
    <t>Unisex Hoodie - Navy XL</t>
  </si>
  <si>
    <t>SELL0070</t>
  </si>
  <si>
    <t>PROD00211</t>
  </si>
  <si>
    <t>Essential Oil Diffuser Mains Powered</t>
  </si>
  <si>
    <t>PROD00212</t>
  </si>
  <si>
    <t>Educational Puzzle - Zoo Animals</t>
  </si>
  <si>
    <t>PROD00213</t>
  </si>
  <si>
    <t>Sterling Silver 925 Stud Earrings Pair Ladybird</t>
  </si>
  <si>
    <t>PROD00214</t>
  </si>
  <si>
    <t>Snorkel Set - Adult Small</t>
  </si>
  <si>
    <t>PROD00215</t>
  </si>
  <si>
    <t>Drawer Organiser 5 sections</t>
  </si>
  <si>
    <t>PROD00216</t>
  </si>
  <si>
    <t>Inflatable Pool Mattress</t>
  </si>
  <si>
    <t>PROD00217</t>
  </si>
  <si>
    <t>Sterling Silver 925 Earrings Pair Butterfly</t>
  </si>
  <si>
    <t>PROD00218</t>
  </si>
  <si>
    <t>Lotion Cocoa Butter 50ml</t>
  </si>
  <si>
    <t>SELL0071</t>
  </si>
  <si>
    <t>PROD00219</t>
  </si>
  <si>
    <t>Waterproof Picnic Mat Tartan</t>
  </si>
  <si>
    <t>SELL0072</t>
  </si>
  <si>
    <t>PROD00220</t>
  </si>
  <si>
    <t>Outdoor Oven Gloves</t>
  </si>
  <si>
    <t>PROD00221</t>
  </si>
  <si>
    <t>Wooden Train Set</t>
  </si>
  <si>
    <t>PROD00222</t>
  </si>
  <si>
    <t>Charcoal Starter Chimney XL</t>
  </si>
  <si>
    <t>PROD00223</t>
  </si>
  <si>
    <t>Remote Control Car</t>
  </si>
  <si>
    <t>PROD00224</t>
  </si>
  <si>
    <t>Stainless Steel BBQ Tools Set</t>
  </si>
  <si>
    <t>SELL0073</t>
  </si>
  <si>
    <t>PROD00225</t>
  </si>
  <si>
    <t>USB C Fast Charge 30W</t>
  </si>
  <si>
    <t>PROD00226</t>
  </si>
  <si>
    <t>Minimalist Ring Set (Black)</t>
  </si>
  <si>
    <t>PROD00227</t>
  </si>
  <si>
    <t>Tea Lovers Hamper Shapes Edition</t>
  </si>
  <si>
    <t>PROD00228</t>
  </si>
  <si>
    <t>Carbon Fiber Mug Set</t>
  </si>
  <si>
    <t>SELL0074</t>
  </si>
  <si>
    <t>PROD00229</t>
  </si>
  <si>
    <t>Makeup Sponge Pack Orange</t>
  </si>
  <si>
    <t>PROD00230</t>
  </si>
  <si>
    <t>Face mask peel-off orange 3 pack</t>
  </si>
  <si>
    <t>SELL0075</t>
  </si>
  <si>
    <t>PROD00231</t>
  </si>
  <si>
    <t>Jewellery Box Pink</t>
  </si>
  <si>
    <t>PROD00232</t>
  </si>
  <si>
    <t>BBQ - Charcoal</t>
  </si>
  <si>
    <t>PROD00233</t>
  </si>
  <si>
    <t>Educational Puzzle - Farm Animals</t>
  </si>
  <si>
    <t>PROD00234</t>
  </si>
  <si>
    <t>Wool Beanie - Navy</t>
  </si>
  <si>
    <t>PROD00235</t>
  </si>
  <si>
    <t>Wool Beanie - Blue</t>
  </si>
  <si>
    <t>PROD00236</t>
  </si>
  <si>
    <t>Wool Beanie - Black</t>
  </si>
  <si>
    <t>PROD00237</t>
  </si>
  <si>
    <t>Ballpoint pen 6 pack</t>
  </si>
  <si>
    <t>SELL0076</t>
  </si>
  <si>
    <t>PROD00238</t>
  </si>
  <si>
    <t>Skipping Rope</t>
  </si>
  <si>
    <t>PROD00239</t>
  </si>
  <si>
    <t>Heat Therapy Pad Reusable</t>
  </si>
  <si>
    <t>PROD00240</t>
  </si>
  <si>
    <t>Garden Ornament Frog</t>
  </si>
  <si>
    <t>SELL0077</t>
  </si>
  <si>
    <t>PROD00241</t>
  </si>
  <si>
    <t>Highlighter Set Red Pens</t>
  </si>
  <si>
    <t>SELL0078</t>
  </si>
  <si>
    <t>PROD00242</t>
  </si>
  <si>
    <t>gold Necklace stars</t>
  </si>
  <si>
    <t>PROD00243</t>
  </si>
  <si>
    <t>Board Markers - 6 pack</t>
  </si>
  <si>
    <t>PROD00244</t>
  </si>
  <si>
    <t>Spa Pamper Gift Set Relaxing Calm</t>
  </si>
  <si>
    <t>PROD00245</t>
  </si>
  <si>
    <t>HD Webcam Computer</t>
  </si>
  <si>
    <t>PROD00246</t>
  </si>
  <si>
    <t>Charm Bracelet</t>
  </si>
  <si>
    <t>PROD00247</t>
  </si>
  <si>
    <t>Bubble Maker Machine</t>
  </si>
  <si>
    <t>SELL0079</t>
  </si>
  <si>
    <t>PROD00248</t>
  </si>
  <si>
    <t>Rose Water Facial Toner</t>
  </si>
  <si>
    <t>PROD00249</t>
  </si>
  <si>
    <t>Tea Lovers Hamper</t>
  </si>
  <si>
    <t>SELL0080</t>
  </si>
  <si>
    <t>PROD00250</t>
  </si>
  <si>
    <t>Highlighter 4pc Yellow</t>
  </si>
  <si>
    <t>PROD00251</t>
  </si>
  <si>
    <t>Waterproof Picnic Mat Pattern</t>
  </si>
  <si>
    <t>SELL0081</t>
  </si>
  <si>
    <t>PROD00252</t>
  </si>
  <si>
    <t>Men’s Chino Shorts M</t>
  </si>
  <si>
    <t>PROD00253</t>
  </si>
  <si>
    <t>Milk Chocolate Selection Box</t>
  </si>
  <si>
    <t>PROD00254</t>
  </si>
  <si>
    <t>Charm Bracelet 3 charms silver</t>
  </si>
  <si>
    <t>PROD00255</t>
  </si>
  <si>
    <t>Wood Chips - Hickory</t>
  </si>
  <si>
    <t>PROD00256</t>
  </si>
  <si>
    <t>Disposible Mini Grill</t>
  </si>
  <si>
    <t>PROD00257</t>
  </si>
  <si>
    <t>Face Mist Vitamin E</t>
  </si>
  <si>
    <t>SELL0082</t>
  </si>
  <si>
    <t>PROD00258</t>
  </si>
  <si>
    <t>Luxury Makeup Sponge Blend</t>
  </si>
  <si>
    <t>PROD00259</t>
  </si>
  <si>
    <t>Hair Strengthening Mask shea butter</t>
  </si>
  <si>
    <t>PROD00260</t>
  </si>
  <si>
    <t>Aloe Vera Gel 150ml</t>
  </si>
  <si>
    <t>SELL0083</t>
  </si>
  <si>
    <t>PROD00261</t>
  </si>
  <si>
    <t>Aloe Vera Gel 200ml</t>
  </si>
  <si>
    <t>PROD00262</t>
  </si>
  <si>
    <t>Vitamin C Serum 50ml</t>
  </si>
  <si>
    <t>PROD00263</t>
  </si>
  <si>
    <t>Memory Foam Pillow Medium Firm x 2</t>
  </si>
  <si>
    <t>PROD00264</t>
  </si>
  <si>
    <t>SELL0084</t>
  </si>
  <si>
    <t>PROD00265</t>
  </si>
  <si>
    <t>Vitamin C Serum 30ml</t>
  </si>
  <si>
    <t>PROD00266</t>
  </si>
  <si>
    <t>Body Wash - Raspberry</t>
  </si>
  <si>
    <t>PROD00267</t>
  </si>
  <si>
    <t>PROD00268</t>
  </si>
  <si>
    <t>Vitamin C Serum 200ml</t>
  </si>
  <si>
    <t>SELL0085</t>
  </si>
  <si>
    <t>PROD00269</t>
  </si>
  <si>
    <t>PROD00270</t>
  </si>
  <si>
    <t>Reusable Ice Pack (2 pack) (Grey)</t>
  </si>
  <si>
    <t>SELL0086</t>
  </si>
  <si>
    <t>PROD00271</t>
  </si>
  <si>
    <t>Aloe Vera Gel 200ml 2 pack</t>
  </si>
  <si>
    <t>PROD00272</t>
  </si>
  <si>
    <t>Aloe Vera Gel 150ml 2 pack</t>
  </si>
  <si>
    <t>PROD00273</t>
  </si>
  <si>
    <t>Denim Shirt L</t>
  </si>
  <si>
    <t>PROD00274</t>
  </si>
  <si>
    <t>Cotton T‑Shirt Green S</t>
  </si>
  <si>
    <t>PROD00275</t>
  </si>
  <si>
    <t>Denim S Child</t>
  </si>
  <si>
    <t>PROD00276</t>
  </si>
  <si>
    <t>Men’s Chino Shorts XL</t>
  </si>
  <si>
    <t>PROD00277</t>
  </si>
  <si>
    <t>Cotton T Black Small</t>
  </si>
  <si>
    <t>PROD00278</t>
  </si>
  <si>
    <t>Unisex Hoodie - Yellow M</t>
  </si>
  <si>
    <t>PROD00279</t>
  </si>
  <si>
    <t>Wool Beanie - Yellow</t>
  </si>
  <si>
    <t>PROD00280</t>
  </si>
  <si>
    <t>Wool Beanie - White</t>
  </si>
  <si>
    <t>PROD00281</t>
  </si>
  <si>
    <t>Rain Jacket Light Blue</t>
  </si>
  <si>
    <t>PROD00282</t>
  </si>
  <si>
    <t>Kids Cotton Pyjamas 3-5y</t>
  </si>
  <si>
    <t>PROD00283</t>
  </si>
  <si>
    <t>Kids Cotton Pyjamas 6-8y</t>
  </si>
  <si>
    <t>PROD00284</t>
  </si>
  <si>
    <t>Kids Cotton Pyjamas 9-11y</t>
  </si>
  <si>
    <t>PROD00285</t>
  </si>
  <si>
    <t>Women’s Active Leggings (Black)</t>
  </si>
  <si>
    <t>PROD00286</t>
  </si>
  <si>
    <t>Women’s Active Leggings (Yellow)</t>
  </si>
  <si>
    <t>PROD00287</t>
  </si>
  <si>
    <t>Women’s Active Leggings (Blue)</t>
  </si>
  <si>
    <t>PROD00288</t>
  </si>
  <si>
    <t>Women’s Active Leggings (Grey)</t>
  </si>
  <si>
    <t>PROD00289</t>
  </si>
  <si>
    <t>Unisex Hoodie - Grey L</t>
  </si>
  <si>
    <t>PROD00290</t>
  </si>
  <si>
    <t>Unisex Hoodie - Yellow L</t>
  </si>
  <si>
    <t>PROD00291</t>
  </si>
  <si>
    <t>Wireless Keyboard QWERTY</t>
  </si>
  <si>
    <t>SELL0087</t>
  </si>
  <si>
    <t>PROD00292</t>
  </si>
  <si>
    <t>Portable Power Bank 20000mAh</t>
  </si>
  <si>
    <t>PROD00293</t>
  </si>
  <si>
    <t>Smart Light Bulb</t>
  </si>
  <si>
    <t>PROD00294</t>
  </si>
  <si>
    <t>Wireless Bluetooht Earphones</t>
  </si>
  <si>
    <t>PROD00295</t>
  </si>
  <si>
    <t>HD Webcam 1080p USB Desktop ring light new edition</t>
  </si>
  <si>
    <t>PROD00296</t>
  </si>
  <si>
    <t>HD Webcam 1080p USB Desktop</t>
  </si>
  <si>
    <t>PROD00297</t>
  </si>
  <si>
    <t>PROD00298</t>
  </si>
  <si>
    <t>Smart Home Hub (Navy) 2023</t>
  </si>
  <si>
    <t>PROD00299</t>
  </si>
  <si>
    <t>PROD00300</t>
  </si>
  <si>
    <t>Smart LED Light Bulb</t>
  </si>
  <si>
    <t>PROD00301</t>
  </si>
  <si>
    <t>PROD00302</t>
  </si>
  <si>
    <t>PROD00303</t>
  </si>
  <si>
    <t>Smart Home Hub (Green) 2023</t>
  </si>
  <si>
    <t>PROD00304</t>
  </si>
  <si>
    <t>PROD00305</t>
  </si>
  <si>
    <t>Smart Home Hub (Black) 2023</t>
  </si>
  <si>
    <t>PROD00306</t>
  </si>
  <si>
    <t>PROD00307</t>
  </si>
  <si>
    <t>Noise Cancelling Headphones (Blue)</t>
  </si>
  <si>
    <t>SELL0088</t>
  </si>
  <si>
    <t>PROD00308</t>
  </si>
  <si>
    <t>Noise Cancelling Headphones (Red)</t>
  </si>
  <si>
    <t>PROD00309</t>
  </si>
  <si>
    <t>Noise Cancelling Headphones (Yellow)</t>
  </si>
  <si>
    <t>PROD00310</t>
  </si>
  <si>
    <t>Noise Cancelling Headphones (Green)</t>
  </si>
  <si>
    <t>PROD00311</t>
  </si>
  <si>
    <t>Noise Cancelling Headphones (White)</t>
  </si>
  <si>
    <t>PROD00312</t>
  </si>
  <si>
    <t>PROD00313</t>
  </si>
  <si>
    <t>Noise Cancelling Headphones (Black)</t>
  </si>
  <si>
    <t>PROD00314</t>
  </si>
  <si>
    <t>PROD00315</t>
  </si>
  <si>
    <t>Portable Power Bank 10,000mAh (Navy)</t>
  </si>
  <si>
    <t>PROD00316</t>
  </si>
  <si>
    <t>Portable Power Bank 10,000mAh (White)</t>
  </si>
  <si>
    <t>PROD00317</t>
  </si>
  <si>
    <t>Candle Trio Gift Set Jasmine</t>
  </si>
  <si>
    <t>PROD00318</t>
  </si>
  <si>
    <t>Candle Trio Gift Set Rose</t>
  </si>
  <si>
    <t>PROD00319</t>
  </si>
  <si>
    <t>Spa Pamper Gift Set Fruity Mix</t>
  </si>
  <si>
    <t>PROD00320</t>
  </si>
  <si>
    <t>Mini Plant Starter Kit (Lily)</t>
  </si>
  <si>
    <t>PROD00321</t>
  </si>
  <si>
    <t>Tea Lovers Hamper Darjelling</t>
  </si>
  <si>
    <t>PROD00322</t>
  </si>
  <si>
    <t>Bath Bomb Variety Pack (Rose lavender)</t>
  </si>
  <si>
    <t>PROD00323</t>
  </si>
  <si>
    <t>White Chocolate Selection Box</t>
  </si>
  <si>
    <t>PROD00324</t>
  </si>
  <si>
    <t>Mini Plant Starter Kit (Diasy)</t>
  </si>
  <si>
    <t>PROD00325</t>
  </si>
  <si>
    <t>Skincare Gift Set Exfoliating</t>
  </si>
  <si>
    <t>PROD00326</t>
  </si>
  <si>
    <t>Luxury Skincare Set Moisturiser Bath Bomb</t>
  </si>
  <si>
    <t>PROD00327</t>
  </si>
  <si>
    <t>Fruity Mango Bath Gel Gift Set</t>
  </si>
  <si>
    <t>PROD00328</t>
  </si>
  <si>
    <t>Baby Shower Gift Bundle (Pink)</t>
  </si>
  <si>
    <t>PROD00329</t>
  </si>
  <si>
    <t>Cotton Bath Towel Set (Pink 4 pcs)</t>
  </si>
  <si>
    <t>PROD00330</t>
  </si>
  <si>
    <t>Vase Ceramic Sand Finish Navy</t>
  </si>
  <si>
    <t>PROD00331</t>
  </si>
  <si>
    <t>Baby Shower Gift Bundle (Blue)</t>
  </si>
  <si>
    <t>PROD00332</t>
  </si>
  <si>
    <t>Baby Shower Gift Bundle (Yellow)</t>
  </si>
  <si>
    <t>PROD00333</t>
  </si>
  <si>
    <t>Mens Cologne Gift Set Tester Bottles</t>
  </si>
  <si>
    <t>PROD00334</t>
  </si>
  <si>
    <t>Blood Pressure Monitor bluetooth</t>
  </si>
  <si>
    <t>SELL0089</t>
  </si>
  <si>
    <t>PROD00335</t>
  </si>
  <si>
    <t>Reusable Ice Pack (4 pack) Blue</t>
  </si>
  <si>
    <t>PROD00336</t>
  </si>
  <si>
    <t>Smartwatch Health Tracking</t>
  </si>
  <si>
    <t>PROD00337</t>
  </si>
  <si>
    <t>Yoga Mat - 10mm Thick (Green)</t>
  </si>
  <si>
    <t>PROD00338</t>
  </si>
  <si>
    <t>Yoga Mat - 10mm Thick (White)</t>
  </si>
  <si>
    <t>PROD00339</t>
  </si>
  <si>
    <t>PROD00340</t>
  </si>
  <si>
    <t>Adjustable Dumbbell 10kg</t>
  </si>
  <si>
    <t>PROD00341</t>
  </si>
  <si>
    <t>Adjustable Dumbbell 8kg</t>
  </si>
  <si>
    <t>PROD00342</t>
  </si>
  <si>
    <t>Adjustable Dumbbell 12kg</t>
  </si>
  <si>
    <t>PROD00343</t>
  </si>
  <si>
    <t>Adjustable Dumbbell 20kg</t>
  </si>
  <si>
    <t>PROD00344</t>
  </si>
  <si>
    <t>Adjustable Dumbbell 25kg</t>
  </si>
  <si>
    <t>PROD00345</t>
  </si>
  <si>
    <t>Protein Shaker Bottle 600ml</t>
  </si>
  <si>
    <t>PROD00346</t>
  </si>
  <si>
    <t>Protein Shaker Bottle 500ml</t>
  </si>
  <si>
    <t>PROD00347</t>
  </si>
  <si>
    <t>Foam Roller - Firm Blue</t>
  </si>
  <si>
    <t>PROD00348</t>
  </si>
  <si>
    <t>PROD00349</t>
  </si>
  <si>
    <t>Hydrating Face Mist Vitamin E</t>
  </si>
  <si>
    <t>PROD00350</t>
  </si>
  <si>
    <t>Nail Polish - Midnight Sky</t>
  </si>
  <si>
    <t>PROD00351</t>
  </si>
  <si>
    <t>Aloe Vera Gel 500ml</t>
  </si>
  <si>
    <t>PROD00352</t>
  </si>
  <si>
    <t>Protein Shaker Bottle 400ml</t>
  </si>
  <si>
    <t>PROD00353</t>
  </si>
  <si>
    <t>Reusable Ice Pack (2 pack) (Green)</t>
  </si>
  <si>
    <t>SELL0090</t>
  </si>
  <si>
    <t>PROD00354</t>
  </si>
  <si>
    <t>Foam Roller - Firm Black</t>
  </si>
  <si>
    <t>PROD00355</t>
  </si>
  <si>
    <t>Foam Roller - Firm Red</t>
  </si>
  <si>
    <t>PROD00356</t>
  </si>
  <si>
    <t>Foam Roller - Firm Green</t>
  </si>
  <si>
    <t>PROD00357</t>
  </si>
  <si>
    <t>Reusable Ice Pack (2 pack) (Blue)</t>
  </si>
  <si>
    <t>PROD00358</t>
  </si>
  <si>
    <t>PROD00359</t>
  </si>
  <si>
    <t>Indoor Plant Pot - XL</t>
  </si>
  <si>
    <t>PROD00360</t>
  </si>
  <si>
    <t>Silicone Laundry Basket - White</t>
  </si>
  <si>
    <t>PROD00361</t>
  </si>
  <si>
    <t>Sports Flask 500ml</t>
  </si>
  <si>
    <t>PROD00362</t>
  </si>
  <si>
    <t>Memory Foam Pillow Medium Firm</t>
  </si>
  <si>
    <t>PROD00363</t>
  </si>
  <si>
    <t>Memory Foam Pillow Firm x 2</t>
  </si>
  <si>
    <t>PROD00364</t>
  </si>
  <si>
    <t>Beeswax Candle - Mint Rosemary</t>
  </si>
  <si>
    <t>PROD00365</t>
  </si>
  <si>
    <t>Cotton Bath Towels Navy</t>
  </si>
  <si>
    <t>PROD00366</t>
  </si>
  <si>
    <t>Glass Serving Bowl Pattern Bubble</t>
  </si>
  <si>
    <t>PROD00367</t>
  </si>
  <si>
    <t>LED Floor Lamp Battery</t>
  </si>
  <si>
    <t>PROD00368</t>
  </si>
  <si>
    <t>Ceramic Vase Grey Sand</t>
  </si>
  <si>
    <t>PROD00369</t>
  </si>
  <si>
    <t>Rug 200cm x 180cm</t>
  </si>
  <si>
    <t>PROD00370</t>
  </si>
  <si>
    <t>Rug 200cm x 220cm</t>
  </si>
  <si>
    <t>PROD00371</t>
  </si>
  <si>
    <t>Rug 120cm x 200cm</t>
  </si>
  <si>
    <t>PROD00372</t>
  </si>
  <si>
    <t>Rug 220cm x 250cm</t>
  </si>
  <si>
    <t>PROD00373</t>
  </si>
  <si>
    <t>Rug 100cm x 250cm</t>
  </si>
  <si>
    <t>PROD00374</t>
  </si>
  <si>
    <t>Portable Camping Chair (Yellow)</t>
  </si>
  <si>
    <t>PROD00375</t>
  </si>
  <si>
    <t>Scented Soy Candle - Oud</t>
  </si>
  <si>
    <t>PROD00376</t>
  </si>
  <si>
    <t>PROD00377</t>
  </si>
  <si>
    <t>Adjustable Dumbbell 15kg</t>
  </si>
  <si>
    <t>PROD00378</t>
  </si>
  <si>
    <t>LED Floor Lamp</t>
  </si>
  <si>
    <t>PROD00379</t>
  </si>
  <si>
    <t>SELL0091</t>
  </si>
  <si>
    <t>PROD00380</t>
  </si>
  <si>
    <t>PROD00381</t>
  </si>
  <si>
    <t>PROD00382</t>
  </si>
  <si>
    <t>PROD00383</t>
  </si>
  <si>
    <t>Weighted Blanket 7kg</t>
  </si>
  <si>
    <t>PROD00384</t>
  </si>
  <si>
    <t>Weighted Blanket 20kg</t>
  </si>
  <si>
    <t>PROD00385</t>
  </si>
  <si>
    <t>Weighted Blanket 8kg</t>
  </si>
  <si>
    <t>PROD00386</t>
  </si>
  <si>
    <t>Weighted Blanket 5kg</t>
  </si>
  <si>
    <t>PROD00387</t>
  </si>
  <si>
    <t>Decorative Cushion - Blue 60 x 60</t>
  </si>
  <si>
    <t>PROD00388</t>
  </si>
  <si>
    <t>Memory Foam Pillow Firm</t>
  </si>
  <si>
    <t>PROD00389</t>
  </si>
  <si>
    <t>Decorative Cushion - Navy 60 x 60</t>
  </si>
  <si>
    <t>PROD00390</t>
  </si>
  <si>
    <t>PROD00391</t>
  </si>
  <si>
    <t>Soy Candle Environmentally Friendly Rose</t>
  </si>
  <si>
    <t>PROD00392</t>
  </si>
  <si>
    <t>Jewellery Box White Oak</t>
  </si>
  <si>
    <t>PROD00393</t>
  </si>
  <si>
    <t>Ring Set (Rose Gold)</t>
  </si>
  <si>
    <t>SELL0092</t>
  </si>
  <si>
    <t>PROD00394</t>
  </si>
  <si>
    <t>Crystal Earrings Stud</t>
  </si>
  <si>
    <t>PROD00395</t>
  </si>
  <si>
    <t>Gold-plated Hoop Earrings Pierced</t>
  </si>
  <si>
    <t>PROD00396</t>
  </si>
  <si>
    <t>Minimalist Ring Set (Rose Gold)</t>
  </si>
  <si>
    <t>PROD00397</t>
  </si>
  <si>
    <t>Anklet - Silver Tone</t>
  </si>
  <si>
    <t>PROD00398</t>
  </si>
  <si>
    <t>Pendant Necklace - Silver</t>
  </si>
  <si>
    <t>PROD00399</t>
  </si>
  <si>
    <t>Gold-plated Hoop Earrings 8mm</t>
  </si>
  <si>
    <t>PROD00400</t>
  </si>
  <si>
    <t>Gold-plated Hoop Earrings 4mm</t>
  </si>
  <si>
    <t>PROD00401</t>
  </si>
  <si>
    <t>Gold-plated Hoop Earrings 5mm</t>
  </si>
  <si>
    <t>PROD00402</t>
  </si>
  <si>
    <t>Gold-plated Hoop Earrings Crystal Clip</t>
  </si>
  <si>
    <t>PROD00403</t>
  </si>
  <si>
    <t>Garden Ornament Gnome Red Spots</t>
  </si>
  <si>
    <t>PROD00404</t>
  </si>
  <si>
    <t>BBQ Meat Thermometer Bluetooth</t>
  </si>
  <si>
    <t>PROD00405</t>
  </si>
  <si>
    <t>Turtle Ornament Garden</t>
  </si>
  <si>
    <t>PROD00406</t>
  </si>
  <si>
    <t>Solar Garden Light Set</t>
  </si>
  <si>
    <t>PROD00407</t>
  </si>
  <si>
    <t>Bamboo Picnic Rug Recycled Material</t>
  </si>
  <si>
    <t>PROD00408</t>
  </si>
  <si>
    <t>BBQ Meat Thermometer WiFi</t>
  </si>
  <si>
    <t>PROD00409</t>
  </si>
  <si>
    <t>Portable Camping Chair (Blue)</t>
  </si>
  <si>
    <t>PROD00410</t>
  </si>
  <si>
    <t>PROD00411</t>
  </si>
  <si>
    <t>Portable Camping Chair (Red)</t>
  </si>
  <si>
    <t>SELL0093</t>
  </si>
  <si>
    <t>PROD00412</t>
  </si>
  <si>
    <t>Portable Camping Chair (Green)</t>
  </si>
  <si>
    <t>PROD00413</t>
  </si>
  <si>
    <t>Camping Kettle 5L Green</t>
  </si>
  <si>
    <t>PROD00414</t>
  </si>
  <si>
    <t>Camping Kettle 2L Navy</t>
  </si>
  <si>
    <t>PROD00415</t>
  </si>
  <si>
    <t>Camping Kettle 5L Red</t>
  </si>
  <si>
    <t>PROD00416</t>
  </si>
  <si>
    <t>Camping Kettle 5L Navy</t>
  </si>
  <si>
    <t>PROD00417</t>
  </si>
  <si>
    <t>Camping Kettle 2L Black</t>
  </si>
  <si>
    <t>PROD00418</t>
  </si>
  <si>
    <t>Building Blocks 100 pcs</t>
  </si>
  <si>
    <t>PROD00419</t>
  </si>
  <si>
    <t>Building Blocks 600 pcs</t>
  </si>
  <si>
    <t>PROD00420</t>
  </si>
  <si>
    <t>BBQ Apron - Black</t>
  </si>
  <si>
    <t>PROD00421</t>
  </si>
  <si>
    <t>paddling pool blue inflatable fishes</t>
  </si>
  <si>
    <t>PROD00422</t>
  </si>
  <si>
    <t>Beach Umbrella - UV50+ Floral</t>
  </si>
  <si>
    <t>PROD00423</t>
  </si>
  <si>
    <t>BBQ Apron - Red</t>
  </si>
  <si>
    <t>PROD00424</t>
  </si>
  <si>
    <t>Stainless Steel BBQ Tools Set (Navy)</t>
  </si>
  <si>
    <t>PROD00425</t>
  </si>
  <si>
    <t>Stainless Steel BBQ Tools Set (Grey)</t>
  </si>
  <si>
    <t>PROD00426</t>
  </si>
  <si>
    <t>Stainless Steel BBQ Tools Set (Green)</t>
  </si>
  <si>
    <t>PROD00427</t>
  </si>
  <si>
    <t>Compact Hiking Backpack 20L (Black)</t>
  </si>
  <si>
    <t>PROD00428</t>
  </si>
  <si>
    <t>Compact Hiking Backpack 20L (Blue)</t>
  </si>
  <si>
    <t>PROD00429</t>
  </si>
  <si>
    <t>Garden Hose 50m (Green)</t>
  </si>
  <si>
    <t>PROD00430</t>
  </si>
  <si>
    <t>Garden Hose 50m (Grey)</t>
  </si>
  <si>
    <t>PROD00431</t>
  </si>
  <si>
    <t>Garden Hose 20m (Grey)</t>
  </si>
  <si>
    <t>PROD00432</t>
  </si>
  <si>
    <t>Garden Hose 20m (Green)</t>
  </si>
  <si>
    <t>PROD00433</t>
  </si>
  <si>
    <t>Hand Grip Strengthener (Yellow)</t>
  </si>
  <si>
    <t>PROD00434</t>
  </si>
  <si>
    <t>Hand Grip Strengthener (Grey)</t>
  </si>
  <si>
    <t>PROD00435</t>
  </si>
  <si>
    <t>Hand Grip Strengthener (Red)</t>
  </si>
  <si>
    <t>PROD00436</t>
  </si>
  <si>
    <t>Hand Grip Strengthener (Blue)</t>
  </si>
  <si>
    <t>PROD00437</t>
  </si>
  <si>
    <t>BBQ Grill Mat - Non‑stick (Red)</t>
  </si>
  <si>
    <t>PROD00438</t>
  </si>
  <si>
    <t>BBQ Grill Mat - Non‑stick (Navy)</t>
  </si>
  <si>
    <t>PROD00439</t>
  </si>
  <si>
    <t>BBQ Grill Mat - Non‑stick (Blue)</t>
  </si>
  <si>
    <t>PROD00440</t>
  </si>
  <si>
    <t>BBQ Grill Mat - Non‑stick (Grey)</t>
  </si>
  <si>
    <t>SELL0094</t>
  </si>
  <si>
    <t>PROD00441</t>
  </si>
  <si>
    <t>Waterproof Picnic Mat</t>
  </si>
  <si>
    <t>PROD00442</t>
  </si>
  <si>
    <t>PROD00443</t>
  </si>
  <si>
    <t>BBQ Apron - Blue</t>
  </si>
  <si>
    <t>PROD00444</t>
  </si>
  <si>
    <t>Stainless Steel Grill Basket</t>
  </si>
  <si>
    <t>PROD00445</t>
  </si>
  <si>
    <t>PROD00446</t>
  </si>
  <si>
    <t>Metal Ruler 30cm (Blue)</t>
  </si>
  <si>
    <t>PROD00447</t>
  </si>
  <si>
    <t>Weekly Planner Pad</t>
  </si>
  <si>
    <t>PROD00448</t>
  </si>
  <si>
    <t>Sticky Notes Cube 200pc</t>
  </si>
  <si>
    <t>PROD00449</t>
  </si>
  <si>
    <t>A5 Notebook - Lined</t>
  </si>
  <si>
    <t>PROD00450</t>
  </si>
  <si>
    <t>Gel Pen Set - 10 pack (Blue)</t>
  </si>
  <si>
    <t>PROD00451</t>
  </si>
  <si>
    <t>Gel Pen Set - 4 pack (Black)</t>
  </si>
  <si>
    <t>PROD00452</t>
  </si>
  <si>
    <t>Gel Pen Set - 10 pack (Black)</t>
  </si>
  <si>
    <t>PROD00453</t>
  </si>
  <si>
    <t>Premium Pencil Case (Black)</t>
  </si>
  <si>
    <t>SELL0095</t>
  </si>
  <si>
    <t>PROD00454</t>
  </si>
  <si>
    <t>Premium Pencil Case (Green)</t>
  </si>
  <si>
    <t>PROD00455</t>
  </si>
  <si>
    <t>Remote Control Car Vroom Noise</t>
  </si>
  <si>
    <t>PROD00456</t>
  </si>
  <si>
    <t>Plush Zebra Toy</t>
  </si>
  <si>
    <t>PROD00457</t>
  </si>
  <si>
    <t>building blocks 800 pc</t>
  </si>
  <si>
    <t>PROD00458</t>
  </si>
  <si>
    <t>Talking doll happy smile matching outfit</t>
  </si>
  <si>
    <t>PROD00459</t>
  </si>
  <si>
    <t>PROD00460</t>
  </si>
  <si>
    <t>Kids Paint Kit (Green)</t>
  </si>
  <si>
    <t>PROD00461</t>
  </si>
  <si>
    <t>PROD00462</t>
  </si>
  <si>
    <t>product_price</t>
  </si>
  <si>
    <t>seller_user</t>
  </si>
  <si>
    <t>product_quantity</t>
  </si>
  <si>
    <t>product_revenue</t>
  </si>
  <si>
    <t>Sum of product_revenue</t>
  </si>
  <si>
    <t>Sum of product_quantity</t>
  </si>
  <si>
    <t>1bt8plshsf</t>
  </si>
  <si>
    <t>3n2ybcn0e4</t>
  </si>
  <si>
    <t>7e16xoz37j</t>
  </si>
  <si>
    <t>7ti9lfa6h5</t>
  </si>
  <si>
    <t>abracadabra_002</t>
  </si>
  <si>
    <t>au6ynzdcy5</t>
  </si>
  <si>
    <t>b8iv8o4c65</t>
  </si>
  <si>
    <t>barbievend</t>
  </si>
  <si>
    <t>beautifullhome</t>
  </si>
  <si>
    <t>beautifullife472</t>
  </si>
  <si>
    <t>beauty490</t>
  </si>
  <si>
    <t>beauty4everyone</t>
  </si>
  <si>
    <t>Grand Total</t>
  </si>
  <si>
    <t>blessedforall</t>
  </si>
  <si>
    <t>bootsandcamping</t>
  </si>
  <si>
    <t>brizzy_bonanza_48</t>
  </si>
  <si>
    <t>buildmydream</t>
  </si>
  <si>
    <t>buydongxi25</t>
  </si>
  <si>
    <t>buyeverything-1</t>
  </si>
  <si>
    <t>buyingtime</t>
  </si>
  <si>
    <t>cheapandgood27</t>
  </si>
  <si>
    <t>cleaning_out_my_shed</t>
  </si>
  <si>
    <t>clothes832</t>
  </si>
  <si>
    <t>clothesforlife</t>
  </si>
  <si>
    <t>compradadonut</t>
  </si>
  <si>
    <t>cpghfp370y</t>
  </si>
  <si>
    <t>darwin_beauty</t>
  </si>
  <si>
    <t>doorsyout</t>
  </si>
  <si>
    <t>dress4beauty</t>
  </si>
  <si>
    <t>dr-green</t>
  </si>
  <si>
    <t>ELEC25B</t>
  </si>
  <si>
    <t>electrowave</t>
  </si>
  <si>
    <t>everything_nmore</t>
  </si>
  <si>
    <t>excelinall</t>
  </si>
  <si>
    <t>feelgood_attire</t>
  </si>
  <si>
    <t>find_what_u_need</t>
  </si>
  <si>
    <t>fq9rb8o3qr</t>
  </si>
  <si>
    <t>fungamesandtoys</t>
  </si>
  <si>
    <t>g5x9v55sct</t>
  </si>
  <si>
    <t>g9x1rt9dw8</t>
  </si>
  <si>
    <t>gardenandco</t>
  </si>
  <si>
    <t>general-goods</t>
  </si>
  <si>
    <t>generalstuff</t>
  </si>
  <si>
    <t>glitterymagpie</t>
  </si>
  <si>
    <t>goodqualityemporium</t>
  </si>
  <si>
    <t>goodsahoy</t>
  </si>
  <si>
    <t>healthcarehelp</t>
  </si>
  <si>
    <t>healthway</t>
  </si>
  <si>
    <t>hill25doors</t>
  </si>
  <si>
    <t>hobbylobby</t>
  </si>
  <si>
    <t>home458</t>
  </si>
  <si>
    <t>homeandaways</t>
  </si>
  <si>
    <t>homedeliver</t>
  </si>
  <si>
    <t>housenice</t>
  </si>
  <si>
    <t>jane-outside</t>
  </si>
  <si>
    <t>jy9binq4v9</t>
  </si>
  <si>
    <t>keepwells</t>
  </si>
  <si>
    <t>ky7urd3k6y</t>
  </si>
  <si>
    <t>lfmk805jw2</t>
  </si>
  <si>
    <t>liz1974</t>
  </si>
  <si>
    <t>maddie-sells</t>
  </si>
  <si>
    <t>makeupped</t>
  </si>
  <si>
    <t>millies-outdoor-shop</t>
  </si>
  <si>
    <t>new-south-sales</t>
  </si>
  <si>
    <t>nhlay6j49a</t>
  </si>
  <si>
    <t>outer40</t>
  </si>
  <si>
    <t>outhomelovely</t>
  </si>
  <si>
    <t>pensandthings</t>
  </si>
  <si>
    <t>peterpiper</t>
  </si>
  <si>
    <t>pyrurodqk4</t>
  </si>
  <si>
    <t>queenslandqweenie</t>
  </si>
  <si>
    <t>r6vd2aojq8</t>
  </si>
  <si>
    <t>s22ods7z5m</t>
  </si>
  <si>
    <t>shop689</t>
  </si>
  <si>
    <t>springlesprungle3</t>
  </si>
  <si>
    <t>staion-bonanza</t>
  </si>
  <si>
    <t>storeshop</t>
  </si>
  <si>
    <t>stuff-on-sale</t>
  </si>
  <si>
    <t>swanium</t>
  </si>
  <si>
    <t>toybuy</t>
  </si>
  <si>
    <t>toymajoy</t>
  </si>
  <si>
    <t>toysyay</t>
  </si>
  <si>
    <t>trueyou55</t>
  </si>
  <si>
    <t>uqcoiiv4s9</t>
  </si>
  <si>
    <t>w71bv3mee1</t>
  </si>
  <si>
    <t>wcs62ctlxh</t>
  </si>
  <si>
    <t>wearitall</t>
  </si>
  <si>
    <t>zmkizlf6t6</t>
  </si>
  <si>
    <t>(blank)</t>
  </si>
  <si>
    <t>seller_name</t>
  </si>
  <si>
    <t>seller_surname</t>
  </si>
  <si>
    <t>seller_email</t>
  </si>
  <si>
    <t>seller_area</t>
  </si>
  <si>
    <t>seller_state</t>
  </si>
  <si>
    <t>Mariah</t>
  </si>
  <si>
    <t>Davila</t>
  </si>
  <si>
    <t>mdavila8@gmail.com</t>
  </si>
  <si>
    <t>Cloncurry</t>
  </si>
  <si>
    <t>VIC</t>
  </si>
  <si>
    <t>Row Labels</t>
  </si>
  <si>
    <t>Count of seller_id</t>
  </si>
  <si>
    <t>wan-yifu</t>
  </si>
  <si>
    <t>Li</t>
  </si>
  <si>
    <t>Mei</t>
  </si>
  <si>
    <t>lmei@hotmail.com</t>
  </si>
  <si>
    <t>Adelaide</t>
  </si>
  <si>
    <t>SA</t>
  </si>
  <si>
    <t>ACT</t>
  </si>
  <si>
    <t>electroshop</t>
  </si>
  <si>
    <t>Persephone</t>
  </si>
  <si>
    <t>Horne</t>
  </si>
  <si>
    <t>electroshop@aol.com</t>
  </si>
  <si>
    <t>Albany</t>
  </si>
  <si>
    <t>WA</t>
  </si>
  <si>
    <t>NSW</t>
  </si>
  <si>
    <t>nol6svwlnf</t>
  </si>
  <si>
    <t>Zee</t>
  </si>
  <si>
    <t>Dodson</t>
  </si>
  <si>
    <t>nol6svwlnf@optusnet.com.au</t>
  </si>
  <si>
    <t>Gawler</t>
  </si>
  <si>
    <t>NT</t>
  </si>
  <si>
    <t>Etta</t>
  </si>
  <si>
    <t>Conway</t>
  </si>
  <si>
    <t>ett-conway72@gmail.com</t>
  </si>
  <si>
    <t>Launceston</t>
  </si>
  <si>
    <t>TAS</t>
  </si>
  <si>
    <t>QLD</t>
  </si>
  <si>
    <t>Oliver</t>
  </si>
  <si>
    <t>Flowers</t>
  </si>
  <si>
    <t>oflowers7@microsoft.com</t>
  </si>
  <si>
    <t>Bendigo</t>
  </si>
  <si>
    <t>healthy_habits</t>
  </si>
  <si>
    <t>Ariya</t>
  </si>
  <si>
    <t>Harmon</t>
  </si>
  <si>
    <t>healthy_habits@gmail.com</t>
  </si>
  <si>
    <t>Townsville</t>
  </si>
  <si>
    <t>Peter</t>
  </si>
  <si>
    <t>Stafford</t>
  </si>
  <si>
    <t>peter-stafford1982@gmail.com</t>
  </si>
  <si>
    <t>Winton</t>
  </si>
  <si>
    <t>Bridget</t>
  </si>
  <si>
    <t>Fisher</t>
  </si>
  <si>
    <t>bridget_fisher@microsoft.com</t>
  </si>
  <si>
    <t>Toowoomba</t>
  </si>
  <si>
    <t>Gordon</t>
  </si>
  <si>
    <t>O'Flannagan</t>
  </si>
  <si>
    <t>hobbylobby@microsoft.com</t>
  </si>
  <si>
    <t>Melbourne</t>
  </si>
  <si>
    <t>Giuliana</t>
  </si>
  <si>
    <t>Green</t>
  </si>
  <si>
    <t>ggreen@optusnet.com.au</t>
  </si>
  <si>
    <t>Brisbane</t>
  </si>
  <si>
    <t>Jane</t>
  </si>
  <si>
    <t>Little</t>
  </si>
  <si>
    <t>jane-little@gmail.com</t>
  </si>
  <si>
    <t>Kalgoorlie</t>
  </si>
  <si>
    <t>SELL0013</t>
  </si>
  <si>
    <t>slln3xj7zl</t>
  </si>
  <si>
    <t>Alice</t>
  </si>
  <si>
    <t>Daniels</t>
  </si>
  <si>
    <t>alidaniels58@gmail.com</t>
  </si>
  <si>
    <t>Xander</t>
  </si>
  <si>
    <t>Lester</t>
  </si>
  <si>
    <t>xlester@hotmail.com</t>
  </si>
  <si>
    <t>Canberra</t>
  </si>
  <si>
    <t>Averi</t>
  </si>
  <si>
    <t>Glenn</t>
  </si>
  <si>
    <t>aglenn@hotmail.com</t>
  </si>
  <si>
    <t>Newcastle</t>
  </si>
  <si>
    <t>Zaid</t>
  </si>
  <si>
    <t>Blake</t>
  </si>
  <si>
    <t>zaid-blake@gmail.com</t>
  </si>
  <si>
    <t>Strahan</t>
  </si>
  <si>
    <t>Amanda</t>
  </si>
  <si>
    <t>Doyle</t>
  </si>
  <si>
    <t>adoyle8@live.au</t>
  </si>
  <si>
    <t>Rockhampton</t>
  </si>
  <si>
    <t>Karly</t>
  </si>
  <si>
    <t>Bowers</t>
  </si>
  <si>
    <t>k.bowers@gmail.com</t>
  </si>
  <si>
    <t>Darwin</t>
  </si>
  <si>
    <t>Elisa</t>
  </si>
  <si>
    <t>Foster</t>
  </si>
  <si>
    <t>elisa_foster1993@gmail.com</t>
  </si>
  <si>
    <t>Mareeba</t>
  </si>
  <si>
    <t>Christian</t>
  </si>
  <si>
    <t>Mcdonald</t>
  </si>
  <si>
    <t>staion-bonanza@hotmail.com</t>
  </si>
  <si>
    <t>Daisy</t>
  </si>
  <si>
    <t>Cano</t>
  </si>
  <si>
    <t>dcano@hotmail.com</t>
  </si>
  <si>
    <t>Terry</t>
  </si>
  <si>
    <t>Gibbs</t>
  </si>
  <si>
    <t>tgibbs5@microsoft.com</t>
  </si>
  <si>
    <t>Bunbury</t>
  </si>
  <si>
    <t>Colin</t>
  </si>
  <si>
    <t>Curry</t>
  </si>
  <si>
    <t>c.curry@gmail.com</t>
  </si>
  <si>
    <t>Bonnie</t>
  </si>
  <si>
    <t>Hunt</t>
  </si>
  <si>
    <t>elec25b@microsoft.com</t>
  </si>
  <si>
    <t>Geelong</t>
  </si>
  <si>
    <t>Genevieve</t>
  </si>
  <si>
    <t>Grimes</t>
  </si>
  <si>
    <t>genevievegrimes2002@microsoft.com</t>
  </si>
  <si>
    <t>Harry</t>
  </si>
  <si>
    <t>Sawyer</t>
  </si>
  <si>
    <t>h.sawyer@gmail.com</t>
  </si>
  <si>
    <t>Orange</t>
  </si>
  <si>
    <t>Marina</t>
  </si>
  <si>
    <t>Delacruz</t>
  </si>
  <si>
    <t>mdelacruz9@hotmail.com</t>
  </si>
  <si>
    <t>Port Lincoln</t>
  </si>
  <si>
    <t>Archie</t>
  </si>
  <si>
    <t>Pearson</t>
  </si>
  <si>
    <t>arc-pearson56@microsoft.com</t>
  </si>
  <si>
    <t>Katherine</t>
  </si>
  <si>
    <t>Ciara</t>
  </si>
  <si>
    <t>Fletcher</t>
  </si>
  <si>
    <t>ciara-fletcher@optusnet.com.au</t>
  </si>
  <si>
    <t>Jay</t>
  </si>
  <si>
    <t>jay-davila@aol.com</t>
  </si>
  <si>
    <t>Micah</t>
  </si>
  <si>
    <t>Rewiti</t>
  </si>
  <si>
    <t>micahrewiti@gmail.com</t>
  </si>
  <si>
    <t>Raymond</t>
  </si>
  <si>
    <t>Wu</t>
  </si>
  <si>
    <t>rwu@hotmail.com</t>
  </si>
  <si>
    <t>Adelynn</t>
  </si>
  <si>
    <t>Coleman</t>
  </si>
  <si>
    <t>acoleman2@microsoft.com</t>
  </si>
  <si>
    <t>Broken Hill</t>
  </si>
  <si>
    <t>Thaddeus</t>
  </si>
  <si>
    <t>Arellano</t>
  </si>
  <si>
    <t>tarellano2@hotmail.com</t>
  </si>
  <si>
    <t>Faye</t>
  </si>
  <si>
    <t>Rivers</t>
  </si>
  <si>
    <t>frivers4@microsoft.com</t>
  </si>
  <si>
    <t>Barry</t>
  </si>
  <si>
    <t>Rosas</t>
  </si>
  <si>
    <t>barry.rosas1991@live.au</t>
  </si>
  <si>
    <t>Joelle</t>
  </si>
  <si>
    <t>Soto</t>
  </si>
  <si>
    <t>joelle.soto2006@gmail.com</t>
  </si>
  <si>
    <t>Barrett</t>
  </si>
  <si>
    <t>Pomare</t>
  </si>
  <si>
    <t>b.pomare@microsoft.com</t>
  </si>
  <si>
    <t>Haley</t>
  </si>
  <si>
    <t>Adams</t>
  </si>
  <si>
    <t>hadams@hotmail.com</t>
  </si>
  <si>
    <t>Penguin</t>
  </si>
  <si>
    <t>Frank</t>
  </si>
  <si>
    <t>har.frank79@gmail.com</t>
  </si>
  <si>
    <t>Hobart</t>
  </si>
  <si>
    <t>Malaysia</t>
  </si>
  <si>
    <t>Combs</t>
  </si>
  <si>
    <t>mcombs5@gmail.com</t>
  </si>
  <si>
    <t>Ahmad</t>
  </si>
  <si>
    <t>Burgess</t>
  </si>
  <si>
    <t>beauty490@aol.com</t>
  </si>
  <si>
    <t>Karratha</t>
  </si>
  <si>
    <t>Emilia-Jane</t>
  </si>
  <si>
    <t>elittle9@aol.com</t>
  </si>
  <si>
    <t>Lenny</t>
  </si>
  <si>
    <t>Norris</t>
  </si>
  <si>
    <t>lennorris54@gmail.com</t>
  </si>
  <si>
    <t>Gold Coast</t>
  </si>
  <si>
    <t>Arielle</t>
  </si>
  <si>
    <t>Holt</t>
  </si>
  <si>
    <t>aholt1@microsoft.com</t>
  </si>
  <si>
    <t>Niko</t>
  </si>
  <si>
    <t>Peralta</t>
  </si>
  <si>
    <t>niko_peralta@gmail.com</t>
  </si>
  <si>
    <t>Michaela</t>
  </si>
  <si>
    <t>Vo</t>
  </si>
  <si>
    <t>michaela-vo@gmail.com</t>
  </si>
  <si>
    <t>Friedman</t>
  </si>
  <si>
    <t>gor_friedman60@gmail.com</t>
  </si>
  <si>
    <t>Ben</t>
  </si>
  <si>
    <t>Lawson</t>
  </si>
  <si>
    <t>blawson@hotmail.com</t>
  </si>
  <si>
    <t>m5meym5ci2</t>
  </si>
  <si>
    <t>Leila</t>
  </si>
  <si>
    <t>Hahn</t>
  </si>
  <si>
    <t>lhahn9@aol.com</t>
  </si>
  <si>
    <t>Felicity</t>
  </si>
  <si>
    <t>Lynch</t>
  </si>
  <si>
    <t>flynch@gmail.com</t>
  </si>
  <si>
    <t>qih5ceral2</t>
  </si>
  <si>
    <t>Zane</t>
  </si>
  <si>
    <t>El-Hadj</t>
  </si>
  <si>
    <t>qih5ceral2@microsoft.com</t>
  </si>
  <si>
    <t>Perth</t>
  </si>
  <si>
    <t>Frances</t>
  </si>
  <si>
    <t>Parker</t>
  </si>
  <si>
    <t>frances-parker1987@microsoft.com</t>
  </si>
  <si>
    <t>Caleb</t>
  </si>
  <si>
    <t>Griffiths</t>
  </si>
  <si>
    <t>cgriffiths@gmail.com</t>
  </si>
  <si>
    <t>Alicia</t>
  </si>
  <si>
    <t>Ibarra</t>
  </si>
  <si>
    <t>a.ibarra@hotmail.com</t>
  </si>
  <si>
    <t>Asa</t>
  </si>
  <si>
    <t>Michael</t>
  </si>
  <si>
    <t>asa-michael67@live.au</t>
  </si>
  <si>
    <t>Fremantle</t>
  </si>
  <si>
    <t>Antonella</t>
  </si>
  <si>
    <t>Hansen</t>
  </si>
  <si>
    <t>buildmydream@gmail.com</t>
  </si>
  <si>
    <t>Devonport</t>
  </si>
  <si>
    <t>Charlie</t>
  </si>
  <si>
    <t>charmon9@gmail.com</t>
  </si>
  <si>
    <t>Maeve</t>
  </si>
  <si>
    <t>Hull</t>
  </si>
  <si>
    <t>maeve-hull@microsoft.com</t>
  </si>
  <si>
    <t>Wollongong</t>
  </si>
  <si>
    <t>Salem</t>
  </si>
  <si>
    <t>Bass</t>
  </si>
  <si>
    <t>salbass61@gmail.com</t>
  </si>
  <si>
    <t>Zahra</t>
  </si>
  <si>
    <t>Mejia</t>
  </si>
  <si>
    <t>zah-mejia78@hotmail.com</t>
  </si>
  <si>
    <t>Lara</t>
  </si>
  <si>
    <t>Mcguire</t>
  </si>
  <si>
    <t>laramcguire@gmail.com</t>
  </si>
  <si>
    <t>April</t>
  </si>
  <si>
    <t>Lindsey</t>
  </si>
  <si>
    <t>aprlindsey58@hotmail.com</t>
  </si>
  <si>
    <t>Jason</t>
  </si>
  <si>
    <t>Simons</t>
  </si>
  <si>
    <t>j.simons@microsoft.com</t>
  </si>
  <si>
    <t>Port Augusta</t>
  </si>
  <si>
    <t>Kayleigh</t>
  </si>
  <si>
    <t>Schultz</t>
  </si>
  <si>
    <t>kschultz5@live.au</t>
  </si>
  <si>
    <t>Colby</t>
  </si>
  <si>
    <t>Long</t>
  </si>
  <si>
    <t>colbylong2007@gmail.com</t>
  </si>
  <si>
    <t>Shepparton</t>
  </si>
  <si>
    <t>Jade</t>
  </si>
  <si>
    <t>Kaur</t>
  </si>
  <si>
    <t>jadekaur2006@hotmail.com</t>
  </si>
  <si>
    <t>Augustine</t>
  </si>
  <si>
    <t>Fernandez</t>
  </si>
  <si>
    <t>augustinefernandez2007@gmail.com</t>
  </si>
  <si>
    <t>Amara</t>
  </si>
  <si>
    <t>Rich</t>
  </si>
  <si>
    <t>a.rich@hotmail.com</t>
  </si>
  <si>
    <t>Inverell</t>
  </si>
  <si>
    <t>Mohamed</t>
  </si>
  <si>
    <t>Russell</t>
  </si>
  <si>
    <t>mohamed-russell2003@gmail.com</t>
  </si>
  <si>
    <t>Raelynn</t>
  </si>
  <si>
    <t>Smith</t>
  </si>
  <si>
    <t>trueyou55@gmail.com</t>
  </si>
  <si>
    <t>Ballarat</t>
  </si>
  <si>
    <t>Ronan</t>
  </si>
  <si>
    <t>Swan</t>
  </si>
  <si>
    <t>ronan_swan1973@microsoft.com</t>
  </si>
  <si>
    <t>Lana</t>
  </si>
  <si>
    <t>Schwartz</t>
  </si>
  <si>
    <t>l.schwartz@gmail.com</t>
  </si>
  <si>
    <t>Seymour</t>
  </si>
  <si>
    <t>Edwin</t>
  </si>
  <si>
    <t>Burns</t>
  </si>
  <si>
    <t>edwin_burns@hotmail.com</t>
  </si>
  <si>
    <t>Alice Springs</t>
  </si>
  <si>
    <t>Emerson</t>
  </si>
  <si>
    <t>Reynolds</t>
  </si>
  <si>
    <t>eme_reynolds70@gmail.com</t>
  </si>
  <si>
    <t>Vincent</t>
  </si>
  <si>
    <t>vsmith8@gmail.com</t>
  </si>
  <si>
    <t>Dorothy</t>
  </si>
  <si>
    <t>Beard</t>
  </si>
  <si>
    <t>dbeard@gmail.com</t>
  </si>
  <si>
    <t>Nathanael</t>
  </si>
  <si>
    <t>Rollins</t>
  </si>
  <si>
    <t>nat__rollins77@hotmail.com</t>
  </si>
  <si>
    <t>Burnie</t>
  </si>
  <si>
    <t>origin_of_purchases</t>
  </si>
  <si>
    <t>Ariana</t>
  </si>
  <si>
    <t>Hayden</t>
  </si>
  <si>
    <t>origin_of_purchases@hotmail.com</t>
  </si>
  <si>
    <t>Leroy</t>
  </si>
  <si>
    <t>Paul</t>
  </si>
  <si>
    <t>leroypaul1979@gmail.com</t>
  </si>
  <si>
    <t>Daphne</t>
  </si>
  <si>
    <t>Zuniga</t>
  </si>
  <si>
    <t>d.zuniga@hotmail.com</t>
  </si>
  <si>
    <t>Sally</t>
  </si>
  <si>
    <t>Nguyen</t>
  </si>
  <si>
    <t>sal-nguyen99@gmail.com</t>
  </si>
  <si>
    <t>Bicheno</t>
  </si>
  <si>
    <t>Ava</t>
  </si>
  <si>
    <t>Chambers</t>
  </si>
  <si>
    <t>achambers3@hotmail.com</t>
  </si>
  <si>
    <t>Halls Creek</t>
  </si>
  <si>
    <t>Orion</t>
  </si>
  <si>
    <t>Ratana</t>
  </si>
  <si>
    <t>orion.ratana@gmail.com</t>
  </si>
  <si>
    <t>Kyla</t>
  </si>
  <si>
    <t>Lee</t>
  </si>
  <si>
    <t>k.lee@microsoft.com</t>
  </si>
  <si>
    <t>Sydney</t>
  </si>
  <si>
    <t>Damien</t>
  </si>
  <si>
    <t>Lin</t>
  </si>
  <si>
    <t>clothesforlife@microsoft.com</t>
  </si>
  <si>
    <t>Makenna</t>
  </si>
  <si>
    <t>Ngata</t>
  </si>
  <si>
    <t>m.ngata@microsoft.com</t>
  </si>
  <si>
    <t>Musa</t>
  </si>
  <si>
    <t>Eaton</t>
  </si>
  <si>
    <t>m.eaton@hotmail.com</t>
  </si>
  <si>
    <t>Mark</t>
  </si>
  <si>
    <t>Weeks</t>
  </si>
  <si>
    <t>mweeks@microsoft.com</t>
  </si>
  <si>
    <t>Antony</t>
  </si>
  <si>
    <t>Serrano</t>
  </si>
  <si>
    <t>ant_serrano69@gmail.com</t>
  </si>
  <si>
    <t>Allie</t>
  </si>
  <si>
    <t>Lambert</t>
  </si>
  <si>
    <t>allielambert1970@gmail.com</t>
  </si>
  <si>
    <t>Mario</t>
  </si>
  <si>
    <t>Gibson</t>
  </si>
  <si>
    <t>mar_gibson77@hotmail.com</t>
  </si>
  <si>
    <t>Millie</t>
  </si>
  <si>
    <t>Mccullough</t>
  </si>
  <si>
    <t>millies-outdoor-shop@aol.com</t>
  </si>
  <si>
    <t>Bill</t>
  </si>
  <si>
    <t>Ayala</t>
  </si>
  <si>
    <t>b.ayala@hotmail.com</t>
  </si>
  <si>
    <t>Benji</t>
  </si>
  <si>
    <t>Lang</t>
  </si>
  <si>
    <t>blang@hotmail.com</t>
  </si>
  <si>
    <t>customer_id</t>
  </si>
  <si>
    <t>customer_email</t>
  </si>
  <si>
    <t>customer_name</t>
  </si>
  <si>
    <t>customer_surname</t>
  </si>
  <si>
    <t>customer_area</t>
  </si>
  <si>
    <t>customer_state</t>
  </si>
  <si>
    <t>total_customer_spend</t>
  </si>
  <si>
    <t>number_of_orders</t>
  </si>
  <si>
    <t>Customer_type</t>
  </si>
  <si>
    <t>CUST00001</t>
  </si>
  <si>
    <t>freya95@bigpond.com.au</t>
  </si>
  <si>
    <t>Freya</t>
  </si>
  <si>
    <t>CUST00002</t>
  </si>
  <si>
    <t>charliesat@bigpond.com.au</t>
  </si>
  <si>
    <t>Charles</t>
  </si>
  <si>
    <t>Sato</t>
  </si>
  <si>
    <t>Central Coast</t>
  </si>
  <si>
    <t>CUST00003</t>
  </si>
  <si>
    <t>jack26@gmail.com</t>
  </si>
  <si>
    <t>Jack</t>
  </si>
  <si>
    <t>Petrov</t>
  </si>
  <si>
    <t>Count of customer_id</t>
  </si>
  <si>
    <t>visual 1 customers by state</t>
  </si>
  <si>
    <t>CUST00004</t>
  </si>
  <si>
    <t>footy.minh@live.au</t>
  </si>
  <si>
    <t>Minh</t>
  </si>
  <si>
    <t>Pham</t>
  </si>
  <si>
    <t>CUST00005</t>
  </si>
  <si>
    <t>bianchi.aurora@outlook.com</t>
  </si>
  <si>
    <t>Aurora</t>
  </si>
  <si>
    <t>Bianchi</t>
  </si>
  <si>
    <t>NSW is CompradaRoo's largest customer market, accounting for approximately 32% of all customers (141 of 441).</t>
  </si>
  <si>
    <t>CUST00006</t>
  </si>
  <si>
    <t>noah.jameson@outlook.com</t>
  </si>
  <si>
    <t>Noah</t>
  </si>
  <si>
    <t>Jameson</t>
  </si>
  <si>
    <t>Coffs Harbour</t>
  </si>
  <si>
    <t>CUST00007</t>
  </si>
  <si>
    <t>lucas1997@bigpond.com.au</t>
  </si>
  <si>
    <t>Luca</t>
  </si>
  <si>
    <t>Gomez</t>
  </si>
  <si>
    <t>CUST00008</t>
  </si>
  <si>
    <t>tanaka.sienna@outlook.com</t>
  </si>
  <si>
    <t>Sienna</t>
  </si>
  <si>
    <t>Tanaka</t>
  </si>
  <si>
    <t>CUST00009</t>
  </si>
  <si>
    <t>urbanedward@microsoft.com</t>
  </si>
  <si>
    <t>Edward</t>
  </si>
  <si>
    <t>Silver</t>
  </si>
  <si>
    <t>Dubbo</t>
  </si>
  <si>
    <t>CUST00010</t>
  </si>
  <si>
    <t>turner.hiro@gmail.com</t>
  </si>
  <si>
    <t>Hiro</t>
  </si>
  <si>
    <t>Turner</t>
  </si>
  <si>
    <t>Hervey Bay</t>
  </si>
  <si>
    <t>CUST00011</t>
  </si>
  <si>
    <t>lucas.deluca@outlook.com</t>
  </si>
  <si>
    <t>Lindsay</t>
  </si>
  <si>
    <t>DeLuca</t>
  </si>
  <si>
    <t>CUST00012</t>
  </si>
  <si>
    <t>charliecharliecharlie@outlook.com</t>
  </si>
  <si>
    <t>Charlotte</t>
  </si>
  <si>
    <t>Walker</t>
  </si>
  <si>
    <t>CUST00013</t>
  </si>
  <si>
    <t>coffee.tom@gmail.com</t>
  </si>
  <si>
    <t>Thomas</t>
  </si>
  <si>
    <t>CUST00014</t>
  </si>
  <si>
    <t>latelucas@optusnet.com.au</t>
  </si>
  <si>
    <t>Lucas</t>
  </si>
  <si>
    <t>Faatua</t>
  </si>
  <si>
    <t>CUST00015</t>
  </si>
  <si>
    <t>tom_684@microsoft.com</t>
  </si>
  <si>
    <t>CUST00016</t>
  </si>
  <si>
    <t>aaarav@gmail.com</t>
  </si>
  <si>
    <t>Aarav</t>
  </si>
  <si>
    <t>Costa</t>
  </si>
  <si>
    <t>Cairns</t>
  </si>
  <si>
    <t>CUST00017</t>
  </si>
  <si>
    <t>redpoppy2574@aol.com</t>
  </si>
  <si>
    <t>Poppy</t>
  </si>
  <si>
    <t>Liu</t>
  </si>
  <si>
    <t>CUST00018</t>
  </si>
  <si>
    <t>sophie83@gmail.com</t>
  </si>
  <si>
    <t>Sophy</t>
  </si>
  <si>
    <t>Ali</t>
  </si>
  <si>
    <t>CUST00019</t>
  </si>
  <si>
    <t>thuy.travel@live.au</t>
  </si>
  <si>
    <t>Thuy</t>
  </si>
  <si>
    <t>Anderson</t>
  </si>
  <si>
    <t>CUST00020</t>
  </si>
  <si>
    <t>wturner@microsoft.com</t>
  </si>
  <si>
    <t>Willow</t>
  </si>
  <si>
    <t>CUST00021</t>
  </si>
  <si>
    <t>luna.footy@hotmail.com</t>
  </si>
  <si>
    <t>Luna</t>
  </si>
  <si>
    <t>Sum of total_customer_spend</t>
  </si>
  <si>
    <t>visual 2 revenue by state</t>
  </si>
  <si>
    <t>CUST00022</t>
  </si>
  <si>
    <t>oliver.liu@gmail.com</t>
  </si>
  <si>
    <t>CUST00023</t>
  </si>
  <si>
    <t>matildaanderson@optusnet.com.au</t>
  </si>
  <si>
    <t>Matilda</t>
  </si>
  <si>
    <t>NSW generates the highest customer revenue, contributing around one-third of total platform revenue.</t>
  </si>
  <si>
    <t>CUST00024</t>
  </si>
  <si>
    <t>anguswild@hotmail.com</t>
  </si>
  <si>
    <t>Andie</t>
  </si>
  <si>
    <t>Kitt</t>
  </si>
  <si>
    <t>CUST00025</t>
  </si>
  <si>
    <t>brown.ava@aol.com</t>
  </si>
  <si>
    <t>Brown</t>
  </si>
  <si>
    <t>CUST00026</t>
  </si>
  <si>
    <t>art.aurora@gmail.com</t>
  </si>
  <si>
    <t>Anya</t>
  </si>
  <si>
    <t>CUST00027</t>
  </si>
  <si>
    <t>mason.murphy@hotmail.com</t>
  </si>
  <si>
    <t>Mason</t>
  </si>
  <si>
    <t>Murphy</t>
  </si>
  <si>
    <t>Byron Bay</t>
  </si>
  <si>
    <t>CUST00028</t>
  </si>
  <si>
    <t>zoerossi@yahoo.com</t>
  </si>
  <si>
    <t>Zoe</t>
  </si>
  <si>
    <t>Rossi</t>
  </si>
  <si>
    <t>CUST00029</t>
  </si>
  <si>
    <t>pham.amelia@hotmail.com</t>
  </si>
  <si>
    <t>Amelia</t>
  </si>
  <si>
    <t>CUST00030</t>
  </si>
  <si>
    <t>photo.amelia@gmail.com</t>
  </si>
  <si>
    <t>Wilson</t>
  </si>
  <si>
    <t>CUST00031</t>
  </si>
  <si>
    <t>leebrrown@optusnet.com.au</t>
  </si>
  <si>
    <t>CUST00032</t>
  </si>
  <si>
    <t>ekhan@yahoo.com</t>
  </si>
  <si>
    <t>Khan</t>
  </si>
  <si>
    <t>CUST00033</t>
  </si>
  <si>
    <t>luiswild@gmail.com</t>
  </si>
  <si>
    <t>Luis</t>
  </si>
  <si>
    <t>Clerk</t>
  </si>
  <si>
    <t>Wagga Wagga</t>
  </si>
  <si>
    <t>CUST00034</t>
  </si>
  <si>
    <t>sadie_153@microsoft.com</t>
  </si>
  <si>
    <t>Sadie</t>
  </si>
  <si>
    <t>Chen</t>
  </si>
  <si>
    <t>CUST00035</t>
  </si>
  <si>
    <t>parks.sandy@gmail.com</t>
  </si>
  <si>
    <t>Sandy</t>
  </si>
  <si>
    <t>Parks</t>
  </si>
  <si>
    <t>CUST00036</t>
  </si>
  <si>
    <t>carls@outlook.com</t>
  </si>
  <si>
    <t>Carl</t>
  </si>
  <si>
    <t>Stewart</t>
  </si>
  <si>
    <t>CUST00037</t>
  </si>
  <si>
    <t>sienna_825@live.au</t>
  </si>
  <si>
    <t>Emma</t>
  </si>
  <si>
    <t>Papadopoulos</t>
  </si>
  <si>
    <t>Warrnambool</t>
  </si>
  <si>
    <t>CUST00038</t>
  </si>
  <si>
    <t>grace_748@hotmail.com</t>
  </si>
  <si>
    <t>Grace</t>
  </si>
  <si>
    <t>CUST00039</t>
  </si>
  <si>
    <t>ethan.turner@live.au</t>
  </si>
  <si>
    <t>Ethan</t>
  </si>
  <si>
    <t>visual 3 repeat vsone time customers</t>
  </si>
  <si>
    <t>CUST00040</t>
  </si>
  <si>
    <t>smurphy@aol.com</t>
  </si>
  <si>
    <t>Scarlett</t>
  </si>
  <si>
    <t>Sale</t>
  </si>
  <si>
    <t>One-Time Customer</t>
  </si>
  <si>
    <r>
      <t xml:space="preserve">Repeat customers = </t>
    </r>
    <r>
      <rPr>
        <b/>
        <sz val="11"/>
        <color theme="1"/>
        <rFont val="Calibri"/>
        <scheme val="minor"/>
      </rPr>
      <t>32% of customers</t>
    </r>
  </si>
  <si>
    <t>CUST00041</t>
  </si>
  <si>
    <t>cooper.rossi@gmail.com</t>
  </si>
  <si>
    <t>Cooper</t>
  </si>
  <si>
    <t>Repeat Customer</t>
  </si>
  <si>
    <r>
      <t xml:space="preserve">Repeat customers generate </t>
    </r>
    <r>
      <rPr>
        <b/>
        <sz val="11"/>
        <color theme="1"/>
        <rFont val="Calibri"/>
        <scheme val="minor"/>
      </rPr>
      <t>85% of revenue</t>
    </r>
  </si>
  <si>
    <t>CUST00042</t>
  </si>
  <si>
    <t>tui.liam@bigpond.com.au</t>
  </si>
  <si>
    <t>Liam</t>
  </si>
  <si>
    <t>Toot</t>
  </si>
  <si>
    <t>CUST00043</t>
  </si>
  <si>
    <t>rileyking@yahoo.com</t>
  </si>
  <si>
    <t>Riley</t>
  </si>
  <si>
    <t>King</t>
  </si>
  <si>
    <t>CUST00044</t>
  </si>
  <si>
    <t>stella.golf@yahoo.com</t>
  </si>
  <si>
    <t>Stella</t>
  </si>
  <si>
    <t>CUST00045</t>
  </si>
  <si>
    <t>music.tom@live.au</t>
  </si>
  <si>
    <t>CUST00046</t>
  </si>
  <si>
    <t>fatimasato@aol.com</t>
  </si>
  <si>
    <t>Fatima</t>
  </si>
  <si>
    <t>Sade</t>
  </si>
  <si>
    <t>CUST00047</t>
  </si>
  <si>
    <t>tsato@yahoo.com</t>
  </si>
  <si>
    <t>CUST00048</t>
  </si>
  <si>
    <t>bike.leo@outlook.com</t>
  </si>
  <si>
    <t>Leo</t>
  </si>
  <si>
    <t>CUST00049</t>
  </si>
  <si>
    <t>oscar.footy@gmail.com</t>
  </si>
  <si>
    <t>Oscar</t>
  </si>
  <si>
    <t>CUST00050</t>
  </si>
  <si>
    <t>aarav2006@live.au</t>
  </si>
  <si>
    <t>Zhang</t>
  </si>
  <si>
    <t>CUST00051</t>
  </si>
  <si>
    <t>blueleo@bigpond.com.au</t>
  </si>
  <si>
    <t>Tomson</t>
  </si>
  <si>
    <t>CUST00052</t>
  </si>
  <si>
    <t>manucosta@outlook.com</t>
  </si>
  <si>
    <t>Manni</t>
  </si>
  <si>
    <t>Cradle Mountain</t>
  </si>
  <si>
    <t>Average of total_customer_spend</t>
  </si>
  <si>
    <t>CUST00053</t>
  </si>
  <si>
    <t>darcy1995@yahoo.com</t>
  </si>
  <si>
    <t>Darcy</t>
  </si>
  <si>
    <t>CUST00054</t>
  </si>
  <si>
    <t>finnivanov@hotmail.com</t>
  </si>
  <si>
    <t>Finn</t>
  </si>
  <si>
    <t>Ivanov</t>
  </si>
  <si>
    <t>Victor Harbor</t>
  </si>
  <si>
    <t>CUST00055</t>
  </si>
  <si>
    <t>martin.jack@hotmail.com</t>
  </si>
  <si>
    <t>Martin</t>
  </si>
  <si>
    <t>Geraldton</t>
  </si>
  <si>
    <t>CUST00056</t>
  </si>
  <si>
    <t>george.walker@yahoo.com</t>
  </si>
  <si>
    <t>George</t>
  </si>
  <si>
    <t>CUST00057</t>
  </si>
  <si>
    <t>oliver.martin@gmail.com</t>
  </si>
  <si>
    <t>CUST00058</t>
  </si>
  <si>
    <t>earlylucas@outlook.com</t>
  </si>
  <si>
    <t>Kim</t>
  </si>
  <si>
    <t>CUST00059</t>
  </si>
  <si>
    <t>alex.bake@microsoft.com</t>
  </si>
  <si>
    <t>Alexander</t>
  </si>
  <si>
    <t>Kelly</t>
  </si>
  <si>
    <t>CUST00060</t>
  </si>
  <si>
    <t>maria1990@bigpond.com.au</t>
  </si>
  <si>
    <t>Maria</t>
  </si>
  <si>
    <t>CUST00061</t>
  </si>
  <si>
    <t>dan2003@bigpond.com.au</t>
  </si>
  <si>
    <t>Daniel</t>
  </si>
  <si>
    <t>Collins</t>
  </si>
  <si>
    <t>CUST00062</t>
  </si>
  <si>
    <t>bcarter@gmail.com</t>
  </si>
  <si>
    <t>CUST00063</t>
  </si>
  <si>
    <t>sunita.park@live.au</t>
  </si>
  <si>
    <t>Sunita</t>
  </si>
  <si>
    <t>Park</t>
  </si>
  <si>
    <t>CUST00064</t>
  </si>
  <si>
    <t>bake.harper@bigpond.com.au</t>
  </si>
  <si>
    <t>Harper</t>
  </si>
  <si>
    <t>CUST00065</t>
  </si>
  <si>
    <t>grace.art@gmail.com</t>
  </si>
  <si>
    <t>Gina</t>
  </si>
  <si>
    <t>Queen</t>
  </si>
  <si>
    <t>CUST00066</t>
  </si>
  <si>
    <t>coastalleilani@yahoo.com</t>
  </si>
  <si>
    <t>Leilani</t>
  </si>
  <si>
    <t>Kowalski</t>
  </si>
  <si>
    <t>NSW represents CompradaRoo's largest customer base and highest total revenue, while Victorian customers have the highest average spend per customer, indicating a particularly valuable market segment.</t>
  </si>
  <si>
    <t>CUST00067</t>
  </si>
  <si>
    <t>olivertran@microsoft.com</t>
  </si>
  <si>
    <t>Tran</t>
  </si>
  <si>
    <t>CUST00068</t>
  </si>
  <si>
    <t>harper_166@gmail.com</t>
  </si>
  <si>
    <t>CUST00069</t>
  </si>
  <si>
    <t>lateliam@aol.com</t>
  </si>
  <si>
    <r>
      <t>32% of customers are repeat customers</t>
    </r>
    <r>
      <rPr>
        <sz val="11"/>
        <color theme="1"/>
        <rFont val="Calibri"/>
        <family val="2"/>
        <scheme val="minor"/>
      </rPr>
      <t xml:space="preserve"> (141 out of 441)</t>
    </r>
  </si>
  <si>
    <t>CUST00070</t>
  </si>
  <si>
    <t>walker.alex@yahoo.com</t>
  </si>
  <si>
    <r>
      <t>85% of revenue comes from repeat customers</t>
    </r>
    <r>
      <rPr>
        <sz val="11"/>
        <color theme="1"/>
        <rFont val="Calibri"/>
        <family val="2"/>
        <scheme val="minor"/>
      </rPr>
      <t xml:space="preserve"> (32,198.86 out of 37,823.54)</t>
    </r>
  </si>
  <si>
    <t>CUST00071</t>
  </si>
  <si>
    <t>johnson.archie@optusnet.com.au</t>
  </si>
  <si>
    <t>Johnson</t>
  </si>
  <si>
    <t>CUST00072</t>
  </si>
  <si>
    <t>avawild@hotmail.com</t>
  </si>
  <si>
    <t>Taylor</t>
  </si>
  <si>
    <t>CUST00073</t>
  </si>
  <si>
    <t>graceearly@bigpond.com.au</t>
  </si>
  <si>
    <t>Grant</t>
  </si>
  <si>
    <t>CUST00074</t>
  </si>
  <si>
    <t>costa.zoe@gmail.com</t>
  </si>
  <si>
    <t>Mildura</t>
  </si>
  <si>
    <t>CUST00075</t>
  </si>
  <si>
    <t>georgia.kaur@bigpond.com.au</t>
  </si>
  <si>
    <t>Georgia</t>
  </si>
  <si>
    <t>CUST00076</t>
  </si>
  <si>
    <t>zoe96@gmail.com</t>
  </si>
  <si>
    <t>Flo</t>
  </si>
  <si>
    <t>CUST00077</t>
  </si>
  <si>
    <t>samuel1981@optusnet.com.au</t>
  </si>
  <si>
    <t>Samuel</t>
  </si>
  <si>
    <t>Torquay</t>
  </si>
  <si>
    <t>CUST00078</t>
  </si>
  <si>
    <t>freyacoastal@live.au</t>
  </si>
  <si>
    <t>CUST00079</t>
  </si>
  <si>
    <t>ruby49@gmail.com</t>
  </si>
  <si>
    <t>Ruby</t>
  </si>
  <si>
    <t>CUST00080</t>
  </si>
  <si>
    <t>henry.sato@microsoft.com</t>
  </si>
  <si>
    <t>Henry</t>
  </si>
  <si>
    <t>CUST00081</t>
  </si>
  <si>
    <t>tthompson@yahoo.com</t>
  </si>
  <si>
    <t>Thompson</t>
  </si>
  <si>
    <t>CUST00082</t>
  </si>
  <si>
    <t>charlie30@bigpond.com.au</t>
  </si>
  <si>
    <t>Williams</t>
  </si>
  <si>
    <t>CUST00083</t>
  </si>
  <si>
    <t>matilda5@gmail.com</t>
  </si>
  <si>
    <t>CUST00084</t>
  </si>
  <si>
    <t>ejohnson@live.au</t>
  </si>
  <si>
    <t>Elena</t>
  </si>
  <si>
    <t>CUST00085</t>
  </si>
  <si>
    <t>aloha.alex@aol.com</t>
  </si>
  <si>
    <t>Aroha</t>
  </si>
  <si>
    <t>CUST00086</t>
  </si>
  <si>
    <t>sienna.golf@optusnet.com.au</t>
  </si>
  <si>
    <t>CUST00087</t>
  </si>
  <si>
    <t>photo.chloe@yahoo.com</t>
  </si>
  <si>
    <t>Chloe</t>
  </si>
  <si>
    <t>CUST00088</t>
  </si>
  <si>
    <t>hall.isaac@gmail.com</t>
  </si>
  <si>
    <t>Isaac</t>
  </si>
  <si>
    <t>Hall</t>
  </si>
  <si>
    <t>Mandurah</t>
  </si>
  <si>
    <t>CUST00089</t>
  </si>
  <si>
    <t>chloehussain@yahoo.com</t>
  </si>
  <si>
    <t>Varotsis</t>
  </si>
  <si>
    <t>CUST00090</t>
  </si>
  <si>
    <t>smith.emily@optusnet.com.au</t>
  </si>
  <si>
    <t>Emily</t>
  </si>
  <si>
    <t>CUST00091</t>
  </si>
  <si>
    <t>noah.taylor@microsoft.com</t>
  </si>
  <si>
    <t>CUST00092</t>
  </si>
  <si>
    <t>samuel.roo@outlook.com</t>
  </si>
  <si>
    <t>Roberts</t>
  </si>
  <si>
    <t>CUST00093</t>
  </si>
  <si>
    <t>charliepark@gmail.com</t>
  </si>
  <si>
    <t>CUST00094</t>
  </si>
  <si>
    <t>coastalalex@gmail.com</t>
  </si>
  <si>
    <t>CUST00095</t>
  </si>
  <si>
    <t>violet.surf@optusnet.com.au</t>
  </si>
  <si>
    <t>Violet</t>
  </si>
  <si>
    <t>CUST00096</t>
  </si>
  <si>
    <t>marco62@live.au</t>
  </si>
  <si>
    <t>Marco</t>
  </si>
  <si>
    <t>Silva</t>
  </si>
  <si>
    <t>CUST00097</t>
  </si>
  <si>
    <t>tui.chloe@gmail.com</t>
  </si>
  <si>
    <t>Tui</t>
  </si>
  <si>
    <t>CUST00098</t>
  </si>
  <si>
    <t>mamma.mia@aol.com</t>
  </si>
  <si>
    <t>Mia</t>
  </si>
  <si>
    <t>CUST00099</t>
  </si>
  <si>
    <t>georgiaking@bigpond.com.au</t>
  </si>
  <si>
    <t>CUST00100</t>
  </si>
  <si>
    <t>edward1991@hotmail.com</t>
  </si>
  <si>
    <t>CUST00101</t>
  </si>
  <si>
    <t>ethan.photo@gmail.com</t>
  </si>
  <si>
    <t>CUST00102</t>
  </si>
  <si>
    <t>lateaisha@gmail.com</t>
  </si>
  <si>
    <t>Aisha</t>
  </si>
  <si>
    <t>Tau</t>
  </si>
  <si>
    <t>CUST00103</t>
  </si>
  <si>
    <t>antisalwaysearly@gmail.com</t>
  </si>
  <si>
    <t>Ant</t>
  </si>
  <si>
    <t>CUST00104</t>
  </si>
  <si>
    <t>thomaswild@gmail.com</t>
  </si>
  <si>
    <t>CUST00105</t>
  </si>
  <si>
    <t>sunnywillows@hotmail.com</t>
  </si>
  <si>
    <t>CUST00106</t>
  </si>
  <si>
    <t>hudson7@gmail.com</t>
  </si>
  <si>
    <t>Hudson</t>
  </si>
  <si>
    <t>CUST00107</t>
  </si>
  <si>
    <t>alexander.pham@yahoo.com</t>
  </si>
  <si>
    <t>CUST00108</t>
  </si>
  <si>
    <t>l.fitzpatrick@gmail.com</t>
  </si>
  <si>
    <t>Fitzpatrick</t>
  </si>
  <si>
    <t>CUST00109</t>
  </si>
  <si>
    <t>runbonnyrun@microsoft.com</t>
  </si>
  <si>
    <t>Bonny</t>
  </si>
  <si>
    <t>CUST00110</t>
  </si>
  <si>
    <t>yuki69@gmail.com</t>
  </si>
  <si>
    <t>Yuki</t>
  </si>
  <si>
    <t>Broome</t>
  </si>
  <si>
    <t>CUST00111</t>
  </si>
  <si>
    <t>star.noah@aol.com</t>
  </si>
  <si>
    <t>CUST00112</t>
  </si>
  <si>
    <t>eloisego@microsoft.com</t>
  </si>
  <si>
    <t>Eloise</t>
  </si>
  <si>
    <t>Georgiou</t>
  </si>
  <si>
    <t>CUST00113</t>
  </si>
  <si>
    <t>sonava@outlook.com</t>
  </si>
  <si>
    <t>CUST00114</t>
  </si>
  <si>
    <t>lewis.giulia@outlook.com</t>
  </si>
  <si>
    <t>Giulia</t>
  </si>
  <si>
    <t>Lewis</t>
  </si>
  <si>
    <t>CUST00115</t>
  </si>
  <si>
    <t>chall@microsoft.com</t>
  </si>
  <si>
    <t>CUST00116</t>
  </si>
  <si>
    <t>ruby.carter@aol.com</t>
  </si>
  <si>
    <t>Carter</t>
  </si>
  <si>
    <t>CUST00117</t>
  </si>
  <si>
    <t>chloe30@gmail.com</t>
  </si>
  <si>
    <t>Carla</t>
  </si>
  <si>
    <t>CUST00118</t>
  </si>
  <si>
    <t>ella.wang@outlook.com</t>
  </si>
  <si>
    <t>Ellie</t>
  </si>
  <si>
    <t>Wang</t>
  </si>
  <si>
    <t>CUST00119</t>
  </si>
  <si>
    <t>parkingviolets@bigpond.com.au</t>
  </si>
  <si>
    <t>CUST00120</t>
  </si>
  <si>
    <t>willnovak@optusnet.com.au</t>
  </si>
  <si>
    <t>Wilhelm</t>
  </si>
  <si>
    <t>Novak</t>
  </si>
  <si>
    <t>CUST00121</t>
  </si>
  <si>
    <t>lucas.hall@gmail.com</t>
  </si>
  <si>
    <t>CUST00122</t>
  </si>
  <si>
    <t>benlewis@optusnet.com.au</t>
  </si>
  <si>
    <t>Benjamin</t>
  </si>
  <si>
    <t>CUST00123</t>
  </si>
  <si>
    <t>willthompson@outlook.com</t>
  </si>
  <si>
    <t>William</t>
  </si>
  <si>
    <t>Mount Isa</t>
  </si>
  <si>
    <t>CUST00124</t>
  </si>
  <si>
    <t>isla.run@gmail.com</t>
  </si>
  <si>
    <t>Isla</t>
  </si>
  <si>
    <t>Conti</t>
  </si>
  <si>
    <t>CUST00125</t>
  </si>
  <si>
    <t>nadams@microsoft.com</t>
  </si>
  <si>
    <t>CUST00126</t>
  </si>
  <si>
    <t>miablue@bigpond.com.au</t>
  </si>
  <si>
    <t>CUST00127</t>
  </si>
  <si>
    <t>emurphy@hotmail.com</t>
  </si>
  <si>
    <t>CUST00128</t>
  </si>
  <si>
    <t>violet58@outlook.com</t>
  </si>
  <si>
    <t>CUST00129</t>
  </si>
  <si>
    <t>amelia.king@microsoft.com</t>
  </si>
  <si>
    <t>CUST00130</t>
  </si>
  <si>
    <t>charlie.r.t@hotmail.com</t>
  </si>
  <si>
    <t>CUST00131</t>
  </si>
  <si>
    <t>tech.wen@live.au</t>
  </si>
  <si>
    <t>Wen</t>
  </si>
  <si>
    <t>Baker</t>
  </si>
  <si>
    <t>CUST00132</t>
  </si>
  <si>
    <t>lachlachlan@optusnet.com.au</t>
  </si>
  <si>
    <t>Lachlan</t>
  </si>
  <si>
    <t>CUST00133</t>
  </si>
  <si>
    <t>jack.bake@optusnet.com.au</t>
  </si>
  <si>
    <t>CUST00134</t>
  </si>
  <si>
    <t>bonnie2000@aol.com</t>
  </si>
  <si>
    <t>CUST00135</t>
  </si>
  <si>
    <t>rubycoastal@gmail.com</t>
  </si>
  <si>
    <t>CUST00136</t>
  </si>
  <si>
    <t>ella_317@live.au</t>
  </si>
  <si>
    <t>Ella</t>
  </si>
  <si>
    <t>CUST00137</t>
  </si>
  <si>
    <t>ameliacarter@yahoo.com</t>
  </si>
  <si>
    <t>CUST00138</t>
  </si>
  <si>
    <t>henrycarter@accenture.com</t>
  </si>
  <si>
    <t>CUST00139</t>
  </si>
  <si>
    <t>kiran_126@bigpond.com.au</t>
  </si>
  <si>
    <t>Kiran</t>
  </si>
  <si>
    <t>Patel</t>
  </si>
  <si>
    <t>CUST00140</t>
  </si>
  <si>
    <t>cooper.tech@gmail.com</t>
  </si>
  <si>
    <t>CUST00141</t>
  </si>
  <si>
    <t>coastalwill@bigpond.com.au</t>
  </si>
  <si>
    <t>Will</t>
  </si>
  <si>
    <t>CUST00142</t>
  </si>
  <si>
    <t>lgreen@hotmail.com</t>
  </si>
  <si>
    <t>Linh</t>
  </si>
  <si>
    <t>CUST00143</t>
  </si>
  <si>
    <t>petrov.miles@outlook.com</t>
  </si>
  <si>
    <t>Miles</t>
  </si>
  <si>
    <t>Petrovna</t>
  </si>
  <si>
    <t>CUST00144</t>
  </si>
  <si>
    <t>roberts.liam@hotmail.com</t>
  </si>
  <si>
    <t>CUST00145</t>
  </si>
  <si>
    <t>sophie2000@live.au</t>
  </si>
  <si>
    <t>Sophia</t>
  </si>
  <si>
    <t>CUST00146</t>
  </si>
  <si>
    <t>mhorvat@gmail.com</t>
  </si>
  <si>
    <t>Horvat</t>
  </si>
  <si>
    <t>CUST00147</t>
  </si>
  <si>
    <t>pereira.will@bigpond.com.au</t>
  </si>
  <si>
    <t>Pereira</t>
  </si>
  <si>
    <t>CUST00148</t>
  </si>
  <si>
    <t>sadieearly@optusnet.com.au</t>
  </si>
  <si>
    <t>CUST00149</t>
  </si>
  <si>
    <t>arlo.taylor@yahoo.com</t>
  </si>
  <si>
    <t>Arlo</t>
  </si>
  <si>
    <t>CUST00150</t>
  </si>
  <si>
    <t>anguspetrov@aol.com</t>
  </si>
  <si>
    <t>Angus</t>
  </si>
  <si>
    <t>CUST00151</t>
  </si>
  <si>
    <t>ravikelly@aol.com</t>
  </si>
  <si>
    <t>Ravi</t>
  </si>
  <si>
    <t>Sunshine Coast</t>
  </si>
  <si>
    <t>CUST00152</t>
  </si>
  <si>
    <t>golf.patrick@bigpond.com.au</t>
  </si>
  <si>
    <t>Patrick</t>
  </si>
  <si>
    <t>CUST00153</t>
  </si>
  <si>
    <t>urbanharrison@gmail.com</t>
  </si>
  <si>
    <t>Harrison</t>
  </si>
  <si>
    <t>CUST00154</t>
  </si>
  <si>
    <t>adams.isla@gmail.com</t>
  </si>
  <si>
    <t>CUST00155</t>
  </si>
  <si>
    <t>coastaltom@gmail.com</t>
  </si>
  <si>
    <t>CUST00156</t>
  </si>
  <si>
    <t>zoe_415@yahoo.com</t>
  </si>
  <si>
    <t>Clark</t>
  </si>
  <si>
    <t>CUST00157</t>
  </si>
  <si>
    <t>jack.art@hotmail.com</t>
  </si>
  <si>
    <t>CUST00158</t>
  </si>
  <si>
    <t>wilson.aly@optusnet.com.au</t>
  </si>
  <si>
    <t>Alyssa</t>
  </si>
  <si>
    <t>CUST00159</t>
  </si>
  <si>
    <t>walkarron@aol.com</t>
  </si>
  <si>
    <t>Arron</t>
  </si>
  <si>
    <t>CUST00160</t>
  </si>
  <si>
    <t>mia_635@live.au</t>
  </si>
  <si>
    <t>CUST00161</t>
  </si>
  <si>
    <t>sophie_843@gmail.com</t>
  </si>
  <si>
    <t>Sophie</t>
  </si>
  <si>
    <t>CUST00162</t>
  </si>
  <si>
    <t>travel.lachlan@gmail.com</t>
  </si>
  <si>
    <t>CUST00163</t>
  </si>
  <si>
    <t>ayoung@bigpond.com.au</t>
  </si>
  <si>
    <t>Arthur</t>
  </si>
  <si>
    <t>Young</t>
  </si>
  <si>
    <t>CUST00164</t>
  </si>
  <si>
    <t>earlyli@bigpond.com.au</t>
  </si>
  <si>
    <t>CUST00165</t>
  </si>
  <si>
    <t>travel.olivia@gmail.com</t>
  </si>
  <si>
    <t>Olivia</t>
  </si>
  <si>
    <t>CUST00166</t>
  </si>
  <si>
    <t>benjamin.adams@live.au</t>
  </si>
  <si>
    <t>CUST00167</t>
  </si>
  <si>
    <t>rjohnson@gmail.com</t>
  </si>
  <si>
    <t>CUST00168</t>
  </si>
  <si>
    <t>james88@aol.com</t>
  </si>
  <si>
    <t>James</t>
  </si>
  <si>
    <t>CUST00169</t>
  </si>
  <si>
    <t>andy-on-a-bike@gmail.com</t>
  </si>
  <si>
    <t>Andy</t>
  </si>
  <si>
    <t>White</t>
  </si>
  <si>
    <t>CUST00170</t>
  </si>
  <si>
    <t>hussain.carlos@outlook.com</t>
  </si>
  <si>
    <t>Carlos</t>
  </si>
  <si>
    <t>Hussain</t>
  </si>
  <si>
    <t>CUST00171</t>
  </si>
  <si>
    <t>emilyliu@gmail.com</t>
  </si>
  <si>
    <t>CUST00172</t>
  </si>
  <si>
    <t>agomez@bigpond.com.au</t>
  </si>
  <si>
    <t>CUST00173</t>
  </si>
  <si>
    <t>jasperhappy@live.au</t>
  </si>
  <si>
    <t>Jasper</t>
  </si>
  <si>
    <t>CUST00174</t>
  </si>
  <si>
    <t>chloe.coffee@hotmail.com</t>
  </si>
  <si>
    <t>Karla</t>
  </si>
  <si>
    <t>CUST00175</t>
  </si>
  <si>
    <t>zoe.golf@hotmail.com</t>
  </si>
  <si>
    <t>CUST00176</t>
  </si>
  <si>
    <t>felix_555@gmail.com</t>
  </si>
  <si>
    <t>Felix</t>
  </si>
  <si>
    <t>Nowak</t>
  </si>
  <si>
    <t>CUST00177</t>
  </si>
  <si>
    <t>kovac.maisie@aol.com</t>
  </si>
  <si>
    <t>Maisie</t>
  </si>
  <si>
    <t>Kovac</t>
  </si>
  <si>
    <t>CUST00178</t>
  </si>
  <si>
    <t>travel.jack@hotmail.com</t>
  </si>
  <si>
    <t>CUST00179</t>
  </si>
  <si>
    <t>poppy.golf@outlook.com</t>
  </si>
  <si>
    <t>CUST00180</t>
  </si>
  <si>
    <t>nowayedway@hotmail.com</t>
  </si>
  <si>
    <t>CUST00181</t>
  </si>
  <si>
    <t>coffee.isaac@gmail.com</t>
  </si>
  <si>
    <t>Martinez</t>
  </si>
  <si>
    <t>CUST00182</t>
  </si>
  <si>
    <t>lucas89@outlook.com</t>
  </si>
  <si>
    <t>CUST00183</t>
  </si>
  <si>
    <t>stewart.ali@gmail.com</t>
  </si>
  <si>
    <t>CUST00184</t>
  </si>
  <si>
    <t>yoga.alex@gmail.com</t>
  </si>
  <si>
    <t>Wright</t>
  </si>
  <si>
    <t>CUST00185</t>
  </si>
  <si>
    <t>urbandan@hotmail.com</t>
  </si>
  <si>
    <t>CUST00186</t>
  </si>
  <si>
    <t>georgia1981@yahoo.com</t>
  </si>
  <si>
    <t>CUST00187</t>
  </si>
  <si>
    <t>wildevie@yahoo.com</t>
  </si>
  <si>
    <t>Evie</t>
  </si>
  <si>
    <t>CUST00188</t>
  </si>
  <si>
    <t>georgiageorgiou@outlook.com</t>
  </si>
  <si>
    <t>CUST00189</t>
  </si>
  <si>
    <t>harper.travel@microsoft.com</t>
  </si>
  <si>
    <t>CUST00190</t>
  </si>
  <si>
    <t>charlieseason@bigpond.com.au</t>
  </si>
  <si>
    <t>CUST00191</t>
  </si>
  <si>
    <t>billie.ngata@yahoo.com</t>
  </si>
  <si>
    <t>Billie</t>
  </si>
  <si>
    <t>CUST00192</t>
  </si>
  <si>
    <t>theocoastal@gmail.com</t>
  </si>
  <si>
    <t>Theo</t>
  </si>
  <si>
    <t>Trainer</t>
  </si>
  <si>
    <t>CUST00193</t>
  </si>
  <si>
    <t>samuelrossi@microsoft.com</t>
  </si>
  <si>
    <t>CUST00194</t>
  </si>
  <si>
    <t>george39@yahoo.com</t>
  </si>
  <si>
    <t>CUST00195</t>
  </si>
  <si>
    <t>violet.surf@gmail.com</t>
  </si>
  <si>
    <t>CUST00196</t>
  </si>
  <si>
    <t>bonnie81@outlook.com</t>
  </si>
  <si>
    <t>CUST00197</t>
  </si>
  <si>
    <t>carlosparker@live.au</t>
  </si>
  <si>
    <t>CUST00198</t>
  </si>
  <si>
    <t>liam_264@hotmail.com</t>
  </si>
  <si>
    <t>Sharma</t>
  </si>
  <si>
    <t>CUST00199</t>
  </si>
  <si>
    <t>lucas.art@outlook.com</t>
  </si>
  <si>
    <t>CUST00200</t>
  </si>
  <si>
    <t>lucas.photo@outlook.com</t>
  </si>
  <si>
    <t>Pah</t>
  </si>
  <si>
    <t>CUST00201</t>
  </si>
  <si>
    <t>roberts.giulia@gmail.com</t>
  </si>
  <si>
    <t>CUST00202</t>
  </si>
  <si>
    <t>leohall@aol.com</t>
  </si>
  <si>
    <t>CUST00203</t>
  </si>
  <si>
    <t>mateo.wright@gmail.com</t>
  </si>
  <si>
    <t>Mateo</t>
  </si>
  <si>
    <t>CUST00204</t>
  </si>
  <si>
    <t>aconti@aol.com</t>
  </si>
  <si>
    <t>CUST00205</t>
  </si>
  <si>
    <t>stran@optusnet.com.au</t>
  </si>
  <si>
    <t>CUST00206</t>
  </si>
  <si>
    <t>tech.charlie@gmail.com</t>
  </si>
  <si>
    <t>CUST00207</t>
  </si>
  <si>
    <t>green.mason@yahoo.com</t>
  </si>
  <si>
    <t>CUST00208</t>
  </si>
  <si>
    <t>matilda.art@aol.com</t>
  </si>
  <si>
    <t>CUST00209</t>
  </si>
  <si>
    <t>thesiennap@gmail.com</t>
  </si>
  <si>
    <t>CUST00210</t>
  </si>
  <si>
    <t>zoe2003@optusnet.com.au</t>
  </si>
  <si>
    <t>CUST00211</t>
  </si>
  <si>
    <t>bake.liam@aol.com</t>
  </si>
  <si>
    <t>CUST00212</t>
  </si>
  <si>
    <t>leo.young@aol.com</t>
  </si>
  <si>
    <t>CUST00213</t>
  </si>
  <si>
    <t>leo_75@gmail.com</t>
  </si>
  <si>
    <t>CUST00214</t>
  </si>
  <si>
    <t>emilylate@gmail.com</t>
  </si>
  <si>
    <t>CUST00215</t>
  </si>
  <si>
    <t>edward_801@aol.com</t>
  </si>
  <si>
    <t>CUST00216</t>
  </si>
  <si>
    <t>ruby.williams@microsoft.com</t>
  </si>
  <si>
    <t>CUST00217</t>
  </si>
  <si>
    <t>amelia1981@microsoft.com</t>
  </si>
  <si>
    <t>McQueen</t>
  </si>
  <si>
    <t>CUST00218</t>
  </si>
  <si>
    <t>eloisebrown1964@gmail.com</t>
  </si>
  <si>
    <t>CUST00219</t>
  </si>
  <si>
    <t>willow54@yahoo.com</t>
  </si>
  <si>
    <t>CUST00220</t>
  </si>
  <si>
    <t>marco.deluca@outlook.com</t>
  </si>
  <si>
    <t>CUST00221</t>
  </si>
  <si>
    <t>dansato@yahoo.com</t>
  </si>
  <si>
    <t>CUST00222</t>
  </si>
  <si>
    <t>emily_587@optusnet.com.au</t>
  </si>
  <si>
    <t>CUST00223</t>
  </si>
  <si>
    <t>johnson.bodhi@gmail.com</t>
  </si>
  <si>
    <t>Bodhi</t>
  </si>
  <si>
    <t>CUST00224</t>
  </si>
  <si>
    <t>olivia.martin@microsoft.com</t>
  </si>
  <si>
    <t>CUST00225</t>
  </si>
  <si>
    <t>emily.wilson@gmail.com</t>
  </si>
  <si>
    <t>CUST00226</t>
  </si>
  <si>
    <t>hussain.poppy@gmail.com</t>
  </si>
  <si>
    <t>CUST00227</t>
  </si>
  <si>
    <t>sakura31@live.au</t>
  </si>
  <si>
    <t>Sakura</t>
  </si>
  <si>
    <t>CUST00228</t>
  </si>
  <si>
    <t>olivia_479@gmail.com</t>
  </si>
  <si>
    <t>Parson</t>
  </si>
  <si>
    <t>CUST00229</t>
  </si>
  <si>
    <t>ejones@yahoo.com</t>
  </si>
  <si>
    <t>Jones</t>
  </si>
  <si>
    <t>CUST00230</t>
  </si>
  <si>
    <t>CUST00231</t>
  </si>
  <si>
    <t>eloise.golf@microsoft.com</t>
  </si>
  <si>
    <t>Choi</t>
  </si>
  <si>
    <t>CUST00232</t>
  </si>
  <si>
    <t>will1986@hotmail.com</t>
  </si>
  <si>
    <t>CUST00233</t>
  </si>
  <si>
    <t>maisie.footy@outlook.com</t>
  </si>
  <si>
    <t>Christie</t>
  </si>
  <si>
    <t>CUST00234</t>
  </si>
  <si>
    <t>wildwei@aol.com</t>
  </si>
  <si>
    <t>Wei</t>
  </si>
  <si>
    <t>Robbertson</t>
  </si>
  <si>
    <t>CUST00235</t>
  </si>
  <si>
    <t>matilda2006@optusnet.com.au</t>
  </si>
  <si>
    <t>CUST00236</t>
  </si>
  <si>
    <t>blueharper@live.au</t>
  </si>
  <si>
    <t>CUST00237</t>
  </si>
  <si>
    <t>collins.chloe@yahoo.com</t>
  </si>
  <si>
    <t>CUST00238</t>
  </si>
  <si>
    <t>manu96@aol.com</t>
  </si>
  <si>
    <t>Manu</t>
  </si>
  <si>
    <t>CUST00239</t>
  </si>
  <si>
    <t>mileswhite@gmail.com</t>
  </si>
  <si>
    <t>CUST00240</t>
  </si>
  <si>
    <t>aurora.baker@outlook.com</t>
  </si>
  <si>
    <t>CUST00241</t>
  </si>
  <si>
    <t>olivia9@bigpond.com.au</t>
  </si>
  <si>
    <t>CUST00242</t>
  </si>
  <si>
    <t>theocoastal@microsoft.com</t>
  </si>
  <si>
    <t>CUST00243</t>
  </si>
  <si>
    <t>samuel1992@live.au</t>
  </si>
  <si>
    <t>Stetting</t>
  </si>
  <si>
    <t>CUST00244</t>
  </si>
  <si>
    <t>happyfatima@hotmail.com</t>
  </si>
  <si>
    <t>CUST00245</t>
  </si>
  <si>
    <t>photo.scarlett@gmail.com</t>
  </si>
  <si>
    <t>CUST00246</t>
  </si>
  <si>
    <t>george.manu@gmail.com</t>
  </si>
  <si>
    <t>CUST00247</t>
  </si>
  <si>
    <t>masoncosta@microsoft.com</t>
  </si>
  <si>
    <t>Kostas</t>
  </si>
  <si>
    <t>CUST00248</t>
  </si>
  <si>
    <t>jackcarter@gmail.com</t>
  </si>
  <si>
    <t>John</t>
  </si>
  <si>
    <t>CUST00249</t>
  </si>
  <si>
    <t>king.kiran@outlook.com</t>
  </si>
  <si>
    <t>CUST00250</t>
  </si>
  <si>
    <t>happyolivia@gmail.com</t>
  </si>
  <si>
    <t>Robert</t>
  </si>
  <si>
    <t>CUST00251</t>
  </si>
  <si>
    <t>zoe_792@microsoft.com</t>
  </si>
  <si>
    <t>Zack</t>
  </si>
  <si>
    <t>CUST00252</t>
  </si>
  <si>
    <t>zoekelly@outlook.com</t>
  </si>
  <si>
    <t>Zachariah</t>
  </si>
  <si>
    <t>CUST00253</t>
  </si>
  <si>
    <t>chloe_980@gmail.com</t>
  </si>
  <si>
    <t>CUST00254</t>
  </si>
  <si>
    <t>finnlate@outlook.com</t>
  </si>
  <si>
    <t>CUST00255</t>
  </si>
  <si>
    <t>miahappy@bigpond.com.au</t>
  </si>
  <si>
    <t>CUST00256</t>
  </si>
  <si>
    <t>archiengata@aol.com</t>
  </si>
  <si>
    <t>CUST00257</t>
  </si>
  <si>
    <t>patel.jasper@optusnet.com.au</t>
  </si>
  <si>
    <t>CUST00258</t>
  </si>
  <si>
    <t>leotanaka@hotmail.com</t>
  </si>
  <si>
    <t>Trent</t>
  </si>
  <si>
    <t>CUST00259</t>
  </si>
  <si>
    <t>earlyhenry@gmail.com</t>
  </si>
  <si>
    <t>CUST00260</t>
  </si>
  <si>
    <t>fliu@microsoft.com</t>
  </si>
  <si>
    <t>CUST00261</t>
  </si>
  <si>
    <t>wei_191@gmail.com</t>
  </si>
  <si>
    <t>CUST00262</t>
  </si>
  <si>
    <t>lucas_626@gmail.com</t>
  </si>
  <si>
    <t>Landry</t>
  </si>
  <si>
    <t>CUST00263</t>
  </si>
  <si>
    <t>ava29@hotmail.com</t>
  </si>
  <si>
    <t>CUST00264</t>
  </si>
  <si>
    <t>eviesunny@gmail.com</t>
  </si>
  <si>
    <t>Sun</t>
  </si>
  <si>
    <t>CUST00265</t>
  </si>
  <si>
    <t>oliver2@gmail.com</t>
  </si>
  <si>
    <t>CUST00266</t>
  </si>
  <si>
    <t>alex1980@gmail.com</t>
  </si>
  <si>
    <t>Adriana</t>
  </si>
  <si>
    <t>CUST00267</t>
  </si>
  <si>
    <t>lucaslate@live.au</t>
  </si>
  <si>
    <t>CUST00268</t>
  </si>
  <si>
    <t>sadie74@outlook.com</t>
  </si>
  <si>
    <t>CUST00269</t>
  </si>
  <si>
    <t>fred5@gmail.com</t>
  </si>
  <si>
    <t>Fred</t>
  </si>
  <si>
    <t>Andersen</t>
  </si>
  <si>
    <t>CUST00270</t>
  </si>
  <si>
    <t>willsingh@gmail.com</t>
  </si>
  <si>
    <t>Singh</t>
  </si>
  <si>
    <t>CUST00271</t>
  </si>
  <si>
    <t>isla_451@optusnet.com.au</t>
  </si>
  <si>
    <t>Jessie</t>
  </si>
  <si>
    <t>CUST00272</t>
  </si>
  <si>
    <t>apereira@yahoo.com</t>
  </si>
  <si>
    <t>CUST00273</t>
  </si>
  <si>
    <t>bondingwithharper@live.au</t>
  </si>
  <si>
    <t>Bond</t>
  </si>
  <si>
    <t>CUST00274</t>
  </si>
  <si>
    <t>oliver1983@microsoft.com</t>
  </si>
  <si>
    <t>Nonnington</t>
  </si>
  <si>
    <t>CUST00275</t>
  </si>
  <si>
    <t>surfer-girl-chlo@live.au</t>
  </si>
  <si>
    <t>CUST00276</t>
  </si>
  <si>
    <t>omar13@outlook.com</t>
  </si>
  <si>
    <t>Omar</t>
  </si>
  <si>
    <t>CUST00277</t>
  </si>
  <si>
    <t>lucas40@yahoo.com</t>
  </si>
  <si>
    <t>Lukas</t>
  </si>
  <si>
    <t>CUST00278</t>
  </si>
  <si>
    <t>samuelpark@optusnet.com.au</t>
  </si>
  <si>
    <t>Peters</t>
  </si>
  <si>
    <t>CUST00279</t>
  </si>
  <si>
    <t>hudsonsurf@live.au</t>
  </si>
  <si>
    <t>Waters</t>
  </si>
  <si>
    <t>CUST00280</t>
  </si>
  <si>
    <t>wan.mason@live.au</t>
  </si>
  <si>
    <t>Wan</t>
  </si>
  <si>
    <t>CUST00281</t>
  </si>
  <si>
    <t>kaur.isla@microsoft.com</t>
  </si>
  <si>
    <t>CUST00282</t>
  </si>
  <si>
    <t>minh54@hotmail.com</t>
  </si>
  <si>
    <t>CUST00283</t>
  </si>
  <si>
    <t>isla51@hotmail.com</t>
  </si>
  <si>
    <t>CUST00284</t>
  </si>
  <si>
    <t>tane1994@generation.au</t>
  </si>
  <si>
    <t>Tane</t>
  </si>
  <si>
    <t>CUST00285</t>
  </si>
  <si>
    <t>ella_216@gmail.com</t>
  </si>
  <si>
    <t>CUST00286</t>
  </si>
  <si>
    <t>anderson.arjun@outlook.com</t>
  </si>
  <si>
    <t>Arjun</t>
  </si>
  <si>
    <t>CUST00287</t>
  </si>
  <si>
    <t>sebastian_479@gmail.com</t>
  </si>
  <si>
    <t>Sebastian</t>
  </si>
  <si>
    <t>CUST00288</t>
  </si>
  <si>
    <t>mohammed1996@yahoo.com</t>
  </si>
  <si>
    <t>Mohammed</t>
  </si>
  <si>
    <t>CUST00289</t>
  </si>
  <si>
    <t>georgia_957@yahoo.com</t>
  </si>
  <si>
    <t>CUST00290</t>
  </si>
  <si>
    <t>photo.ethan@live.au</t>
  </si>
  <si>
    <t>CUST00291</t>
  </si>
  <si>
    <t>art.mohammed@gmail.com</t>
  </si>
  <si>
    <t>El-Fayad</t>
  </si>
  <si>
    <t>CUST00292</t>
  </si>
  <si>
    <t>yusufjohnson@bigpond.com.au</t>
  </si>
  <si>
    <t>Yessi</t>
  </si>
  <si>
    <t>CUST00293</t>
  </si>
  <si>
    <t>willowsingh@live.au</t>
  </si>
  <si>
    <t>CUST00294</t>
  </si>
  <si>
    <t>earlytom@aol.com</t>
  </si>
  <si>
    <t>CUST00295</t>
  </si>
  <si>
    <t>music.max@aol.com</t>
  </si>
  <si>
    <t>Max</t>
  </si>
  <si>
    <t>CUST00296</t>
  </si>
  <si>
    <t>lucas.art@optusnet.com.au</t>
  </si>
  <si>
    <t>CUST00297</t>
  </si>
  <si>
    <t>willow.pereira@gmail.com</t>
  </si>
  <si>
    <t>CUST00298</t>
  </si>
  <si>
    <t>bgreen@outlook.com</t>
  </si>
  <si>
    <t>CUST00299</t>
  </si>
  <si>
    <t>mason.photo@gmail.com</t>
  </si>
  <si>
    <t>CUST00300</t>
  </si>
  <si>
    <t>benbi@hotmail.com</t>
  </si>
  <si>
    <t>CUST00301</t>
  </si>
  <si>
    <t>willarchiedoit@aol.com</t>
  </si>
  <si>
    <t>CUST00302</t>
  </si>
  <si>
    <t>tom_191@yahoo.com</t>
  </si>
  <si>
    <t>Timi</t>
  </si>
  <si>
    <t>CUST00303</t>
  </si>
  <si>
    <t>ilovepriya@live.au</t>
  </si>
  <si>
    <t>Priya</t>
  </si>
  <si>
    <t>CUST00304</t>
  </si>
  <si>
    <t>happyemily@microsoft.com</t>
  </si>
  <si>
    <t>CUST00305</t>
  </si>
  <si>
    <t>blueriley@hotmail.com</t>
  </si>
  <si>
    <t>CUST00306</t>
  </si>
  <si>
    <t>samuel.travel@live.au</t>
  </si>
  <si>
    <t>CUST00307</t>
  </si>
  <si>
    <t>darcykim@live.au</t>
  </si>
  <si>
    <t>Denis</t>
  </si>
  <si>
    <t>CUST00308</t>
  </si>
  <si>
    <t>zoe_703@aol.com</t>
  </si>
  <si>
    <t>CUST00309</t>
  </si>
  <si>
    <t>king.tom@yahoo.com</t>
  </si>
  <si>
    <t>CUST00310</t>
  </si>
  <si>
    <t>coopst@hotmail.com</t>
  </si>
  <si>
    <t>CUST00311</t>
  </si>
  <si>
    <t>tech.ruby@microsoft.com</t>
  </si>
  <si>
    <t>CUST00312</t>
  </si>
  <si>
    <t>mateo.tech@gmail.com</t>
  </si>
  <si>
    <t>CUST00313</t>
  </si>
  <si>
    <t>urbanisaac@optusnet.com.au</t>
  </si>
  <si>
    <t>CUST00314</t>
  </si>
  <si>
    <t>athompson@gmail.com</t>
  </si>
  <si>
    <t>CUST00315</t>
  </si>
  <si>
    <t>happylucas@gmail.com</t>
  </si>
  <si>
    <t>CUST00316</t>
  </si>
  <si>
    <t>oliver2000@hotmail.com</t>
  </si>
  <si>
    <t>CUST00317</t>
  </si>
  <si>
    <t>music.henry@aol.com</t>
  </si>
  <si>
    <t>CUST00318</t>
  </si>
  <si>
    <t>urbanemily@flip.au</t>
  </si>
  <si>
    <t>CUST00319</t>
  </si>
  <si>
    <t>benwalker@yahoo.com</t>
  </si>
  <si>
    <t>CUST00320</t>
  </si>
  <si>
    <t>bluezoe@outlook.com</t>
  </si>
  <si>
    <t>CUST00321</t>
  </si>
  <si>
    <t>rocchjia@gmail.com</t>
  </si>
  <si>
    <t>Jia</t>
  </si>
  <si>
    <t>Rocchi</t>
  </si>
  <si>
    <t>CUST00322</t>
  </si>
  <si>
    <t>tom2001@gmail.com</t>
  </si>
  <si>
    <t>CUST00323</t>
  </si>
  <si>
    <t>amelia1986@hotmail.com</t>
  </si>
  <si>
    <t>CUST00324</t>
  </si>
  <si>
    <t>henry.lewis@outlook.com</t>
  </si>
  <si>
    <t>CUST00325</t>
  </si>
  <si>
    <t>edwardwild@live.au</t>
  </si>
  <si>
    <t>CUST00326</t>
  </si>
  <si>
    <t>gtanaka@microsoft.com</t>
  </si>
  <si>
    <t>CUST00327</t>
  </si>
  <si>
    <t>harrisonaddam@gmail.com</t>
  </si>
  <si>
    <t>Addam</t>
  </si>
  <si>
    <t>CUST00328</t>
  </si>
  <si>
    <t>blueleilani@gmail.com</t>
  </si>
  <si>
    <t>CUST00329</t>
  </si>
  <si>
    <t>oliver94@hotmail.com</t>
  </si>
  <si>
    <t>Franks</t>
  </si>
  <si>
    <t>CUST00330</t>
  </si>
  <si>
    <t>music.olivia@aol.com</t>
  </si>
  <si>
    <t>CUST00331</t>
  </si>
  <si>
    <t>coastalhenry@outlook.com</t>
  </si>
  <si>
    <t>CUST00332</t>
  </si>
  <si>
    <t>mia.white@live.au</t>
  </si>
  <si>
    <t>CUST00333</t>
  </si>
  <si>
    <t>alex_761@optusnet.com.au</t>
  </si>
  <si>
    <t>Alex</t>
  </si>
  <si>
    <t>Flams</t>
  </si>
  <si>
    <t>CUST00334</t>
  </si>
  <si>
    <t>johnson.hudson@microsoft.com</t>
  </si>
  <si>
    <t>CUST00335</t>
  </si>
  <si>
    <t>diego.baker@microsoft.com</t>
  </si>
  <si>
    <t>Diego</t>
  </si>
  <si>
    <t>CUST00336</t>
  </si>
  <si>
    <t>bake.sienna@outlook.com</t>
  </si>
  <si>
    <t>CUST00337</t>
  </si>
  <si>
    <t>coastaljack@bigpond.com.au</t>
  </si>
  <si>
    <t>CUST00338</t>
  </si>
  <si>
    <t>singh.leo@optusnet.com.au</t>
  </si>
  <si>
    <t>CUST00339</t>
  </si>
  <si>
    <t>oliviaez@gmail.com</t>
  </si>
  <si>
    <t>CUST00340</t>
  </si>
  <si>
    <t>grace_yoga@optusnet_com_au</t>
  </si>
  <si>
    <t>CUST00341</t>
  </si>
  <si>
    <t>maxwild@live.au</t>
  </si>
  <si>
    <t>CUST00342</t>
  </si>
  <si>
    <t>bluecharlie@optusnet.com.au</t>
  </si>
  <si>
    <t>CUST00343</t>
  </si>
  <si>
    <t>kovac.jack@aol.com</t>
  </si>
  <si>
    <t>CUST00344</t>
  </si>
  <si>
    <t>anhloop@live.au</t>
  </si>
  <si>
    <t>Anh</t>
  </si>
  <si>
    <t>CUST00345</t>
  </si>
  <si>
    <t>freya.kim@live.au</t>
  </si>
  <si>
    <t>CUST00346</t>
  </si>
  <si>
    <t>arlo38@optusnet.com.au</t>
  </si>
  <si>
    <t>CUST00347</t>
  </si>
  <si>
    <t>phoebewild@aol.com</t>
  </si>
  <si>
    <t>Phoebe</t>
  </si>
  <si>
    <t>CUST00348</t>
  </si>
  <si>
    <t>henry1988@microsoft.com</t>
  </si>
  <si>
    <t>CUST00349</t>
  </si>
  <si>
    <t>georgiamail@hotmail.com</t>
  </si>
  <si>
    <t>CUST00350</t>
  </si>
  <si>
    <t>hassan2000@hotmail.com</t>
  </si>
  <si>
    <t>Hassan</t>
  </si>
  <si>
    <t>CUST00351</t>
  </si>
  <si>
    <t>willowivanova@bigpond.com.au</t>
  </si>
  <si>
    <t>Ivanova</t>
  </si>
  <si>
    <t>CUST00352</t>
  </si>
  <si>
    <t>willow79@live.au</t>
  </si>
  <si>
    <t>CUST00353</t>
  </si>
  <si>
    <t>willow.smith@gmail.com</t>
  </si>
  <si>
    <t>CUST00354</t>
  </si>
  <si>
    <t>ali.mia@aol.com</t>
  </si>
  <si>
    <t>CUST00355</t>
  </si>
  <si>
    <t>henryhot@bigpond.com.au</t>
  </si>
  <si>
    <t>CUST00356</t>
  </si>
  <si>
    <t>ruby_162@hotmail.com</t>
  </si>
  <si>
    <t>CUST00357</t>
  </si>
  <si>
    <t>mileslate@hotmail.com</t>
  </si>
  <si>
    <t>CUST00358</t>
  </si>
  <si>
    <t>bake.lucas@live.au</t>
  </si>
  <si>
    <t>CUST00359</t>
  </si>
  <si>
    <t>noah7@outlook.com</t>
  </si>
  <si>
    <t>CUST00360</t>
  </si>
  <si>
    <t>alexanderearly@gmail.com</t>
  </si>
  <si>
    <t>Aleks</t>
  </si>
  <si>
    <t>CUST00361</t>
  </si>
  <si>
    <t>jsilva@microsoft.com</t>
  </si>
  <si>
    <t>CUST00362</t>
  </si>
  <si>
    <t>z.harrison@live.au</t>
  </si>
  <si>
    <t>Zan</t>
  </si>
  <si>
    <t>CUST00363</t>
  </si>
  <si>
    <t>masonpapadopoulos@optusnet.com.au</t>
  </si>
  <si>
    <t>Kiriatidis</t>
  </si>
  <si>
    <t>CUST00364</t>
  </si>
  <si>
    <t>CUST00365</t>
  </si>
  <si>
    <t>cooper.conti@gmail.com</t>
  </si>
  <si>
    <t>CUST00366</t>
  </si>
  <si>
    <t>lunasilva@gmail.com</t>
  </si>
  <si>
    <t>DeSilva</t>
  </si>
  <si>
    <t>CUST00367</t>
  </si>
  <si>
    <t>grace90@live.au</t>
  </si>
  <si>
    <t>CUST00368</t>
  </si>
  <si>
    <t>noah.star@outlook.com</t>
  </si>
  <si>
    <t>CUST00369</t>
  </si>
  <si>
    <t>daniel.horvat@outlook.com</t>
  </si>
  <si>
    <t>CUST00370</t>
  </si>
  <si>
    <t>gracenor@bigpond.com.au</t>
  </si>
  <si>
    <t>Norton</t>
  </si>
  <si>
    <t>CUST00371</t>
  </si>
  <si>
    <t>yuki.green@gmail.com</t>
  </si>
  <si>
    <t>CUST00372</t>
  </si>
  <si>
    <t>will_809@gmail.com</t>
  </si>
  <si>
    <t>CUST00373</t>
  </si>
  <si>
    <t>lewis.noah@outlook.com</t>
  </si>
  <si>
    <t>Fillip</t>
  </si>
  <si>
    <t>CUST00374</t>
  </si>
  <si>
    <t>willowtaylor@microsoft.com</t>
  </si>
  <si>
    <t>Moana</t>
  </si>
  <si>
    <t>Tailor</t>
  </si>
  <si>
    <t>CUST00375</t>
  </si>
  <si>
    <t>travel.angus@bigpond.com.au</t>
  </si>
  <si>
    <t>CUST00376</t>
  </si>
  <si>
    <t>olivia.footy@outlook.com</t>
  </si>
  <si>
    <t>CUST00377</t>
  </si>
  <si>
    <t>wildolivia@bigpond.com.au</t>
  </si>
  <si>
    <t>Mount Gambier</t>
  </si>
  <si>
    <t>CUST00378</t>
  </si>
  <si>
    <t>lucascollins@bigpond.com.au</t>
  </si>
  <si>
    <t>Lilly</t>
  </si>
  <si>
    <t>CUST00379</t>
  </si>
  <si>
    <t>art.matilda@bigpond.com.au</t>
  </si>
  <si>
    <t>CUST00380</t>
  </si>
  <si>
    <t>scarlett2005@gmail.com</t>
  </si>
  <si>
    <t>CUST00381</t>
  </si>
  <si>
    <t>green.ali@optusnet.com.au</t>
  </si>
  <si>
    <t>CUST00382</t>
  </si>
  <si>
    <t>benjamin.conti@gmail.com</t>
  </si>
  <si>
    <t>Carlson</t>
  </si>
  <si>
    <t>CUST00383</t>
  </si>
  <si>
    <t>happyeloise@microsoft.com</t>
  </si>
  <si>
    <t>CUST00384</t>
  </si>
  <si>
    <t>lcarter@optusnet.com.au</t>
  </si>
  <si>
    <t>CUST00385</t>
  </si>
  <si>
    <t>evie.kim@aol.com</t>
  </si>
  <si>
    <t>CUST00386</t>
  </si>
  <si>
    <t>happylayla@gmail.com</t>
  </si>
  <si>
    <t>Layla</t>
  </si>
  <si>
    <t>CUST00387</t>
  </si>
  <si>
    <t>phoebe.tech@aol.com</t>
  </si>
  <si>
    <t>CUST00388</t>
  </si>
  <si>
    <t>morris.ananya@live.au</t>
  </si>
  <si>
    <t>Ananya</t>
  </si>
  <si>
    <t>Morris</t>
  </si>
  <si>
    <t>CUST00389</t>
  </si>
  <si>
    <t>sebastian1992@bigpond.com.au</t>
  </si>
  <si>
    <t>CUST00390</t>
  </si>
  <si>
    <t>yusuf.smith@bigpond.com.au</t>
  </si>
  <si>
    <t>Raisah</t>
  </si>
  <si>
    <t>Yusuf</t>
  </si>
  <si>
    <t>CUST00391</t>
  </si>
  <si>
    <t>bodhihall@yahoo.com</t>
  </si>
  <si>
    <t>CUST00392</t>
  </si>
  <si>
    <t>tau.amelia@yahoo.com</t>
  </si>
  <si>
    <t>CUST00393</t>
  </si>
  <si>
    <t>lhall@bigpond.com.au</t>
  </si>
  <si>
    <t>CUST00394</t>
  </si>
  <si>
    <t>riseandshine@optusnet.com.au</t>
  </si>
  <si>
    <t>DeAngelo</t>
  </si>
  <si>
    <t>CUST00395</t>
  </si>
  <si>
    <t>ella28@aol.com</t>
  </si>
  <si>
    <t>Florence</t>
  </si>
  <si>
    <t>CUST00396</t>
  </si>
  <si>
    <t>blueluca@gmail.com</t>
  </si>
  <si>
    <t>CUST00397</t>
  </si>
  <si>
    <t>homebrew.ana@outlook.com</t>
  </si>
  <si>
    <t>Aviana</t>
  </si>
  <si>
    <t>CUST00398</t>
  </si>
  <si>
    <t>amelialate@bigpond.com.au</t>
  </si>
  <si>
    <t>CUST00399</t>
  </si>
  <si>
    <t>eloise63@gmail.com</t>
  </si>
  <si>
    <t>CUST00400</t>
  </si>
  <si>
    <t>mateo.mail@aol.com</t>
  </si>
  <si>
    <t>CUST00401</t>
  </si>
  <si>
    <t>sadieeeeee@microsoft.com</t>
  </si>
  <si>
    <t>CUST00402</t>
  </si>
  <si>
    <t>supethan@microsoft.com</t>
  </si>
  <si>
    <t>CUST00403</t>
  </si>
  <si>
    <t>ali20@live.au</t>
  </si>
  <si>
    <t>CUST00404</t>
  </si>
  <si>
    <t>music.thuy@bigpond.com.au</t>
  </si>
  <si>
    <t>CUST00405</t>
  </si>
  <si>
    <t>hamish.pereira@outlook.com</t>
  </si>
  <si>
    <t>Hamish</t>
  </si>
  <si>
    <t>CUST00406</t>
  </si>
  <si>
    <t>sebastian_666@hotmail.com</t>
  </si>
  <si>
    <t>CUST00407</t>
  </si>
  <si>
    <t>nowmail@hotmail.com</t>
  </si>
  <si>
    <t>CUST00408</t>
  </si>
  <si>
    <t>coastaldan@bigpond.com.au</t>
  </si>
  <si>
    <t>CUST00409</t>
  </si>
  <si>
    <t>turner.willow@aol.com</t>
  </si>
  <si>
    <t>Trainor</t>
  </si>
  <si>
    <t>CUST00410</t>
  </si>
  <si>
    <t>costa.scarlett@aol.com</t>
  </si>
  <si>
    <t>Costas</t>
  </si>
  <si>
    <t>CUST00411</t>
  </si>
  <si>
    <t>horvat.charlie@microsoft.com</t>
  </si>
  <si>
    <t>CUST00412</t>
  </si>
  <si>
    <t>coastalomar@yahoo.com</t>
  </si>
  <si>
    <t>CUST00413</t>
  </si>
  <si>
    <t>kingofthecoop@microsoft.com</t>
  </si>
  <si>
    <t>CUST00414</t>
  </si>
  <si>
    <t>avablue@hotmail.com</t>
  </si>
  <si>
    <t>CUST00415</t>
  </si>
  <si>
    <t>luna.coffee@bigpond.com.au</t>
  </si>
  <si>
    <t>CUST00416</t>
  </si>
  <si>
    <t>will93@outlook.com</t>
  </si>
  <si>
    <t>CUST00417</t>
  </si>
  <si>
    <t>evieturner@gmail.com</t>
  </si>
  <si>
    <t>Trader</t>
  </si>
  <si>
    <t>CUST00418</t>
  </si>
  <si>
    <t>willowraven@outlook.com</t>
  </si>
  <si>
    <t>Maia</t>
  </si>
  <si>
    <t>CUST00419</t>
  </si>
  <si>
    <t>happyamelia@outlook.com</t>
  </si>
  <si>
    <t>CUST00420</t>
  </si>
  <si>
    <t>avaurban@yahoo.com</t>
  </si>
  <si>
    <t>CUST00421</t>
  </si>
  <si>
    <t>alex1991@live.au</t>
  </si>
  <si>
    <t>CUST00422</t>
  </si>
  <si>
    <t>isla.coffee@microsoft.com</t>
  </si>
  <si>
    <t>CUST00423</t>
  </si>
  <si>
    <t>sharma.sophie@microsoft.com</t>
  </si>
  <si>
    <t>CUST00424</t>
  </si>
  <si>
    <t>william.horvat@gmail.com</t>
  </si>
  <si>
    <t>CUST00425</t>
  </si>
  <si>
    <t>graceconti@gmail.com</t>
  </si>
  <si>
    <t>CUST00426</t>
  </si>
  <si>
    <t>white.willow@microsoft.com</t>
  </si>
  <si>
    <t>CUST00427</t>
  </si>
  <si>
    <t>mcooper_20@microsoft.com</t>
  </si>
  <si>
    <t>CUST00428</t>
  </si>
  <si>
    <t>sophie1985@gmail.com</t>
  </si>
  <si>
    <t>Tardy</t>
  </si>
  <si>
    <t>CUST00429</t>
  </si>
  <si>
    <t>bonnie.roberts@bigpond.com.au</t>
  </si>
  <si>
    <t>CUST00430</t>
  </si>
  <si>
    <t>amelia.bake@aol.com</t>
  </si>
  <si>
    <t>CUST00431</t>
  </si>
  <si>
    <t>phoebeurban@hotmail.com</t>
  </si>
  <si>
    <t>CUST00432</t>
  </si>
  <si>
    <t>latewill@gmail.com</t>
  </si>
  <si>
    <t>CUST00433</t>
  </si>
  <si>
    <t>cpereira@aol.com</t>
  </si>
  <si>
    <t>CUST00434</t>
  </si>
  <si>
    <t>mgeorgiou@hotmail.com</t>
  </si>
  <si>
    <t>CUST00435</t>
  </si>
  <si>
    <t>isla_508@bigpond.com.au</t>
  </si>
  <si>
    <t>Clarke</t>
  </si>
  <si>
    <t>CUST00436</t>
  </si>
  <si>
    <t>wilson.felix@gmail.com</t>
  </si>
  <si>
    <t>CUST00437</t>
  </si>
  <si>
    <t>maisie_171@aol.com</t>
  </si>
  <si>
    <t>CUST00438</t>
  </si>
  <si>
    <t>ella92@hotmail.com</t>
  </si>
  <si>
    <t>McGuinness</t>
  </si>
  <si>
    <t>CUST00439</t>
  </si>
  <si>
    <t>wildolivia@aol.com</t>
  </si>
  <si>
    <t>CUST00440</t>
  </si>
  <si>
    <t>wen1980@optusnet.com.au</t>
  </si>
  <si>
    <t>CUST00441</t>
  </si>
  <si>
    <t>art.ella@bigpond.com.au</t>
  </si>
  <si>
    <t>order_id</t>
  </si>
  <si>
    <t>order_date</t>
  </si>
  <si>
    <t>delivery_est</t>
  </si>
  <si>
    <t>delivery_date</t>
  </si>
  <si>
    <t>order_total_aud</t>
  </si>
  <si>
    <t>delivery_delay</t>
  </si>
  <si>
    <t>Delivery_time_all</t>
  </si>
  <si>
    <t>Delay (-)/On time (+)_all</t>
  </si>
  <si>
    <t>ORD000001</t>
  </si>
  <si>
    <t>ORD000002</t>
  </si>
  <si>
    <t>ORD000003</t>
  </si>
  <si>
    <t>ORD000004</t>
  </si>
  <si>
    <t>ORD000005</t>
  </si>
  <si>
    <t>ORD000006</t>
  </si>
  <si>
    <t>ORD000007</t>
  </si>
  <si>
    <t>ORD000008</t>
  </si>
  <si>
    <t>ORD000009</t>
  </si>
  <si>
    <t>ORD000010</t>
  </si>
  <si>
    <t>ORD000011</t>
  </si>
  <si>
    <t>ORD000012</t>
  </si>
  <si>
    <t>ORD000013</t>
  </si>
  <si>
    <t>ORD000014</t>
  </si>
  <si>
    <t>ORD000015</t>
  </si>
  <si>
    <t>ORD000016</t>
  </si>
  <si>
    <t>ORD000017</t>
  </si>
  <si>
    <t>ORD000018</t>
  </si>
  <si>
    <t>ORD000019</t>
  </si>
  <si>
    <t>ORD000020</t>
  </si>
  <si>
    <t>ORD000021</t>
  </si>
  <si>
    <t>ORD000022</t>
  </si>
  <si>
    <t>ORD000023</t>
  </si>
  <si>
    <t>ORD000024</t>
  </si>
  <si>
    <t>ORD000025</t>
  </si>
  <si>
    <t>ORD000026</t>
  </si>
  <si>
    <t>ORD000027</t>
  </si>
  <si>
    <t>ORD000028</t>
  </si>
  <si>
    <t>ORD000029</t>
  </si>
  <si>
    <t>ORD000030</t>
  </si>
  <si>
    <t>ORD000031</t>
  </si>
  <si>
    <t>ORD000032</t>
  </si>
  <si>
    <t>ORD000033</t>
  </si>
  <si>
    <t>ORD000034</t>
  </si>
  <si>
    <t>ORD000035</t>
  </si>
  <si>
    <t>ORD000036</t>
  </si>
  <si>
    <t>ORD000037</t>
  </si>
  <si>
    <t>ORD000038</t>
  </si>
  <si>
    <t>ORD000039</t>
  </si>
  <si>
    <t>ORD000040</t>
  </si>
  <si>
    <t>ORD000041</t>
  </si>
  <si>
    <t>ORD000042</t>
  </si>
  <si>
    <t>ORD000043</t>
  </si>
  <si>
    <t>ORD000044</t>
  </si>
  <si>
    <t>ORD000045</t>
  </si>
  <si>
    <t>ORD000046</t>
  </si>
  <si>
    <t>ORD000047</t>
  </si>
  <si>
    <t>ORD000048</t>
  </si>
  <si>
    <t>ORD000049</t>
  </si>
  <si>
    <t>ORD000050</t>
  </si>
  <si>
    <t>ORD000051</t>
  </si>
  <si>
    <t>ORD000052</t>
  </si>
  <si>
    <t>ORD000053</t>
  </si>
  <si>
    <t>ORD000054</t>
  </si>
  <si>
    <t>ORD000055</t>
  </si>
  <si>
    <t>ORD000056</t>
  </si>
  <si>
    <t>ORD000057</t>
  </si>
  <si>
    <t>ORD000058</t>
  </si>
  <si>
    <t>ORD000059</t>
  </si>
  <si>
    <t>ORD000060</t>
  </si>
  <si>
    <t>ORD000061</t>
  </si>
  <si>
    <t>ORD000062</t>
  </si>
  <si>
    <t>ORD000063</t>
  </si>
  <si>
    <t>ORD000064</t>
  </si>
  <si>
    <t>ORD000065</t>
  </si>
  <si>
    <t>ORD000066</t>
  </si>
  <si>
    <t>ORD000067</t>
  </si>
  <si>
    <t>ORD000068</t>
  </si>
  <si>
    <t>ORD000069</t>
  </si>
  <si>
    <t>ORD000070</t>
  </si>
  <si>
    <t>ORD000071</t>
  </si>
  <si>
    <t>ORD000072</t>
  </si>
  <si>
    <t>ORD000073</t>
  </si>
  <si>
    <t>ORD000074</t>
  </si>
  <si>
    <t>ORD000075</t>
  </si>
  <si>
    <t>ORD000076</t>
  </si>
  <si>
    <t>ORD000077</t>
  </si>
  <si>
    <t>ORD000078</t>
  </si>
  <si>
    <t>ORD000079</t>
  </si>
  <si>
    <t>ORD000080</t>
  </si>
  <si>
    <t>ORD000081</t>
  </si>
  <si>
    <t>ORD000082</t>
  </si>
  <si>
    <t>ORD000083</t>
  </si>
  <si>
    <t>ORD000084</t>
  </si>
  <si>
    <t>ORD000085</t>
  </si>
  <si>
    <t>ORD000086</t>
  </si>
  <si>
    <t>ORD000087</t>
  </si>
  <si>
    <t>ORD000088</t>
  </si>
  <si>
    <t>ORD000089</t>
  </si>
  <si>
    <t>ORD000090</t>
  </si>
  <si>
    <t>ORD000091</t>
  </si>
  <si>
    <t>ORD000092</t>
  </si>
  <si>
    <t>ORD000093</t>
  </si>
  <si>
    <t>ORD000094</t>
  </si>
  <si>
    <t>ORD000095</t>
  </si>
  <si>
    <t>ORD000096</t>
  </si>
  <si>
    <t>ORD000097</t>
  </si>
  <si>
    <t>ORD000098</t>
  </si>
  <si>
    <t>ORD000099</t>
  </si>
  <si>
    <t>ORD000100</t>
  </si>
  <si>
    <t>ORD000101</t>
  </si>
  <si>
    <t>ORD000102</t>
  </si>
  <si>
    <t>ORD000103</t>
  </si>
  <si>
    <t>ORD000104</t>
  </si>
  <si>
    <t>ORD000105</t>
  </si>
  <si>
    <t>ORD000106</t>
  </si>
  <si>
    <t>ORD000107</t>
  </si>
  <si>
    <t>ORD000108</t>
  </si>
  <si>
    <t>ORD000109</t>
  </si>
  <si>
    <t>ORD000110</t>
  </si>
  <si>
    <t>ORD000111</t>
  </si>
  <si>
    <t>ORD000112</t>
  </si>
  <si>
    <t>ORD000113</t>
  </si>
  <si>
    <t>ORD000114</t>
  </si>
  <si>
    <t>ORD000115</t>
  </si>
  <si>
    <t>ORD000116</t>
  </si>
  <si>
    <t>ORD000117</t>
  </si>
  <si>
    <t>ORD000118</t>
  </si>
  <si>
    <t>ORD000119</t>
  </si>
  <si>
    <t>ORD000120</t>
  </si>
  <si>
    <t>ORD000121</t>
  </si>
  <si>
    <t>ORD000122</t>
  </si>
  <si>
    <t>ORD000123</t>
  </si>
  <si>
    <t>ORD000124</t>
  </si>
  <si>
    <t>ORD000125</t>
  </si>
  <si>
    <t>ORD000126</t>
  </si>
  <si>
    <t>ORD000127</t>
  </si>
  <si>
    <t>ORD000128</t>
  </si>
  <si>
    <t>ORD000129</t>
  </si>
  <si>
    <t>ORD000130</t>
  </si>
  <si>
    <t>ORD000131</t>
  </si>
  <si>
    <t>ORD000132</t>
  </si>
  <si>
    <t>ORD000133</t>
  </si>
  <si>
    <t>ORD000134</t>
  </si>
  <si>
    <t>ORD000135</t>
  </si>
  <si>
    <t>ORD000136</t>
  </si>
  <si>
    <t>avergae of 25</t>
  </si>
  <si>
    <t>ORD000137</t>
  </si>
  <si>
    <t>ORD000138</t>
  </si>
  <si>
    <t>ORD000139</t>
  </si>
  <si>
    <t>ORD000140</t>
  </si>
  <si>
    <t>ORD000141</t>
  </si>
  <si>
    <t>ORD000142</t>
  </si>
  <si>
    <t>ORD000143</t>
  </si>
  <si>
    <t>ORD000144</t>
  </si>
  <si>
    <t>ORD000145</t>
  </si>
  <si>
    <t>ORD000146</t>
  </si>
  <si>
    <t>ORD000147</t>
  </si>
  <si>
    <t>ORD000148</t>
  </si>
  <si>
    <t>ORD000149</t>
  </si>
  <si>
    <t>ORD000150</t>
  </si>
  <si>
    <t>ORD000151</t>
  </si>
  <si>
    <t>ORD000152</t>
  </si>
  <si>
    <t>ORD000153</t>
  </si>
  <si>
    <t>ORD000154</t>
  </si>
  <si>
    <t>ORD000155</t>
  </si>
  <si>
    <t>ORD000156</t>
  </si>
  <si>
    <t>ORD000157</t>
  </si>
  <si>
    <t>ORD000158</t>
  </si>
  <si>
    <t>ORD000159</t>
  </si>
  <si>
    <t>ORD000160</t>
  </si>
  <si>
    <t>ORD000161</t>
  </si>
  <si>
    <t>ORD000162</t>
  </si>
  <si>
    <t>ORD000163</t>
  </si>
  <si>
    <t>ORD000164</t>
  </si>
  <si>
    <t>ORD000165</t>
  </si>
  <si>
    <t>ORD000166</t>
  </si>
  <si>
    <t>ORD000167</t>
  </si>
  <si>
    <t>ORD000168</t>
  </si>
  <si>
    <t>ORD000169</t>
  </si>
  <si>
    <t>ORD000170</t>
  </si>
  <si>
    <t>ORD000171</t>
  </si>
  <si>
    <t>ORD000172</t>
  </si>
  <si>
    <t>ORD000173</t>
  </si>
  <si>
    <t>ORD000174</t>
  </si>
  <si>
    <t>ORD000175</t>
  </si>
  <si>
    <t>ORD000176</t>
  </si>
  <si>
    <t>ORD000177</t>
  </si>
  <si>
    <t>ORD000178</t>
  </si>
  <si>
    <t>ORD000179</t>
  </si>
  <si>
    <t>ORD000180</t>
  </si>
  <si>
    <t>ORD000181</t>
  </si>
  <si>
    <t>ORD000182</t>
  </si>
  <si>
    <t>ORD000183</t>
  </si>
  <si>
    <t>ORD000184</t>
  </si>
  <si>
    <t>ORD000185</t>
  </si>
  <si>
    <t>ORD000186</t>
  </si>
  <si>
    <t>ORD000187</t>
  </si>
  <si>
    <t>ORD000188</t>
  </si>
  <si>
    <t>ORD000189</t>
  </si>
  <si>
    <t>ORD000190</t>
  </si>
  <si>
    <t>ORD000191</t>
  </si>
  <si>
    <t>ORD000192</t>
  </si>
  <si>
    <t>ORD000193</t>
  </si>
  <si>
    <t>ORD000194</t>
  </si>
  <si>
    <t>ORD000195</t>
  </si>
  <si>
    <t>ORD000196</t>
  </si>
  <si>
    <t>ORD000197</t>
  </si>
  <si>
    <t>ORD000198</t>
  </si>
  <si>
    <t>ORD000199</t>
  </si>
  <si>
    <t>ORD000200</t>
  </si>
  <si>
    <t>ORD000201</t>
  </si>
  <si>
    <t>ORD000202</t>
  </si>
  <si>
    <t>ORD000203</t>
  </si>
  <si>
    <t>ORD000204</t>
  </si>
  <si>
    <t>ORD000205</t>
  </si>
  <si>
    <t>ORD000206</t>
  </si>
  <si>
    <t>ORD000207</t>
  </si>
  <si>
    <t>ORD000208</t>
  </si>
  <si>
    <t>ORD000209</t>
  </si>
  <si>
    <t>ORD000210</t>
  </si>
  <si>
    <t>ORD000211</t>
  </si>
  <si>
    <t>ORD000212</t>
  </si>
  <si>
    <t>ORD000213</t>
  </si>
  <si>
    <t>ORD000214</t>
  </si>
  <si>
    <t>ORD000215</t>
  </si>
  <si>
    <t>ORD000216</t>
  </si>
  <si>
    <t>ORD000217</t>
  </si>
  <si>
    <t>ORD000218</t>
  </si>
  <si>
    <t>ORD000219</t>
  </si>
  <si>
    <t>ORD000220</t>
  </si>
  <si>
    <t>ORD000221</t>
  </si>
  <si>
    <t>ORD000222</t>
  </si>
  <si>
    <t>ORD000223</t>
  </si>
  <si>
    <t>ORD000224</t>
  </si>
  <si>
    <t>ORD000225</t>
  </si>
  <si>
    <t>ORD000226</t>
  </si>
  <si>
    <t>ORD000227</t>
  </si>
  <si>
    <t>ORD000228</t>
  </si>
  <si>
    <t>ORD000229</t>
  </si>
  <si>
    <t>ORD000230</t>
  </si>
  <si>
    <t>ORD000231</t>
  </si>
  <si>
    <t>ORD000232</t>
  </si>
  <si>
    <t>ORD000233</t>
  </si>
  <si>
    <t>ORD000234</t>
  </si>
  <si>
    <t>ORD000235</t>
  </si>
  <si>
    <t>ORD000236</t>
  </si>
  <si>
    <t>ORD000237</t>
  </si>
  <si>
    <t>ORD000238</t>
  </si>
  <si>
    <t>ORD000239</t>
  </si>
  <si>
    <t>ORD000240</t>
  </si>
  <si>
    <t>ORD000241</t>
  </si>
  <si>
    <t>ORD000242</t>
  </si>
  <si>
    <t>ORD000243</t>
  </si>
  <si>
    <t>ORD000244</t>
  </si>
  <si>
    <t>ORD000245</t>
  </si>
  <si>
    <t>ORD000246</t>
  </si>
  <si>
    <t>ORD000247</t>
  </si>
  <si>
    <t>ORD000248</t>
  </si>
  <si>
    <t>ORD000249</t>
  </si>
  <si>
    <t>ORD000250</t>
  </si>
  <si>
    <t>ORD000251</t>
  </si>
  <si>
    <t>ORD000252</t>
  </si>
  <si>
    <t>ORD000253</t>
  </si>
  <si>
    <t>ORD000254</t>
  </si>
  <si>
    <t>ORD000255</t>
  </si>
  <si>
    <t>ORD000256</t>
  </si>
  <si>
    <t>ORD000257</t>
  </si>
  <si>
    <t>ORD000258</t>
  </si>
  <si>
    <t>ORD000259</t>
  </si>
  <si>
    <t>ORD000260</t>
  </si>
  <si>
    <t>ORD000261</t>
  </si>
  <si>
    <t>ORD000262</t>
  </si>
  <si>
    <t>ORD000263</t>
  </si>
  <si>
    <t>ORD000264</t>
  </si>
  <si>
    <t>ORD000265</t>
  </si>
  <si>
    <t>ORD000266</t>
  </si>
  <si>
    <t>ORD000267</t>
  </si>
  <si>
    <t>ORD000268</t>
  </si>
  <si>
    <t>ORD000269</t>
  </si>
  <si>
    <t>ORD000270</t>
  </si>
  <si>
    <t>ORD000271</t>
  </si>
  <si>
    <t>ORD000272</t>
  </si>
  <si>
    <t>ORD000273</t>
  </si>
  <si>
    <t>ORD000274</t>
  </si>
  <si>
    <t>ORD000275</t>
  </si>
  <si>
    <t>ORD000276</t>
  </si>
  <si>
    <t>ORD000277</t>
  </si>
  <si>
    <t>ORD000278</t>
  </si>
  <si>
    <t>ORD000279</t>
  </si>
  <si>
    <t>ORD000280</t>
  </si>
  <si>
    <t>ORD000281</t>
  </si>
  <si>
    <t>ORD000282</t>
  </si>
  <si>
    <t>ORD000283</t>
  </si>
  <si>
    <t>ORD000284</t>
  </si>
  <si>
    <t>ORD000285</t>
  </si>
  <si>
    <t>ORD000286</t>
  </si>
  <si>
    <t>ORD000287</t>
  </si>
  <si>
    <t>ORD000288</t>
  </si>
  <si>
    <t>ORD000289</t>
  </si>
  <si>
    <t>ORD000290</t>
  </si>
  <si>
    <t>ORD000291</t>
  </si>
  <si>
    <t>ORD000292</t>
  </si>
  <si>
    <t>ORD000293</t>
  </si>
  <si>
    <t>ORD000294</t>
  </si>
  <si>
    <t>ORD000295</t>
  </si>
  <si>
    <t>ORD000296</t>
  </si>
  <si>
    <t>ORD000297</t>
  </si>
  <si>
    <t>ORD000298</t>
  </si>
  <si>
    <t>ORD000299</t>
  </si>
  <si>
    <t>ORD000300</t>
  </si>
  <si>
    <t>ORD000301</t>
  </si>
  <si>
    <t>ORD000302</t>
  </si>
  <si>
    <t>ORD000303</t>
  </si>
  <si>
    <t>ORD000304</t>
  </si>
  <si>
    <t>ORD000305</t>
  </si>
  <si>
    <t>ORD000306</t>
  </si>
  <si>
    <t>ORD000307</t>
  </si>
  <si>
    <t>ORD000308</t>
  </si>
  <si>
    <t>ORD000309</t>
  </si>
  <si>
    <t>ORD000310</t>
  </si>
  <si>
    <t>ORD000311</t>
  </si>
  <si>
    <t>ORD000312</t>
  </si>
  <si>
    <t>ORD000313</t>
  </si>
  <si>
    <t>ORD000314</t>
  </si>
  <si>
    <t>ORD000315</t>
  </si>
  <si>
    <t>ORD000316</t>
  </si>
  <si>
    <t>ORD000317</t>
  </si>
  <si>
    <t>ORD000318</t>
  </si>
  <si>
    <t>ORD000319</t>
  </si>
  <si>
    <t>ORD000320</t>
  </si>
  <si>
    <t>ORD000321</t>
  </si>
  <si>
    <t>ORD000322</t>
  </si>
  <si>
    <t>ORD000323</t>
  </si>
  <si>
    <t>ORD000324</t>
  </si>
  <si>
    <t>ORD000325</t>
  </si>
  <si>
    <t>ORD000326</t>
  </si>
  <si>
    <t>ORD000327</t>
  </si>
  <si>
    <t>ORD000328</t>
  </si>
  <si>
    <t>ORD000329</t>
  </si>
  <si>
    <t>ORD000330</t>
  </si>
  <si>
    <t>ORD000331</t>
  </si>
  <si>
    <t>ORD000332</t>
  </si>
  <si>
    <t>ORD000333</t>
  </si>
  <si>
    <t>ORD000334</t>
  </si>
  <si>
    <t>ORD000335</t>
  </si>
  <si>
    <t>ORD000336</t>
  </si>
  <si>
    <t>ORD000337</t>
  </si>
  <si>
    <t>ORD000338</t>
  </si>
  <si>
    <t>ORD000339</t>
  </si>
  <si>
    <t>ORD000340</t>
  </si>
  <si>
    <t>ORD000341</t>
  </si>
  <si>
    <t>ORD000342</t>
  </si>
  <si>
    <t>ORD000343</t>
  </si>
  <si>
    <t>ORD000344</t>
  </si>
  <si>
    <t>ORD000345</t>
  </si>
  <si>
    <t>ORD000346</t>
  </si>
  <si>
    <t>ORD000347</t>
  </si>
  <si>
    <t>ORD000348</t>
  </si>
  <si>
    <t>ORD000349</t>
  </si>
  <si>
    <t>ORD000350</t>
  </si>
  <si>
    <t>ORD000351</t>
  </si>
  <si>
    <t>ORD000352</t>
  </si>
  <si>
    <t>ORD000353</t>
  </si>
  <si>
    <t>ORD000354</t>
  </si>
  <si>
    <t>ORD000355</t>
  </si>
  <si>
    <t>ORD000356</t>
  </si>
  <si>
    <t>ORD000357</t>
  </si>
  <si>
    <t>ORD000358</t>
  </si>
  <si>
    <t>ORD000359</t>
  </si>
  <si>
    <t>ORD000360</t>
  </si>
  <si>
    <t>ORD000361</t>
  </si>
  <si>
    <t>ORD000362</t>
  </si>
  <si>
    <t>ORD000363</t>
  </si>
  <si>
    <t>ORD000364</t>
  </si>
  <si>
    <t>ORD000365</t>
  </si>
  <si>
    <t>ORD000366</t>
  </si>
  <si>
    <t>ORD000367</t>
  </si>
  <si>
    <t>ORD000368</t>
  </si>
  <si>
    <t>ORD000369</t>
  </si>
  <si>
    <t>ORD000370</t>
  </si>
  <si>
    <t>ORD000371</t>
  </si>
  <si>
    <t>ORD000372</t>
  </si>
  <si>
    <t>ORD000373</t>
  </si>
  <si>
    <t>ORD000374</t>
  </si>
  <si>
    <t>ORD000375</t>
  </si>
  <si>
    <t>ORD000376</t>
  </si>
  <si>
    <t>ORD000377</t>
  </si>
  <si>
    <t>ORD000378</t>
  </si>
  <si>
    <t>ORD000379</t>
  </si>
  <si>
    <t>ORD000380</t>
  </si>
  <si>
    <t>ORD000381</t>
  </si>
  <si>
    <t>ORD000382</t>
  </si>
  <si>
    <t>ORD000383</t>
  </si>
  <si>
    <t>ORD000384</t>
  </si>
  <si>
    <t>ORD000385</t>
  </si>
  <si>
    <t>ORD000386</t>
  </si>
  <si>
    <t>ORD000387</t>
  </si>
  <si>
    <t>ORD000388</t>
  </si>
  <si>
    <t>ORD000389</t>
  </si>
  <si>
    <t>ORD000390</t>
  </si>
  <si>
    <t>ORD000391</t>
  </si>
  <si>
    <t>ORD000392</t>
  </si>
  <si>
    <t>ORD000393</t>
  </si>
  <si>
    <t>ORD000394</t>
  </si>
  <si>
    <t>ORD000395</t>
  </si>
  <si>
    <t>ORD000396</t>
  </si>
  <si>
    <t>ORD000397</t>
  </si>
  <si>
    <t>ORD000398</t>
  </si>
  <si>
    <t>ORD000399</t>
  </si>
  <si>
    <t>ORD000400</t>
  </si>
  <si>
    <t>ORD000401</t>
  </si>
  <si>
    <t>ORD000402</t>
  </si>
  <si>
    <t>ORD000403</t>
  </si>
  <si>
    <t>ORD000404</t>
  </si>
  <si>
    <t>ORD000405</t>
  </si>
  <si>
    <t>ORD000406</t>
  </si>
  <si>
    <t>ORD000407</t>
  </si>
  <si>
    <t>ORD000408</t>
  </si>
  <si>
    <t>ORD000409</t>
  </si>
  <si>
    <t>ORD000410</t>
  </si>
  <si>
    <t>ORD000411</t>
  </si>
  <si>
    <t>ORD000412</t>
  </si>
  <si>
    <t>ORD000413</t>
  </si>
  <si>
    <t>ORD000414</t>
  </si>
  <si>
    <t>ORD000415</t>
  </si>
  <si>
    <t>ORD000416</t>
  </si>
  <si>
    <t>ORD000417</t>
  </si>
  <si>
    <t>ORD000418</t>
  </si>
  <si>
    <t>ORD000419</t>
  </si>
  <si>
    <t>ORD000420</t>
  </si>
  <si>
    <t>ORD000421</t>
  </si>
  <si>
    <t>ORD000422</t>
  </si>
  <si>
    <t>ORD000423</t>
  </si>
  <si>
    <t>ORD000424</t>
  </si>
  <si>
    <t>ORD000425</t>
  </si>
  <si>
    <t>ORD000426</t>
  </si>
  <si>
    <t>ORD000427</t>
  </si>
  <si>
    <t>ORD000428</t>
  </si>
  <si>
    <t>ORD000429</t>
  </si>
  <si>
    <t>ORD000430</t>
  </si>
  <si>
    <t>ORD000431</t>
  </si>
  <si>
    <t>ORD000432</t>
  </si>
  <si>
    <t>ORD000433</t>
  </si>
  <si>
    <t>ORD000434</t>
  </si>
  <si>
    <t>ORD000435</t>
  </si>
  <si>
    <t>ORD000436</t>
  </si>
  <si>
    <t>ORD000437</t>
  </si>
  <si>
    <t>ORD000438</t>
  </si>
  <si>
    <t>ORD000439</t>
  </si>
  <si>
    <t>ORD000440</t>
  </si>
  <si>
    <t>ORD000441</t>
  </si>
  <si>
    <t>ORD000442</t>
  </si>
  <si>
    <t>ORD000443</t>
  </si>
  <si>
    <t>ORD000444</t>
  </si>
  <si>
    <t>ORD000445</t>
  </si>
  <si>
    <t>ORD000446</t>
  </si>
  <si>
    <t>ORD000447</t>
  </si>
  <si>
    <t>ORD000448</t>
  </si>
  <si>
    <t>ORD000449</t>
  </si>
  <si>
    <t>ORD000450</t>
  </si>
  <si>
    <t>ORD000451</t>
  </si>
  <si>
    <t>ORD000452</t>
  </si>
  <si>
    <t>ORD000453</t>
  </si>
  <si>
    <t>ORD000454</t>
  </si>
  <si>
    <t>ORD000455</t>
  </si>
  <si>
    <t>ORD000456</t>
  </si>
  <si>
    <t>ORD000457</t>
  </si>
  <si>
    <t>ORD000458</t>
  </si>
  <si>
    <t>ORD000459</t>
  </si>
  <si>
    <t>ORD000460</t>
  </si>
  <si>
    <t>ORD000461</t>
  </si>
  <si>
    <t>ORD000462</t>
  </si>
  <si>
    <t>ORD000463</t>
  </si>
  <si>
    <t>ORD000464</t>
  </si>
  <si>
    <t>ORD000465</t>
  </si>
  <si>
    <t>ORD000466</t>
  </si>
  <si>
    <t>ORD000467</t>
  </si>
  <si>
    <t>ORD000468</t>
  </si>
  <si>
    <t>ORD000469</t>
  </si>
  <si>
    <t>ORD000470</t>
  </si>
  <si>
    <t>ORD000471</t>
  </si>
  <si>
    <t>ORD000472</t>
  </si>
  <si>
    <t>ORD000473</t>
  </si>
  <si>
    <t>ORD000474</t>
  </si>
  <si>
    <t>ORD000475</t>
  </si>
  <si>
    <t>ORD000476</t>
  </si>
  <si>
    <t>ORD000477</t>
  </si>
  <si>
    <t>ORD000478</t>
  </si>
  <si>
    <t>item_revenue</t>
  </si>
  <si>
    <t>Sum of item_revenue</t>
  </si>
  <si>
    <t>Average of product_price</t>
  </si>
  <si>
    <t>Column Labels</t>
  </si>
  <si>
    <t>Seller_id</t>
  </si>
  <si>
    <t>Rating</t>
  </si>
  <si>
    <t>delivery_status</t>
  </si>
  <si>
    <t>numerical_delivery</t>
  </si>
  <si>
    <t>Delay</t>
  </si>
  <si>
    <t>average review per seller</t>
  </si>
  <si>
    <t>total order per seller</t>
  </si>
  <si>
    <t>% of poor reviews</t>
  </si>
  <si>
    <t>best/ worst product</t>
  </si>
  <si>
    <t>best/ worst seller</t>
  </si>
  <si>
    <t>count of review</t>
  </si>
  <si>
    <t>On time</t>
  </si>
  <si>
    <t>Early Delivery</t>
  </si>
  <si>
    <t>review_rating</t>
  </si>
  <si>
    <t>reason_review_product</t>
  </si>
  <si>
    <t>reason_review_delivery</t>
  </si>
  <si>
    <t>reason_review_price</t>
  </si>
  <si>
    <t>reason_review_service</t>
  </si>
  <si>
    <t>rev_order_date</t>
  </si>
  <si>
    <t>rev_delivery_est</t>
  </si>
  <si>
    <t>rev_delivery_date</t>
  </si>
  <si>
    <t>rev_delivery_duration</t>
  </si>
  <si>
    <t>rev_delay_on_time</t>
  </si>
  <si>
    <t>Delivery_status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</si>
</sst>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[$AUD]\ #,##0.00"/>
  </numFmts>
  <fonts count="12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Calibri"/>
      <scheme val="minor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color rgb="FF242424"/>
      <name val="Aptos Narrow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0" borderId="1" xfId="0" applyFont="1" applyBorder="1" applyAlignment="1">
      <alignment horizontal="center" vertical="top"/>
    </xf>
    <xf numFmtId="0" fontId="4" fillId="0" borderId="0" xfId="0" applyFont="1"/>
    <xf numFmtId="164" fontId="5" fillId="0" borderId="0" xfId="0" applyNumberFormat="1" applyFont="1"/>
    <xf numFmtId="0" fontId="3" fillId="0" borderId="2" xfId="0" applyFont="1" applyBorder="1" applyAlignment="1">
      <alignment horizontal="center" vertical="top"/>
    </xf>
    <xf numFmtId="0" fontId="3" fillId="0" borderId="3" xfId="0" applyFont="1" applyBorder="1" applyAlignment="1">
      <alignment horizontal="center" vertical="top"/>
    </xf>
    <xf numFmtId="165" fontId="0" fillId="0" borderId="0" xfId="0" applyNumberFormat="1"/>
    <xf numFmtId="165" fontId="6" fillId="0" borderId="1" xfId="0" applyNumberFormat="1" applyFont="1" applyBorder="1" applyAlignment="1">
      <alignment horizontal="center" vertical="top"/>
    </xf>
    <xf numFmtId="0" fontId="6" fillId="0" borderId="2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7" fillId="0" borderId="0" xfId="0" applyFont="1"/>
    <xf numFmtId="0" fontId="3" fillId="0" borderId="0" xfId="0" applyFont="1" applyAlignment="1">
      <alignment horizontal="center" vertical="top"/>
    </xf>
    <xf numFmtId="2" fontId="0" fillId="0" borderId="0" xfId="0" applyNumberFormat="1"/>
    <xf numFmtId="0" fontId="0" fillId="2" borderId="0" xfId="0" applyFill="1"/>
    <xf numFmtId="0" fontId="2" fillId="0" borderId="0" xfId="0" applyFont="1"/>
    <xf numFmtId="164" fontId="5" fillId="2" borderId="0" xfId="0" applyNumberFormat="1" applyFont="1" applyFill="1"/>
    <xf numFmtId="0" fontId="9" fillId="0" borderId="2" xfId="0" applyFont="1" applyBorder="1"/>
    <xf numFmtId="0" fontId="9" fillId="0" borderId="2" xfId="0" applyFont="1" applyBorder="1" applyAlignment="1">
      <alignment wrapText="1"/>
    </xf>
    <xf numFmtId="0" fontId="9" fillId="0" borderId="0" xfId="0" applyFont="1"/>
    <xf numFmtId="0" fontId="10" fillId="0" borderId="0" xfId="0" applyFont="1"/>
    <xf numFmtId="0" fontId="10" fillId="0" borderId="0" xfId="0" applyFont="1" applyAlignment="1">
      <alignment wrapText="1"/>
    </xf>
    <xf numFmtId="0" fontId="11" fillId="0" borderId="0" xfId="0" applyFont="1"/>
    <xf numFmtId="0" fontId="9" fillId="0" borderId="0" xfId="0" applyFont="1" applyAlignment="1">
      <alignment wrapText="1"/>
    </xf>
    <xf numFmtId="0" fontId="8" fillId="0" borderId="0" xfId="0" applyFont="1"/>
    <xf numFmtId="164" fontId="5" fillId="3" borderId="0" xfId="0" applyNumberFormat="1" applyFont="1" applyFill="1"/>
    <xf numFmtId="0" fontId="10" fillId="4" borderId="4" xfId="0" applyFont="1" applyFill="1" applyBorder="1"/>
    <xf numFmtId="0" fontId="10" fillId="0" borderId="4" xfId="0" applyFont="1" applyBorder="1"/>
  </cellXfs>
  <cellStyles count="1">
    <cellStyle name="Normal" xfId="0" builtinId="0"/>
  </cellStyles>
  <dxfs count="7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3.xml"/><Relationship Id="rId18" Type="http://schemas.openxmlformats.org/officeDocument/2006/relationships/pivotCacheDefinition" Target="pivotCache/pivotCacheDefinition8.xml"/><Relationship Id="rId26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11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6.xml"/><Relationship Id="rId20" Type="http://schemas.openxmlformats.org/officeDocument/2006/relationships/pivotCacheDefinition" Target="pivotCache/pivotCacheDefinition10.xml"/><Relationship Id="rId29" Type="http://schemas.microsoft.com/office/2017/06/relationships/rdRichValueTypes" Target="richData/rdRichValueTyp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5.xml"/><Relationship Id="rId23" Type="http://schemas.openxmlformats.org/officeDocument/2006/relationships/theme" Target="theme/theme1.xml"/><Relationship Id="rId28" Type="http://schemas.microsoft.com/office/2017/06/relationships/rdRichValueStructure" Target="richData/rdrichvaluestructure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4.xml"/><Relationship Id="rId22" Type="http://customschemas.google.com/relationships/workbookmetadata" Target="metadata"/><Relationship Id="rId27" Type="http://schemas.microsoft.com/office/2017/06/relationships/rdRichValue" Target="richData/rdrichvalue.xml"/><Relationship Id="rId30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_rels/pivotCacheDefinition1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shni Shah" refreshedDate="46171.474497916664" createdVersion="8" refreshedVersion="8" minRefreshableVersion="3" recordCount="441" xr:uid="{389F1685-116A-41A3-8369-9153AC4BC308}">
  <cacheSource type="worksheet">
    <worksheetSource name="Table1"/>
  </cacheSource>
  <cacheFields count="6">
    <cacheField name="customer_id" numFmtId="0">
      <sharedItems count="441">
        <s v="CUST00001"/>
        <s v="CUST00002"/>
        <s v="CUST00003"/>
        <s v="CUST00004"/>
        <s v="CUST00005"/>
        <s v="CUST00006"/>
        <s v="CUST00007"/>
        <s v="CUST00008"/>
        <s v="CUST00009"/>
        <s v="CUST00010"/>
        <s v="CUST00011"/>
        <s v="CUST00012"/>
        <s v="CUST00013"/>
        <s v="CUST00014"/>
        <s v="CUST00015"/>
        <s v="CUST00016"/>
        <s v="CUST00017"/>
        <s v="CUST00018"/>
        <s v="CUST00019"/>
        <s v="CUST00020"/>
        <s v="CUST00021"/>
        <s v="CUST00022"/>
        <s v="CUST00023"/>
        <s v="CUST00024"/>
        <s v="CUST00025"/>
        <s v="CUST00026"/>
        <s v="CUST00027"/>
        <s v="CUST00028"/>
        <s v="CUST00029"/>
        <s v="CUST00030"/>
        <s v="CUST00031"/>
        <s v="CUST00032"/>
        <s v="CUST00033"/>
        <s v="CUST00034"/>
        <s v="CUST00035"/>
        <s v="CUST00036"/>
        <s v="CUST00037"/>
        <s v="CUST00038"/>
        <s v="CUST00039"/>
        <s v="CUST00040"/>
        <s v="CUST00041"/>
        <s v="CUST00042"/>
        <s v="CUST00043"/>
        <s v="CUST00044"/>
        <s v="CUST00045"/>
        <s v="CUST00046"/>
        <s v="CUST00047"/>
        <s v="CUST00048"/>
        <s v="CUST00049"/>
        <s v="CUST00050"/>
        <s v="CUST00051"/>
        <s v="CUST00052"/>
        <s v="CUST00053"/>
        <s v="CUST00054"/>
        <s v="CUST00055"/>
        <s v="CUST00056"/>
        <s v="CUST00057"/>
        <s v="CUST00058"/>
        <s v="CUST00059"/>
        <s v="CUST00060"/>
        <s v="CUST00061"/>
        <s v="CUST00062"/>
        <s v="CUST00063"/>
        <s v="CUST00064"/>
        <s v="CUST00065"/>
        <s v="CUST00066"/>
        <s v="CUST00067"/>
        <s v="CUST00068"/>
        <s v="CUST00069"/>
        <s v="CUST00070"/>
        <s v="CUST00071"/>
        <s v="CUST00072"/>
        <s v="CUST00073"/>
        <s v="CUST00074"/>
        <s v="CUST00075"/>
        <s v="CUST00076"/>
        <s v="CUST00077"/>
        <s v="CUST00078"/>
        <s v="CUST00079"/>
        <s v="CUST00080"/>
        <s v="CUST00081"/>
        <s v="CUST00082"/>
        <s v="CUST00083"/>
        <s v="CUST00084"/>
        <s v="CUST00085"/>
        <s v="CUST00086"/>
        <s v="CUST00087"/>
        <s v="CUST00088"/>
        <s v="CUST00089"/>
        <s v="CUST00090"/>
        <s v="CUST00091"/>
        <s v="CUST00092"/>
        <s v="CUST00093"/>
        <s v="CUST00094"/>
        <s v="CUST00095"/>
        <s v="CUST00096"/>
        <s v="CUST00097"/>
        <s v="CUST00098"/>
        <s v="CUST00099"/>
        <s v="CUST00100"/>
        <s v="CUST00101"/>
        <s v="CUST00102"/>
        <s v="CUST00103"/>
        <s v="CUST00104"/>
        <s v="CUST00105"/>
        <s v="CUST00106"/>
        <s v="CUST00107"/>
        <s v="CUST00108"/>
        <s v="CUST00109"/>
        <s v="CUST00110"/>
        <s v="CUST00111"/>
        <s v="CUST00112"/>
        <s v="CUST00113"/>
        <s v="CUST00114"/>
        <s v="CUST00115"/>
        <s v="CUST00116"/>
        <s v="CUST00117"/>
        <s v="CUST00118"/>
        <s v="CUST00119"/>
        <s v="CUST00120"/>
        <s v="CUST00121"/>
        <s v="CUST00122"/>
        <s v="CUST00123"/>
        <s v="CUST00124"/>
        <s v="CUST00125"/>
        <s v="CUST00126"/>
        <s v="CUST00127"/>
        <s v="CUST00128"/>
        <s v="CUST00129"/>
        <s v="CUST00130"/>
        <s v="CUST00131"/>
        <s v="CUST00132"/>
        <s v="CUST00133"/>
        <s v="CUST00134"/>
        <s v="CUST00135"/>
        <s v="CUST00136"/>
        <s v="CUST00137"/>
        <s v="CUST00138"/>
        <s v="CUST00139"/>
        <s v="CUST00140"/>
        <s v="CUST00141"/>
        <s v="CUST00142"/>
        <s v="CUST00143"/>
        <s v="CUST00144"/>
        <s v="CUST00145"/>
        <s v="CUST00146"/>
        <s v="CUST00147"/>
        <s v="CUST00148"/>
        <s v="CUST00149"/>
        <s v="CUST00150"/>
        <s v="CUST00151"/>
        <s v="CUST00152"/>
        <s v="CUST00153"/>
        <s v="CUST00154"/>
        <s v="CUST00155"/>
        <s v="CUST00156"/>
        <s v="CUST00157"/>
        <s v="CUST00158"/>
        <s v="CUST00159"/>
        <s v="CUST00160"/>
        <s v="CUST00161"/>
        <s v="CUST00162"/>
        <s v="CUST00163"/>
        <s v="CUST00164"/>
        <s v="CUST00165"/>
        <s v="CUST00166"/>
        <s v="CUST00167"/>
        <s v="CUST00168"/>
        <s v="CUST00169"/>
        <s v="CUST00170"/>
        <s v="CUST00171"/>
        <s v="CUST00172"/>
        <s v="CUST00173"/>
        <s v="CUST00174"/>
        <s v="CUST00175"/>
        <s v="CUST00176"/>
        <s v="CUST00177"/>
        <s v="CUST00178"/>
        <s v="CUST00179"/>
        <s v="CUST00180"/>
        <s v="CUST00181"/>
        <s v="CUST00182"/>
        <s v="CUST00183"/>
        <s v="CUST00184"/>
        <s v="CUST00185"/>
        <s v="CUST00186"/>
        <s v="CUST00187"/>
        <s v="CUST00188"/>
        <s v="CUST00189"/>
        <s v="CUST00190"/>
        <s v="CUST00191"/>
        <s v="CUST00192"/>
        <s v="CUST00193"/>
        <s v="CUST00194"/>
        <s v="CUST00195"/>
        <s v="CUST00196"/>
        <s v="CUST00197"/>
        <s v="CUST00198"/>
        <s v="CUST00199"/>
        <s v="CUST00200"/>
        <s v="CUST00201"/>
        <s v="CUST00202"/>
        <s v="CUST00203"/>
        <s v="CUST00204"/>
        <s v="CUST00205"/>
        <s v="CUST00206"/>
        <s v="CUST00207"/>
        <s v="CUST00208"/>
        <s v="CUST00209"/>
        <s v="CUST00210"/>
        <s v="CUST00211"/>
        <s v="CUST00212"/>
        <s v="CUST00213"/>
        <s v="CUST00214"/>
        <s v="CUST00215"/>
        <s v="CUST00216"/>
        <s v="CUST00217"/>
        <s v="CUST00218"/>
        <s v="CUST00219"/>
        <s v="CUST00220"/>
        <s v="CUST00221"/>
        <s v="CUST00222"/>
        <s v="CUST00223"/>
        <s v="CUST00224"/>
        <s v="CUST00225"/>
        <s v="CUST00226"/>
        <s v="CUST00227"/>
        <s v="CUST00228"/>
        <s v="CUST00229"/>
        <s v="CUST00230"/>
        <s v="CUST00231"/>
        <s v="CUST00232"/>
        <s v="CUST00233"/>
        <s v="CUST00234"/>
        <s v="CUST00235"/>
        <s v="CUST00236"/>
        <s v="CUST00237"/>
        <s v="CUST00238"/>
        <s v="CUST00239"/>
        <s v="CUST00240"/>
        <s v="CUST00241"/>
        <s v="CUST00242"/>
        <s v="CUST00243"/>
        <s v="CUST00244"/>
        <s v="CUST00245"/>
        <s v="CUST00246"/>
        <s v="CUST00247"/>
        <s v="CUST00248"/>
        <s v="CUST00249"/>
        <s v="CUST00250"/>
        <s v="CUST00251"/>
        <s v="CUST00252"/>
        <s v="CUST00253"/>
        <s v="CUST00254"/>
        <s v="CUST00255"/>
        <s v="CUST00256"/>
        <s v="CUST00257"/>
        <s v="CUST00258"/>
        <s v="CUST00259"/>
        <s v="CUST00260"/>
        <s v="CUST00261"/>
        <s v="CUST00262"/>
        <s v="CUST00263"/>
        <s v="CUST00264"/>
        <s v="CUST00265"/>
        <s v="CUST00266"/>
        <s v="CUST00267"/>
        <s v="CUST00268"/>
        <s v="CUST00269"/>
        <s v="CUST00270"/>
        <s v="CUST00271"/>
        <s v="CUST00272"/>
        <s v="CUST00273"/>
        <s v="CUST00274"/>
        <s v="CUST00275"/>
        <s v="CUST00276"/>
        <s v="CUST00277"/>
        <s v="CUST00278"/>
        <s v="CUST00279"/>
        <s v="CUST00280"/>
        <s v="CUST00281"/>
        <s v="CUST00282"/>
        <s v="CUST00283"/>
        <s v="CUST00284"/>
        <s v="CUST00285"/>
        <s v="CUST00286"/>
        <s v="CUST00287"/>
        <s v="CUST00288"/>
        <s v="CUST00289"/>
        <s v="CUST00290"/>
        <s v="CUST00291"/>
        <s v="CUST00292"/>
        <s v="CUST00293"/>
        <s v="CUST00294"/>
        <s v="CUST00295"/>
        <s v="CUST00296"/>
        <s v="CUST00297"/>
        <s v="CUST00298"/>
        <s v="CUST00299"/>
        <s v="CUST00300"/>
        <s v="CUST00301"/>
        <s v="CUST00302"/>
        <s v="CUST00303"/>
        <s v="CUST00304"/>
        <s v="CUST00305"/>
        <s v="CUST00306"/>
        <s v="CUST00307"/>
        <s v="CUST00308"/>
        <s v="CUST00309"/>
        <s v="CUST00310"/>
        <s v="CUST00311"/>
        <s v="CUST00312"/>
        <s v="CUST00313"/>
        <s v="CUST00314"/>
        <s v="CUST00315"/>
        <s v="CUST00316"/>
        <s v="CUST00317"/>
        <s v="CUST00318"/>
        <s v="CUST00319"/>
        <s v="CUST00320"/>
        <s v="CUST00321"/>
        <s v="CUST00322"/>
        <s v="CUST00323"/>
        <s v="CUST00324"/>
        <s v="CUST00325"/>
        <s v="CUST00326"/>
        <s v="CUST00327"/>
        <s v="CUST00328"/>
        <s v="CUST00329"/>
        <s v="CUST00330"/>
        <s v="CUST00331"/>
        <s v="CUST00332"/>
        <s v="CUST00333"/>
        <s v="CUST00334"/>
        <s v="CUST00335"/>
        <s v="CUST00336"/>
        <s v="CUST00337"/>
        <s v="CUST00338"/>
        <s v="CUST00339"/>
        <s v="CUST00340"/>
        <s v="CUST00341"/>
        <s v="CUST00342"/>
        <s v="CUST00343"/>
        <s v="CUST00344"/>
        <s v="CUST00345"/>
        <s v="CUST00346"/>
        <s v="CUST00347"/>
        <s v="CUST00348"/>
        <s v="CUST00349"/>
        <s v="CUST00350"/>
        <s v="CUST00351"/>
        <s v="CUST00352"/>
        <s v="CUST00353"/>
        <s v="CUST00354"/>
        <s v="CUST00355"/>
        <s v="CUST00356"/>
        <s v="CUST00357"/>
        <s v="CUST00358"/>
        <s v="CUST00359"/>
        <s v="CUST00360"/>
        <s v="CUST00361"/>
        <s v="CUST00362"/>
        <s v="CUST00363"/>
        <s v="CUST00364"/>
        <s v="CUST00365"/>
        <s v="CUST00366"/>
        <s v="CUST00367"/>
        <s v="CUST00368"/>
        <s v="CUST00369"/>
        <s v="CUST00370"/>
        <s v="CUST00371"/>
        <s v="CUST00372"/>
        <s v="CUST00373"/>
        <s v="CUST00374"/>
        <s v="CUST00375"/>
        <s v="CUST00376"/>
        <s v="CUST00377"/>
        <s v="CUST00378"/>
        <s v="CUST00379"/>
        <s v="CUST00380"/>
        <s v="CUST00381"/>
        <s v="CUST00382"/>
        <s v="CUST00383"/>
        <s v="CUST00384"/>
        <s v="CUST00385"/>
        <s v="CUST00386"/>
        <s v="CUST00387"/>
        <s v="CUST00388"/>
        <s v="CUST00389"/>
        <s v="CUST00390"/>
        <s v="CUST00391"/>
        <s v="CUST00392"/>
        <s v="CUST00393"/>
        <s v="CUST00394"/>
        <s v="CUST00395"/>
        <s v="CUST00396"/>
        <s v="CUST00397"/>
        <s v="CUST00398"/>
        <s v="CUST00399"/>
        <s v="CUST00400"/>
        <s v="CUST00401"/>
        <s v="CUST00402"/>
        <s v="CUST00403"/>
        <s v="CUST00404"/>
        <s v="CUST00405"/>
        <s v="CUST00406"/>
        <s v="CUST00407"/>
        <s v="CUST00408"/>
        <s v="CUST00409"/>
        <s v="CUST00410"/>
        <s v="CUST00411"/>
        <s v="CUST00412"/>
        <s v="CUST00413"/>
        <s v="CUST00414"/>
        <s v="CUST00415"/>
        <s v="CUST00416"/>
        <s v="CUST00417"/>
        <s v="CUST00418"/>
        <s v="CUST00419"/>
        <s v="CUST00420"/>
        <s v="CUST00421"/>
        <s v="CUST00422"/>
        <s v="CUST00423"/>
        <s v="CUST00424"/>
        <s v="CUST00425"/>
        <s v="CUST00426"/>
        <s v="CUST00427"/>
        <s v="CUST00428"/>
        <s v="CUST00429"/>
        <s v="CUST00430"/>
        <s v="CUST00431"/>
        <s v="CUST00432"/>
        <s v="CUST00433"/>
        <s v="CUST00434"/>
        <s v="CUST00435"/>
        <s v="CUST00436"/>
        <s v="CUST00437"/>
        <s v="CUST00438"/>
        <s v="CUST00439"/>
        <s v="CUST00440"/>
        <s v="CUST00441"/>
      </sharedItems>
    </cacheField>
    <cacheField name="customer_email" numFmtId="0">
      <sharedItems/>
    </cacheField>
    <cacheField name="customer_name" numFmtId="0">
      <sharedItems/>
    </cacheField>
    <cacheField name="customer_surname" numFmtId="0">
      <sharedItems/>
    </cacheField>
    <cacheField name="customer_area" numFmtId="0">
      <sharedItems/>
    </cacheField>
    <cacheField name="customer_state" numFmtId="0">
      <sharedItems count="8">
        <s v="NT"/>
        <s v="NSW"/>
        <s v="VIC"/>
        <s v="WA"/>
        <s v="QLD"/>
        <s v="SA"/>
        <s v="TAS"/>
        <s v="AC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71.500846527779" createdVersion="8" refreshedVersion="8" minRefreshableVersion="3" recordCount="441" xr:uid="{5129FC0C-F558-434D-B529-C2A2CA37B029}">
  <cacheSource type="worksheet">
    <worksheetSource name="Table1[[customer_state]:[number_of_orders]]"/>
  </cacheSource>
  <cacheFields count="3">
    <cacheField name="customer_state" numFmtId="0">
      <sharedItems count="8">
        <s v="NT"/>
        <s v="NSW"/>
        <s v="VIC"/>
        <s v="WA"/>
        <s v="QLD"/>
        <s v="SA"/>
        <s v="TAS"/>
        <s v="ACT"/>
      </sharedItems>
    </cacheField>
    <cacheField name="total_customer_spend" numFmtId="0">
      <sharedItems containsSemiMixedTypes="0" containsString="0" containsNumber="1" minValue="0" maxValue="960.97"/>
    </cacheField>
    <cacheField name="number_of_orders" numFmtId="0">
      <sharedItems containsSemiMixedTypes="0" containsString="0" containsNumber="1" containsInteger="1" minValue="0" maxValue="1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shni Shah" refreshedDate="46171.505531712966" createdVersion="8" refreshedVersion="8" minRefreshableVersion="3" recordCount="448" xr:uid="{4FDB7246-A9D9-4D1D-AA9C-864FFFF2BD84}">
  <cacheSource type="worksheet">
    <worksheetSource ref="A1:I1048576" sheet="customers"/>
  </cacheSource>
  <cacheFields count="9">
    <cacheField name="customer_id" numFmtId="0">
      <sharedItems containsBlank="1" count="442">
        <s v="CUST00001"/>
        <s v="CUST00002"/>
        <s v="CUST00003"/>
        <s v="CUST00004"/>
        <s v="CUST00005"/>
        <s v="CUST00006"/>
        <s v="CUST00007"/>
        <s v="CUST00008"/>
        <s v="CUST00009"/>
        <s v="CUST00010"/>
        <s v="CUST00011"/>
        <s v="CUST00012"/>
        <s v="CUST00013"/>
        <s v="CUST00014"/>
        <s v="CUST00015"/>
        <s v="CUST00016"/>
        <s v="CUST00017"/>
        <s v="CUST00018"/>
        <s v="CUST00019"/>
        <s v="CUST00020"/>
        <s v="CUST00021"/>
        <s v="CUST00022"/>
        <s v="CUST00023"/>
        <s v="CUST00024"/>
        <s v="CUST00025"/>
        <s v="CUST00026"/>
        <s v="CUST00027"/>
        <s v="CUST00028"/>
        <s v="CUST00029"/>
        <s v="CUST00030"/>
        <s v="CUST00031"/>
        <s v="CUST00032"/>
        <s v="CUST00033"/>
        <s v="CUST00034"/>
        <s v="CUST00035"/>
        <s v="CUST00036"/>
        <s v="CUST00037"/>
        <s v="CUST00038"/>
        <s v="CUST00039"/>
        <s v="CUST00040"/>
        <s v="CUST00041"/>
        <s v="CUST00042"/>
        <s v="CUST00043"/>
        <s v="CUST00044"/>
        <s v="CUST00045"/>
        <s v="CUST00046"/>
        <s v="CUST00047"/>
        <s v="CUST00048"/>
        <s v="CUST00049"/>
        <s v="CUST00050"/>
        <s v="CUST00051"/>
        <s v="CUST00052"/>
        <s v="CUST00053"/>
        <s v="CUST00054"/>
        <s v="CUST00055"/>
        <s v="CUST00056"/>
        <s v="CUST00057"/>
        <s v="CUST00058"/>
        <s v="CUST00059"/>
        <s v="CUST00060"/>
        <s v="CUST00061"/>
        <s v="CUST00062"/>
        <s v="CUST00063"/>
        <s v="CUST00064"/>
        <s v="CUST00065"/>
        <s v="CUST00066"/>
        <s v="CUST00067"/>
        <s v="CUST00068"/>
        <s v="CUST00069"/>
        <s v="CUST00070"/>
        <s v="CUST00071"/>
        <s v="CUST00072"/>
        <s v="CUST00073"/>
        <s v="CUST00074"/>
        <s v="CUST00075"/>
        <s v="CUST00076"/>
        <s v="CUST00077"/>
        <s v="CUST00078"/>
        <s v="CUST00079"/>
        <s v="CUST00080"/>
        <s v="CUST00081"/>
        <s v="CUST00082"/>
        <s v="CUST00083"/>
        <s v="CUST00084"/>
        <s v="CUST00085"/>
        <s v="CUST00086"/>
        <s v="CUST00087"/>
        <s v="CUST00088"/>
        <s v="CUST00089"/>
        <s v="CUST00090"/>
        <s v="CUST00091"/>
        <s v="CUST00092"/>
        <s v="CUST00093"/>
        <s v="CUST00094"/>
        <s v="CUST00095"/>
        <s v="CUST00096"/>
        <s v="CUST00097"/>
        <s v="CUST00098"/>
        <s v="CUST00099"/>
        <s v="CUST00100"/>
        <s v="CUST00101"/>
        <s v="CUST00102"/>
        <s v="CUST00103"/>
        <s v="CUST00104"/>
        <s v="CUST00105"/>
        <s v="CUST00106"/>
        <s v="CUST00107"/>
        <s v="CUST00108"/>
        <s v="CUST00109"/>
        <s v="CUST00110"/>
        <s v="CUST00111"/>
        <s v="CUST00112"/>
        <s v="CUST00113"/>
        <s v="CUST00114"/>
        <s v="CUST00115"/>
        <s v="CUST00116"/>
        <s v="CUST00117"/>
        <s v="CUST00118"/>
        <s v="CUST00119"/>
        <s v="CUST00120"/>
        <s v="CUST00121"/>
        <s v="CUST00122"/>
        <s v="CUST00123"/>
        <s v="CUST00124"/>
        <s v="CUST00125"/>
        <s v="CUST00126"/>
        <s v="CUST00127"/>
        <s v="CUST00128"/>
        <s v="CUST00129"/>
        <s v="CUST00130"/>
        <s v="CUST00131"/>
        <s v="CUST00132"/>
        <s v="CUST00133"/>
        <s v="CUST00134"/>
        <s v="CUST00135"/>
        <s v="CUST00136"/>
        <s v="CUST00137"/>
        <s v="CUST00138"/>
        <s v="CUST00139"/>
        <s v="CUST00140"/>
        <s v="CUST00141"/>
        <s v="CUST00142"/>
        <s v="CUST00143"/>
        <s v="CUST00144"/>
        <s v="CUST00145"/>
        <s v="CUST00146"/>
        <s v="CUST00147"/>
        <s v="CUST00148"/>
        <s v="CUST00149"/>
        <s v="CUST00150"/>
        <s v="CUST00151"/>
        <s v="CUST00152"/>
        <s v="CUST00153"/>
        <s v="CUST00154"/>
        <s v="CUST00155"/>
        <s v="CUST00156"/>
        <s v="CUST00157"/>
        <s v="CUST00158"/>
        <s v="CUST00159"/>
        <s v="CUST00160"/>
        <s v="CUST00161"/>
        <s v="CUST00162"/>
        <s v="CUST00163"/>
        <s v="CUST00164"/>
        <s v="CUST00165"/>
        <s v="CUST00166"/>
        <s v="CUST00167"/>
        <s v="CUST00168"/>
        <s v="CUST00169"/>
        <s v="CUST00170"/>
        <s v="CUST00171"/>
        <s v="CUST00172"/>
        <s v="CUST00173"/>
        <s v="CUST00174"/>
        <s v="CUST00175"/>
        <s v="CUST00176"/>
        <s v="CUST00177"/>
        <s v="CUST00178"/>
        <s v="CUST00179"/>
        <s v="CUST00180"/>
        <s v="CUST00181"/>
        <s v="CUST00182"/>
        <s v="CUST00183"/>
        <s v="CUST00184"/>
        <s v="CUST00185"/>
        <s v="CUST00186"/>
        <s v="CUST00187"/>
        <s v="CUST00188"/>
        <s v="CUST00189"/>
        <s v="CUST00190"/>
        <s v="CUST00191"/>
        <s v="CUST00192"/>
        <s v="CUST00193"/>
        <s v="CUST00194"/>
        <s v="CUST00195"/>
        <s v="CUST00196"/>
        <s v="CUST00197"/>
        <s v="CUST00198"/>
        <s v="CUST00199"/>
        <s v="CUST00200"/>
        <s v="CUST00201"/>
        <s v="CUST00202"/>
        <s v="CUST00203"/>
        <s v="CUST00204"/>
        <s v="CUST00205"/>
        <s v="CUST00206"/>
        <s v="CUST00207"/>
        <s v="CUST00208"/>
        <s v="CUST00209"/>
        <s v="CUST00210"/>
        <s v="CUST00211"/>
        <s v="CUST00212"/>
        <s v="CUST00213"/>
        <s v="CUST00214"/>
        <s v="CUST00215"/>
        <s v="CUST00216"/>
        <s v="CUST00217"/>
        <s v="CUST00218"/>
        <s v="CUST00219"/>
        <s v="CUST00220"/>
        <s v="CUST00221"/>
        <s v="CUST00222"/>
        <s v="CUST00223"/>
        <s v="CUST00224"/>
        <s v="CUST00225"/>
        <s v="CUST00226"/>
        <s v="CUST00227"/>
        <s v="CUST00228"/>
        <s v="CUST00229"/>
        <s v="CUST00230"/>
        <s v="CUST00231"/>
        <s v="CUST00232"/>
        <s v="CUST00233"/>
        <s v="CUST00234"/>
        <s v="CUST00235"/>
        <s v="CUST00236"/>
        <s v="CUST00237"/>
        <s v="CUST00238"/>
        <s v="CUST00239"/>
        <s v="CUST00240"/>
        <s v="CUST00241"/>
        <s v="CUST00242"/>
        <s v="CUST00243"/>
        <s v="CUST00244"/>
        <s v="CUST00245"/>
        <s v="CUST00246"/>
        <s v="CUST00247"/>
        <s v="CUST00248"/>
        <s v="CUST00249"/>
        <s v="CUST00250"/>
        <s v="CUST00251"/>
        <s v="CUST00252"/>
        <s v="CUST00253"/>
        <s v="CUST00254"/>
        <s v="CUST00255"/>
        <s v="CUST00256"/>
        <s v="CUST00257"/>
        <s v="CUST00258"/>
        <s v="CUST00259"/>
        <s v="CUST00260"/>
        <s v="CUST00261"/>
        <s v="CUST00262"/>
        <s v="CUST00263"/>
        <s v="CUST00264"/>
        <s v="CUST00265"/>
        <s v="CUST00266"/>
        <s v="CUST00267"/>
        <s v="CUST00268"/>
        <s v="CUST00269"/>
        <s v="CUST00270"/>
        <s v="CUST00271"/>
        <s v="CUST00272"/>
        <s v="CUST00273"/>
        <s v="CUST00274"/>
        <s v="CUST00275"/>
        <s v="CUST00276"/>
        <s v="CUST00277"/>
        <s v="CUST00278"/>
        <s v="CUST00279"/>
        <s v="CUST00280"/>
        <s v="CUST00281"/>
        <s v="CUST00282"/>
        <s v="CUST00283"/>
        <s v="CUST00284"/>
        <s v="CUST00285"/>
        <s v="CUST00286"/>
        <s v="CUST00287"/>
        <s v="CUST00288"/>
        <s v="CUST00289"/>
        <s v="CUST00290"/>
        <s v="CUST00291"/>
        <s v="CUST00292"/>
        <s v="CUST00293"/>
        <s v="CUST00294"/>
        <s v="CUST00295"/>
        <s v="CUST00296"/>
        <s v="CUST00297"/>
        <s v="CUST00298"/>
        <s v="CUST00299"/>
        <s v="CUST00300"/>
        <s v="CUST00301"/>
        <s v="CUST00302"/>
        <s v="CUST00303"/>
        <s v="CUST00304"/>
        <s v="CUST00305"/>
        <s v="CUST00306"/>
        <s v="CUST00307"/>
        <s v="CUST00308"/>
        <s v="CUST00309"/>
        <s v="CUST00310"/>
        <s v="CUST00311"/>
        <s v="CUST00312"/>
        <s v="CUST00313"/>
        <s v="CUST00314"/>
        <s v="CUST00315"/>
        <s v="CUST00316"/>
        <s v="CUST00317"/>
        <s v="CUST00318"/>
        <s v="CUST00319"/>
        <s v="CUST00320"/>
        <s v="CUST00321"/>
        <s v="CUST00322"/>
        <s v="CUST00323"/>
        <s v="CUST00324"/>
        <s v="CUST00325"/>
        <s v="CUST00326"/>
        <s v="CUST00327"/>
        <s v="CUST00328"/>
        <s v="CUST00329"/>
        <s v="CUST00330"/>
        <s v="CUST00331"/>
        <s v="CUST00332"/>
        <s v="CUST00333"/>
        <s v="CUST00334"/>
        <s v="CUST00335"/>
        <s v="CUST00336"/>
        <s v="CUST00337"/>
        <s v="CUST00338"/>
        <s v="CUST00339"/>
        <s v="CUST00340"/>
        <s v="CUST00341"/>
        <s v="CUST00342"/>
        <s v="CUST00343"/>
        <s v="CUST00344"/>
        <s v="CUST00345"/>
        <s v="CUST00346"/>
        <s v="CUST00347"/>
        <s v="CUST00348"/>
        <s v="CUST00349"/>
        <s v="CUST00350"/>
        <s v="CUST00351"/>
        <s v="CUST00352"/>
        <s v="CUST00353"/>
        <s v="CUST00354"/>
        <s v="CUST00355"/>
        <s v="CUST00356"/>
        <s v="CUST00357"/>
        <s v="CUST00358"/>
        <s v="CUST00359"/>
        <s v="CUST00360"/>
        <s v="CUST00361"/>
        <s v="CUST00362"/>
        <s v="CUST00363"/>
        <s v="CUST00364"/>
        <s v="CUST00365"/>
        <s v="CUST00366"/>
        <s v="CUST00367"/>
        <s v="CUST00368"/>
        <s v="CUST00369"/>
        <s v="CUST00370"/>
        <s v="CUST00371"/>
        <s v="CUST00372"/>
        <s v="CUST00373"/>
        <s v="CUST00374"/>
        <s v="CUST00375"/>
        <s v="CUST00376"/>
        <s v="CUST00377"/>
        <s v="CUST00378"/>
        <s v="CUST00379"/>
        <s v="CUST00380"/>
        <s v="CUST00381"/>
        <s v="CUST00382"/>
        <s v="CUST00383"/>
        <s v="CUST00384"/>
        <s v="CUST00385"/>
        <s v="CUST00386"/>
        <s v="CUST00387"/>
        <s v="CUST00388"/>
        <s v="CUST00389"/>
        <s v="CUST00390"/>
        <s v="CUST00391"/>
        <s v="CUST00392"/>
        <s v="CUST00393"/>
        <s v="CUST00394"/>
        <s v="CUST00395"/>
        <s v="CUST00396"/>
        <s v="CUST00397"/>
        <s v="CUST00398"/>
        <s v="CUST00399"/>
        <s v="CUST00400"/>
        <s v="CUST00401"/>
        <s v="CUST00402"/>
        <s v="CUST00403"/>
        <s v="CUST00404"/>
        <s v="CUST00405"/>
        <s v="CUST00406"/>
        <s v="CUST00407"/>
        <s v="CUST00408"/>
        <s v="CUST00409"/>
        <s v="CUST00410"/>
        <s v="CUST00411"/>
        <s v="CUST00412"/>
        <s v="CUST00413"/>
        <s v="CUST00414"/>
        <s v="CUST00415"/>
        <s v="CUST00416"/>
        <s v="CUST00417"/>
        <s v="CUST00418"/>
        <s v="CUST00419"/>
        <s v="CUST00420"/>
        <s v="CUST00421"/>
        <s v="CUST00422"/>
        <s v="CUST00423"/>
        <s v="CUST00424"/>
        <s v="CUST00425"/>
        <s v="CUST00426"/>
        <s v="CUST00427"/>
        <s v="CUST00428"/>
        <s v="CUST00429"/>
        <s v="CUST00430"/>
        <s v="CUST00431"/>
        <s v="CUST00432"/>
        <s v="CUST00433"/>
        <s v="CUST00434"/>
        <s v="CUST00435"/>
        <s v="CUST00436"/>
        <s v="CUST00437"/>
        <s v="CUST00438"/>
        <s v="CUST00439"/>
        <s v="CUST00440"/>
        <s v="CUST00441"/>
        <m/>
      </sharedItems>
    </cacheField>
    <cacheField name="customer_email" numFmtId="0">
      <sharedItems containsBlank="1"/>
    </cacheField>
    <cacheField name="customer_name" numFmtId="0">
      <sharedItems containsBlank="1"/>
    </cacheField>
    <cacheField name="customer_surname" numFmtId="0">
      <sharedItems containsBlank="1"/>
    </cacheField>
    <cacheField name="customer_area" numFmtId="0">
      <sharedItems containsBlank="1"/>
    </cacheField>
    <cacheField name="customer_state" numFmtId="0">
      <sharedItems containsBlank="1" count="9">
        <s v="NT"/>
        <s v="NSW"/>
        <s v="VIC"/>
        <s v="WA"/>
        <s v="QLD"/>
        <s v="SA"/>
        <s v="TAS"/>
        <s v="ACT"/>
        <m/>
      </sharedItems>
    </cacheField>
    <cacheField name="total_customer_spend" numFmtId="0">
      <sharedItems containsString="0" containsBlank="1" containsNumber="1" minValue="0" maxValue="960.97"/>
    </cacheField>
    <cacheField name="number_of_orders" numFmtId="0">
      <sharedItems containsString="0" containsBlank="1" containsNumber="1" containsInteger="1" minValue="0" maxValue="11"/>
    </cacheField>
    <cacheField name="Customer_type" numFmtId="0">
      <sharedItems containsBlank="1" count="3">
        <s v="One-Time Customer"/>
        <s v="Repeat Customer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shni Shah" refreshedDate="46171.590362615738" createdVersion="8" refreshedVersion="8" minRefreshableVersion="3" recordCount="800" xr:uid="{E86D4784-308C-41E5-ACEC-D1915B69C232}">
  <cacheSource type="worksheet">
    <worksheetSource ref="A1:F1048576" sheet="order_items"/>
  </cacheSource>
  <cacheFields count="6">
    <cacheField name="order_id" numFmtId="0">
      <sharedItems containsBlank="1"/>
    </cacheField>
    <cacheField name="product_id" numFmtId="0">
      <sharedItems containsBlank="1"/>
    </cacheField>
    <cacheField name="product_quantity" numFmtId="0">
      <sharedItems containsString="0" containsBlank="1" containsNumber="1" containsInteger="1" minValue="1" maxValue="6"/>
    </cacheField>
    <cacheField name="product_category" numFmtId="0">
      <sharedItems containsBlank="1" count="11">
        <s v="Home"/>
        <s v="Jewellery"/>
        <s v="Beauty"/>
        <s v="Electronics"/>
        <s v="Stationery"/>
        <s v="Clothes"/>
        <s v="Outdoor"/>
        <s v="Gift_Sets"/>
        <s v="Toys"/>
        <s v="Health"/>
        <m/>
      </sharedItems>
    </cacheField>
    <cacheField name="product_price" numFmtId="0">
      <sharedItems containsString="0" containsBlank="1" containsNumber="1" minValue="2.1800000000000002" maxValue="119.75"/>
    </cacheField>
    <cacheField name="item_revenue" numFmtId="0">
      <sharedItems containsString="0" containsBlank="1" containsNumber="1" minValue="2.1800000000000002" maxValue="292.8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shni Shah" refreshedDate="46171.593116203701" createdVersion="8" refreshedVersion="8" minRefreshableVersion="3" recordCount="800" xr:uid="{7CDBA763-B881-4CF7-A8DA-CD27743874D7}">
  <cacheSource type="worksheet">
    <worksheetSource ref="A1:G1048576" sheet="order_items"/>
  </cacheSource>
  <cacheFields count="7">
    <cacheField name="order_id" numFmtId="0">
      <sharedItems containsBlank="1"/>
    </cacheField>
    <cacheField name="product_id" numFmtId="0">
      <sharedItems containsBlank="1"/>
    </cacheField>
    <cacheField name="product_quantity" numFmtId="0">
      <sharedItems containsString="0" containsBlank="1" containsNumber="1" containsInteger="1" minValue="1" maxValue="6"/>
    </cacheField>
    <cacheField name="product_category" numFmtId="0">
      <sharedItems containsBlank="1" count="11">
        <s v="Home"/>
        <s v="Jewellery"/>
        <s v="Beauty"/>
        <s v="Electronics"/>
        <s v="Stationery"/>
        <s v="Clothes"/>
        <s v="Outdoor"/>
        <s v="Gift_Sets"/>
        <s v="Toys"/>
        <s v="Health"/>
        <m/>
      </sharedItems>
    </cacheField>
    <cacheField name="product_price" numFmtId="0">
      <sharedItems containsString="0" containsBlank="1" containsNumber="1" minValue="2.1800000000000002" maxValue="119.75"/>
    </cacheField>
    <cacheField name="item_revenue" numFmtId="0">
      <sharedItems containsString="0" containsBlank="1" containsNumber="1" minValue="2.1800000000000002" maxValue="292.86"/>
    </cacheField>
    <cacheField name="product_name" numFmtId="0">
      <sharedItems containsBlank="1" count="317">
        <s v="Scented Drawer Sachets Jasmine"/>
        <s v="Men’s Leather Band Bracelet"/>
        <s v="Face mask peel-off orange 3 pack"/>
        <s v="USB C Fast Charger 30W (Black)"/>
        <s v="Gel Pen Set - 10 pack (Black)"/>
        <s v="Stainless Steel Cutting Board"/>
        <s v="Kids Cotton Pyjamas 6-8y"/>
        <s v="Crystal Drop Earrings Clipon"/>
        <s v="Men’s Chino Shorts S"/>
        <s v="Garden Ornament Frog"/>
        <s v="Hydrating Face Mist"/>
        <s v="Portable Camping Chair (Blue)"/>
        <s v="Blending Sponge"/>
        <s v="Mini Plant Starter Kit (Diasy)"/>
        <s v="Slime Lab Blue 8pc"/>
        <s v="Premium Soy Candle Orange Blossom"/>
        <s v="Rain Jacket Red XXS"/>
        <s v="Kids Paint Kit (Blue)"/>
        <s v="BBQ Cleaning Brush"/>
        <s v="Coffee Sampler Pack"/>
        <s v="Carbon Fiber Mug Set"/>
        <s v="Beach Umbrella - UV50+ Floral"/>
        <s v="Silicone Laundry Basket - White"/>
        <s v="Bluetooth Speaker - Portable"/>
        <s v="Kite Rainbow"/>
        <s v="Light up lawnmower AI powered"/>
        <s v="Memory Foam Pillow Medium Firm"/>
        <s v="Blood Pressure Monitor Digital"/>
        <s v="Essential Oil Diffuser Mains Powered"/>
        <s v="Portable Power Bank 10,000mAh (Navy)"/>
        <s v="BBQ Meat Thermometer Bluetooth"/>
        <s v="Floor Lamp Standing Tall LED"/>
        <s v="Drawer Organiser 5 sections"/>
        <s v="Men’s Chino Shorts XL"/>
        <s v="Wool Beanie - Navy"/>
        <s v="Stainless Steel BBQ Tools Set (Grey)"/>
        <s v="Dark Chocolate Selection Box"/>
        <s v="Whiteoard Markers - 3 pack"/>
        <s v="Gold-plated Hoop Earrings 5mm"/>
        <s v="building blocks 800 pc"/>
        <s v="Essential Oil Diffuser"/>
        <s v="antique bronze necklace owl vintage"/>
        <s v="Wool Beanie - Black"/>
        <s v="Reed Oil Diffuser Pomegranate Bay Leaf"/>
        <s v="Solar Garden Light"/>
        <s v="Vitamin C Serum 50ml"/>
        <s v="Highlighter 4pc Yellow"/>
        <s v="Wireless Bluetooth Earbuds Noise Cancel"/>
        <s v="White Chocolate Selection Box"/>
        <s v="Unisex Hoodie - Yellow L"/>
        <s v="Compact Hiking Backpack 20L (Blue)"/>
        <s v="Yoga Mat 10mm"/>
        <s v="Highlighter Set Pens Yellow"/>
        <s v="Memory Foam Pillow Firm x 2"/>
        <s v="Car racing track automatic launch"/>
        <s v="Stainless Steel BBQ Tools Set (Green)"/>
        <s v="Smartwatch Health Tracking"/>
        <s v="Cotton T Black Small"/>
        <s v="LED Floor Lamp"/>
        <s v="Bamboo Picnic Rug Recycled Material"/>
        <s v="Kids Cotton Pyjamas 18month"/>
        <s v="Smart Home Hub"/>
        <s v="Heat Therapy Pad Reusable"/>
        <s v="Kids Paint Kit"/>
        <s v="Fruity Mango Bath Gel Gift Set"/>
        <s v="Sticky Notes Cube 200pc"/>
        <s v="Noise Cancelling Headphones (Black)"/>
        <s v="Memory Foam Pillow Medium Firm x 2"/>
        <s v="Anklet - Silver Tone"/>
        <s v="Glittertube Makeup Set Kids"/>
        <s v="Adjustable Dumbbell 12kg"/>
        <s v="Talking doll happy smile matching outfit"/>
        <s v="Milk Chocolate Selection Box"/>
        <s v="Portable Mini Grill Gas Fire"/>
        <s v="Spa Pamper Gift Set For Him"/>
        <s v="HD Webcam 1080p USB Desktop"/>
        <s v="Koala Stuffed Toy"/>
        <s v="Protein Shaker Bottle 500ml"/>
        <s v="Building Blocks 100 pcs"/>
        <s v="Rain Jacket - Lightweight"/>
        <s v="Snorkel Set - Adult Small"/>
        <s v="Summer Dress - Floral"/>
        <s v="Educational Puzzle - Zoo Animals"/>
        <s v="Smart LED Light Bulb"/>
        <s v="LED Light Bulb Reusable"/>
        <s v="Garden Lights 4 pack Solar Power"/>
        <s v="Vitamin C Serum 30ml"/>
        <s v="Tea Lovers Hamper Darjelling"/>
        <s v="Bluetooth Speaker Portable 200W"/>
        <s v="Glitter Gel Pens 4 pack"/>
        <s v="Wireless Bluetooth Earbuds"/>
        <s v="Permanent markers 6 pack black"/>
        <s v="Gaming Mouse"/>
        <s v="Women’s Active Leggings (Yellow)"/>
        <s v="Reusable Ice Pack (2 pack) (Grey)"/>
        <s v="Camping Kettle 5L Navy"/>
        <s v="Cotton T‑Shirt Black M"/>
        <s v="Rug 100cm x 250cm"/>
        <s v="Rose Water Toner"/>
        <s v="BBQ Skewers - 12 pack (Bamboo)"/>
        <s v="Unisex Hoodie - Blue XXXL"/>
        <s v="Solar Garden Light Set (8 pack)"/>
        <s v="Stainless Steel BBQ Tools Set"/>
        <s v="Stainless Steel BBQ Tools Set (Navy)"/>
        <s v="Cushion Fringe Red 60 x 40"/>
        <s v="BBQ Meat Thermometer Battery Powered"/>
        <s v="Garden Light Sun Powered No Recharge"/>
        <s v="Gold-plated Hoop Earrings 4mm"/>
        <s v="Fairy Lights Outdoor Garden String 100"/>
        <s v="BBQ Skewers - 24 pack (Bamboo)"/>
        <s v="Portable Camping Chair (Yellow)"/>
        <s v="Waterproof Picnic Mat"/>
        <s v="Baby Shower Gift Bundle (Yellow)"/>
        <s v="Outdoor Oven Gloves (Pink)"/>
        <s v="BBQ - Charcoal"/>
        <s v="Stainless Steel Grill Basket"/>
        <s v="Body Lotion - Shea Butter 500ml"/>
        <s v="Body Lotion Shea Butter 1L"/>
        <s v="Wood Chips - Hickory"/>
        <s v="Aloe Vera Gel 500ml"/>
        <s v="Waterproof Picnic Mat 100x100"/>
        <s v="Scented Candle Rose"/>
        <s v="Noise Cancelling Headphones (Blue)"/>
        <s v="Outdoor Oven Gloves (Red)"/>
        <s v="OutdoorOven Oven Gloves (Green)"/>
        <s v="Portable Mini Grill"/>
        <s v="Bubble Maker Machine (Red)"/>
        <s v="Pearl Stud Earrings Cluster"/>
        <s v="Weighted Blanket 8kg"/>
        <s v="Smart Home Hub (Black) 2023"/>
        <s v="Wireless Keyboard (Navy)"/>
        <s v="Plush Giraffe Toy"/>
        <s v="gold Necklace stars"/>
        <s v="BBQ Cleaning Brush XXL"/>
        <s v="Stainless Steel Grill Basket XL"/>
        <s v="Body Lotion - Shea Butter 200ml"/>
        <s v="Gold-plated Hoop Earrings Crystal Clip"/>
        <s v="Decorative Cushion - Navy 60 x 60"/>
        <s v="Pillowcase Silk Navy Pair"/>
        <s v="BBQ Cleaning Fluid"/>
        <s v="BBQ Skewers - 12 pack (Stainless Steel)"/>
        <s v="Waterproof Mat"/>
        <s v="BBQ Skewers - 24 pack (Stainless Steel)"/>
        <s v="Pendant Necklace - Rose Gold"/>
        <s v="Metal Ruler 30cm"/>
        <s v="Cotton T‑Shirt Green L"/>
        <s v="Highlighter Set Bright 4 pen"/>
        <s v="Ballpoint pen 6 pack"/>
        <s v="Garden Hose 50m (Green)"/>
        <s v="Solar Garden Light Set"/>
        <s v="Denim S Child"/>
        <s v="BBQ Apron - Blue"/>
        <s v="Makeup Sponge Pack Orange"/>
        <s v="Jewellery Box White Oak"/>
        <s v="paddling pool blue inflatable fishes"/>
        <s v="BBQ Grill Mat - Non‑stick (Navy)"/>
        <s v="Beach Umbrella - UV50+ White"/>
        <s v="Mini Plant Starter Kit (Lily)"/>
        <s v="Decorative Cushion - Blue 60 x 60"/>
        <s v="Memory Foam Pillow Firm"/>
        <s v="Ceramic Vase - Sand Finish"/>
        <s v="Picnic basket"/>
        <s v="Aloe Vera Gel 150ml 2 pack"/>
        <s v="Steel Grill Basket"/>
        <s v="Charcoal Starter Chimney XL"/>
        <s v="Ice bucket outdoor beers garden picnic"/>
        <s v="Adjustable Dumbbell 10kg"/>
        <s v="Camping Kettle 2L Navy"/>
        <s v="Whiteboard Markers 6pc"/>
        <s v="Scented gel pen 20 pack pastel party"/>
        <s v="Crystal Earrings Stud"/>
        <s v="Foam Roller - Firm Black"/>
        <s v="Permanent markers 6 pack blue"/>
        <s v="Rainbow Kite - Light-Up"/>
        <s v="Rug 200cm x 180cm"/>
        <s v="Hand Grip Strengthener (Red)"/>
        <s v="Kids Paint Kit (Green)"/>
        <s v="Baby Shower Gift Bundle (Blue)"/>
        <s v="Luxury Skincare Set Shea Vitamin"/>
        <s v="Beeswax Candle - Mint Rosemary"/>
        <s v="Snorkel Set - Child"/>
        <s v="Unisex Hoodie - Black XXL"/>
        <s v="Hickory Wood Chips Large Bag"/>
        <s v="Disposible Mini Grill"/>
        <s v="Wireless Keyboard (Yellow)"/>
        <s v="Rain Jacket Red XS"/>
        <s v="Wool Beanie - Blue"/>
        <s v="Jewellery Box Birch"/>
        <s v="Spa Pamper Gift Set Fruity Mix"/>
        <s v="Bath Bomb Variety Pack (Ylang ylang jasmine)"/>
        <s v="Skipping Rope"/>
        <s v="Remote Control Car Vroom Noise"/>
        <s v="Tea Lovers Hamper Vegemite Edition"/>
        <s v="BBQ Grill Mat - Non‑stick (Blue)"/>
        <s v="Noise Cancelling Headphones (Green)"/>
        <s v="Protein Shaker Bottle 600ml (Red)"/>
        <s v="Slime Lab Green 8pc"/>
        <s v="Mini Plant Starter Kit (Tulip)"/>
        <s v="Pendant Necklace - Silver"/>
        <s v="Pearl Earrings Stud"/>
        <s v="Pearl Stud Earrings"/>
        <s v="Aloe Vera Gel 200ml 2 pack"/>
        <s v="Wood Chips - Oak"/>
        <s v="BBQ Meat Thermometer WiFi"/>
        <s v="Bath Bomb Strawberry Vanilla Gift Set"/>
        <s v="Charm Bracelet gold"/>
        <s v="Rug 200cm x 220cm"/>
        <s v="Snorkel Set - Child Pink"/>
        <s v="Drop Earrings Dangle Silver"/>
        <s v="Blood Pressure Monitor (White)"/>
        <s v="Unisex Hoodie - Black XXXL"/>
        <s v="Noise Cancelling Headphones (White)"/>
        <s v="Wall Clock - Minimalist (Blue)"/>
        <s v="Water Gun Set"/>
        <s v="USB C Fast Charge 30W"/>
        <s v="Fairy Lights Outdoor Garden String 200"/>
        <s v="Anklet - Gold"/>
        <s v="Ceramic Vase Grey Sand"/>
        <s v="Whiteboard Markers - 6 pack"/>
        <s v="Waterproof Picnic Mat Tartan"/>
        <s v="Building Blocks 600 pcs"/>
        <s v="Portable Power Bank 20000mAh"/>
        <s v="Tea Lovers Hamper Earl Grey"/>
        <s v="Sports Socks - 5 pack"/>
        <s v="Weighted Blanket 5kg"/>
        <s v="Face Mist Vitamin E"/>
        <s v="Vase Ceramic Sand Finish Navy"/>
        <s v="Protein Shaker Bottle 600ml"/>
        <s v="Weighted Blanket 20kg"/>
        <s v="Noise Cancelling Headphones (Yellow)"/>
        <s v="Indoor Plant Pot - XL"/>
        <s v="Building Blocks 300 pcs Special Edition space"/>
        <s v="Noise Cancelling Headphones (Red)"/>
        <s v="Adjustable Dumbbell 8kg"/>
        <s v="Aloe Vera Gel 200ml"/>
        <s v="Nail Polish - Midnight Sky"/>
        <s v="Sterling Silver 925 Stud Earrings Pair Ladybird"/>
        <s v="BBQ Apron - Red"/>
        <s v="Cotton T‑Shirt Green XL"/>
        <s v="Candle Trio Gift Set Lily"/>
        <s v="Sterling Silver Necklace"/>
        <s v="Premium Pencil Case (Black)"/>
        <s v="Car Controlled Phone Remote"/>
        <s v="Pendant Necklace Silver"/>
        <s v="Kite Glitter"/>
        <s v="Rain Jacket Red L"/>
        <s v="Wireless Keyboard Premium"/>
        <s v="Wood Chips Smoked Mesquite Premium"/>
        <s v="Tea Lovers Hamper Shapes Edition"/>
        <s v="Scented Drawer Sachets Lavender"/>
        <s v="Bath Bomb Variety Pack (Rose lavender)"/>
        <s v="Hydrating Face Mist Vitamin E"/>
        <s v="Cotton Bath Towels Navy"/>
        <s v="Adjustable Dumbbell 25kg"/>
        <s v="Hair Strengthening Mask shea butter 4 pack"/>
        <s v="Digital Thermometer Battery Powered"/>
        <s v="Yoga Mat - 10mm Thick (Green)"/>
        <s v="Adjustable Dumbbell 15kg"/>
        <s v="Hair Strengthening Mask shea butter"/>
        <s v="Educational Puzzle - Jungle Animals"/>
        <s v="Hand Grip Strengthener (Grey)"/>
        <s v="Blood Pressure Monitor bluetooth"/>
        <s v="Pearl Stud Earrings Genuine Pearl"/>
        <s v="T‑Shirt XL Polycotton Black"/>
        <s v="Jewellery Gift Box Clear Plastic 6 compartment"/>
        <s v="Cotton T‑Shirt Green S"/>
        <s v="Organic Lip Balm - Cherry"/>
        <s v="Spa Pamper Gift Set Relaxing Calm"/>
        <s v="LED Floor Lamp Battery"/>
        <s v="Smart Home Hub (Green) 2023"/>
        <s v="Portable Power Bank 10,000mAh (White)"/>
        <s v="Garden Hose 20m (Grey)"/>
        <s v="Smart Home Hub (Navy) 2023"/>
        <s v="Men’s Chino Shorts M"/>
        <s v="Scented Soy Candle - Oud"/>
        <s v="Ring Set (Rose Gold)"/>
        <s v="Garden Lights 10 pack Solar Power"/>
        <s v="Mens Cologne Gift Set Tester Bottles"/>
        <s v="Solar Garden Light Set (4 pack)"/>
        <s v="Unisex Hoodie - Grey L"/>
        <s v="Turtle Ornament Garden"/>
        <s v="Wireless Bluetooht Earphones"/>
        <s v="Garden Hose 20m (Green)"/>
        <s v="Organic Lip Balm - Mint"/>
        <s v="Hydrating Face Mist 500ml"/>
        <s v="Denim Shirt M"/>
        <s v="Jewellery Box Pink"/>
        <s v="Foam Maker"/>
        <s v="Heat Therapy Pad"/>
        <s v="Vitamin C Serum 200ml"/>
        <s v="Waterproof Mat Beach"/>
        <s v="Unisex Hoodie - Navy XL"/>
        <s v="Soy Candle Environmentally Friendly Rose"/>
        <s v="Nail Polish - Coral"/>
        <s v="Mini Plant Starter Kit"/>
        <s v="Kids Cotton Pyjamas 9-11y"/>
        <s v="Sterling Silver 925 Earrings Pair Butterfly"/>
        <s v="Wooden Train Set"/>
        <s v="Women’s Active Leggings L"/>
        <s v="Garden Ornament Gnome Red Spots"/>
        <s v="Hand Grip Strengthener (Blue)"/>
        <s v="Snorkel Set - Adult"/>
        <s v="Rug 220cm x 250cm"/>
        <s v="Oil Diffuser "/>
        <s v="Adjustable Dumbbell 20kg"/>
        <s v="Plush Koala Toy"/>
        <s v="Serving Bowl Blue"/>
        <s v="Plush Zebra Toy"/>
        <s v="Foam Roller - Firm Blue Large"/>
        <s v="Premium Pencil Case (Glitter)"/>
        <s v="Kite Blue"/>
        <s v="Luxury Skincare Set Moisturiser Bath Bomb"/>
        <s v="Weekly Planner Pad"/>
        <s v="Lotion Cocoa Butter 50ml"/>
        <s v="Garden Hose 50m (Grey)"/>
        <s v="Yoga Mat - 8mm Thick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shni Shah" refreshedDate="46171.599746296299" createdVersion="8" refreshedVersion="8" minRefreshableVersion="3" recordCount="112" xr:uid="{F5BB392C-3DEB-4AF2-A35A-AFE748A83A52}">
  <cacheSource type="worksheet">
    <worksheetSource ref="A1:G1048576" sheet="sellers_2026"/>
  </cacheSource>
  <cacheFields count="7">
    <cacheField name="seller_id" numFmtId="0">
      <sharedItems containsBlank="1"/>
    </cacheField>
    <cacheField name="seller_user" numFmtId="0">
      <sharedItems containsBlank="1"/>
    </cacheField>
    <cacheField name="seller_name" numFmtId="0">
      <sharedItems containsBlank="1"/>
    </cacheField>
    <cacheField name="seller_surname" numFmtId="0">
      <sharedItems containsBlank="1"/>
    </cacheField>
    <cacheField name="seller_email" numFmtId="0">
      <sharedItems containsBlank="1"/>
    </cacheField>
    <cacheField name="seller_area" numFmtId="0">
      <sharedItems containsBlank="1"/>
    </cacheField>
    <cacheField name="seller_state" numFmtId="0">
      <sharedItems containsBlank="1" count="9">
        <s v="VIC"/>
        <s v="SA"/>
        <s v="WA"/>
        <s v="TAS"/>
        <s v="QLD"/>
        <s v="ACT"/>
        <s v="NSW"/>
        <s v="NT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71.604487847224" createdVersion="8" refreshedVersion="8" minRefreshableVersion="3" recordCount="795" xr:uid="{EA3795A9-D262-48EA-B379-0E96EC2BD36E}">
  <cacheSource type="worksheet">
    <worksheetSource ref="A1:H796" sheet="Rough data"/>
  </cacheSource>
  <cacheFields count="5">
    <cacheField name="product_category" numFmtId="0">
      <sharedItems count="10">
        <s v="Beauty"/>
        <s v="Stationery"/>
        <s v="Toys"/>
        <s v="Clothes"/>
        <s v="Health"/>
        <s v="Outdoor"/>
        <s v="Jewellery"/>
        <s v="Electronics"/>
        <s v="Home"/>
        <s v="Gift_Sets"/>
      </sharedItems>
    </cacheField>
    <cacheField name="product_id" numFmtId="0">
      <sharedItems/>
    </cacheField>
    <cacheField name="product_quantity" numFmtId="0">
      <sharedItems containsSemiMixedTypes="0" containsString="0" containsNumber="1" containsInteger="1" minValue="1" maxValue="6"/>
    </cacheField>
    <cacheField name="product_price" numFmtId="0">
      <sharedItems containsSemiMixedTypes="0" containsString="0" containsNumber="1" minValue="2.1800000000000002" maxValue="119.75"/>
    </cacheField>
    <cacheField name="product_revenue" numFmtId="0">
      <sharedItems containsSemiMixedTypes="0" containsString="0" containsNumber="1" minValue="2.1800000000000002" maxValue="292.8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71.622209259258" createdVersion="8" refreshedVersion="8" minRefreshableVersion="3" recordCount="796" xr:uid="{80A1A576-C774-419B-9F2C-FDAB82738DFC}">
  <cacheSource type="worksheet">
    <worksheetSource ref="D1:H1048576" sheet="Rough data"/>
  </cacheSource>
  <cacheFields count="2">
    <cacheField name="product_name" numFmtId="0">
      <sharedItems containsBlank="1" count="317">
        <s v="Hair Strengthening Mask shea butter 4 pack"/>
        <s v="Highlighter Set Bright 4 pen"/>
        <s v="Slime Lab Blue 8pc"/>
        <s v="Slime Lab Green 8pc"/>
        <s v="Summer Dress - Floral"/>
        <s v="Whiteboard Markers - 6 pack"/>
        <s v="Heat Therapy Pad"/>
        <s v="Waterproof Picnic Mat 100x100"/>
        <s v="Garden Lights 4 pack Solar Power"/>
        <s v="Stainless Steel Grill Basket XL"/>
        <s v="BBQ Skewers - 12 pack (Bamboo)"/>
        <s v="Hydrating Face Mist"/>
        <s v="BBQ Skewers - 12 pack (Stainless Steel)"/>
        <s v="Garden Lights 10 pack Solar Power"/>
        <s v="BBQ Skewers - 24 pack (Stainless Steel)"/>
        <s v="BBQ Skewers - 24 pack (Bamboo)"/>
        <s v="Pendant Necklace - Rose Gold"/>
        <s v="Permanent markers 6 pack black"/>
        <s v="Permanent markers 6 pack blue"/>
        <s v="Solar Garden Light Set (4 pack)"/>
        <s v="Solar Garden Light Set (8 pack)"/>
        <s v="Snorkel Set - Child"/>
        <s v="Snorkel Set - Child Pink"/>
        <s v="Outdoor Oven Gloves (Red)"/>
        <s v="Outdoor Oven Gloves (Pink)"/>
        <s v="Body Lotion - Shea Butter 200ml"/>
        <s v="Body Lotion - Shea Butter 500ml"/>
        <s v="Fairy Lights Outdoor Garden String 100"/>
        <s v="Fairy Lights Outdoor Garden String 200"/>
        <s v="Unisex Hoodie - Blue XXXL"/>
        <s v="Wireless Keyboard (Yellow)"/>
        <s v="Unisex Hoodie - Black XXXL"/>
        <s v="Wireless Keyboard (Navy)"/>
        <s v="Essential Oil Diffuser"/>
        <s v="Protein Shaker Bottle 600ml (Red)"/>
        <s v="Glitter Gel Pens 4 pack"/>
        <s v="Bluetooth Speaker Portable 200W"/>
        <s v="Plush Giraffe Toy"/>
        <s v="Yoga Mat 10mm"/>
        <s v="Gaming Mouse"/>
        <s v="Educational Puzzle - Jungle Animals"/>
        <s v="Blending Sponge"/>
        <s v="Nail Polish - Coral"/>
        <s v="Cushion Fringe Red 60 x 40"/>
        <s v="Wireless Keyboard Premium"/>
        <s v="Blood Pressure Monitor (White)"/>
        <s v="BBQ Meat Thermometer Battery Powered"/>
        <s v="Car Controlled Phone Remote"/>
        <s v="Mini Plant Starter Kit"/>
        <s v="Scented Drawer Sachets Lavender"/>
        <s v="Portable Mini Grill"/>
        <s v="Bath Bomb Variety Pack (Ylang ylang jasmine)"/>
        <s v="Bubble Maker Machine (Red)"/>
        <s v="Wood Chips - Oak"/>
        <s v="Wood Chips Smoked Mesquite Premium"/>
        <s v="Scented Drawer Sachets Jasmine"/>
        <s v="Mini Plant Starter Kit (Tulip)"/>
        <s v="Crystal Drop Earrings Clipon"/>
        <s v="Candle Trio Gift Set Lily"/>
        <s v="Metal Ruler 30cm"/>
        <s v="Stainless Steel Cutting Board"/>
        <s v="Tea Lovers Hamper Earl Grey"/>
        <s v="Bath Bomb Strawberry Vanilla Gift Set"/>
        <s v="Floor Lamp Standing Tall LED"/>
        <s v="Sports Socks - 5 pack"/>
        <s v="Picnic basket"/>
        <s v="Reed Oil Diffuser Pomegranate Bay Leaf"/>
        <s v="T‑Shirt XL Polycotton Black"/>
        <s v="Luxury Skincare Set Shea Vitamin"/>
        <s v="Highlighter Set Pens Yellow"/>
        <s v="BBQ Cleaning Fluid"/>
        <s v="Plush Koala Toy"/>
        <s v="Car racing track automatic launch"/>
        <s v="Pearl Stud Earrings Genuine Pearl"/>
        <s v="Dark Chocolate Selection Box"/>
        <s v="Glittertube Makeup Set Kids"/>
        <s v="Cotton T‑Shirt Green XL"/>
        <s v="OutdoorOven Oven Gloves (Green)"/>
        <s v="Yoga Mat - 8mm Thick"/>
        <s v="Rain Jacket Red L"/>
        <s v="Premium Soy Candle Orange Blossom"/>
        <s v="Sterling Silver Necklace"/>
        <s v="Organic Lip Balm - Cherry"/>
        <s v="Kids Cotton Pyjamas 18month"/>
        <s v="Rain Jacket Red XS"/>
        <s v="Wireless Bluetooth Earbuds Noise Cancel"/>
        <s v="Waterproof Mat Beach"/>
        <s v="Anklet - Gold"/>
        <s v="Unisex Hoodie - Black XXL"/>
        <s v="Solar Garden Light"/>
        <s v="Rain Jacket Red XXS"/>
        <s v="Serving Bowl Blue"/>
        <s v="Scented Candle Rose"/>
        <s v="Pillowcase Silk Navy Pair"/>
        <s v="Charm Bracelet gold"/>
        <s v="Whiteboard Markers 6pc"/>
        <s v="Hickory Wood Chips Large Bag"/>
        <s v="Spa Pamper Gift Set For Him"/>
        <s v="Kite Glitter"/>
        <s v="Koala Stuffed Toy"/>
        <s v="Building Blocks 300 pcs Special Edition space"/>
        <s v="Garden Light Sun Powered No Recharge"/>
        <s v="Rainbow Kite - Light-Up"/>
        <s v="Whiteoard Markers - 3 pack"/>
        <s v="Premium Pencil Case (Glitter)"/>
        <s v="Wireless Bluetooth Earbuds"/>
        <s v="Bluetooth Speaker - Portable"/>
        <s v="Foam Roller - Firm Blue Large"/>
        <s v="Portable Mini Grill Gas Fire"/>
        <s v="Jewellery Box Birch"/>
        <s v="Tea Lovers Hamper Vegemite Edition"/>
        <s v="Kite Blue"/>
        <s v="Women’s Active Leggings L"/>
        <s v="Digital Thermometer Battery Powered"/>
        <s v="Pendant Necklace Silver"/>
        <s v="Kids Paint Kit"/>
        <s v="Cotton T‑Shirt Black M"/>
        <s v="Organic Lip Balm - Mint"/>
        <s v="LED Light Bulb Reusable"/>
        <s v="Kids Paint Kit (Blue)"/>
        <s v="Ceramic Vase - Sand Finish"/>
        <s v="Scented gel pen 20 pack pastel party"/>
        <s v="Pearl Stud Earrings"/>
        <s v="Pearl Stud Earrings Cluster"/>
        <s v="Ice bucket outdoor beers garden picnic"/>
        <s v="Men’s Chino Shorts S"/>
        <s v="Coffee Sampler Pack"/>
        <s v="Drop Earrings Dangle Silver"/>
        <s v="Pearl Earrings Stud"/>
        <s v="Steel Grill Basket"/>
        <s v="Cotton T‑Shirt Green L"/>
        <s v="Oil Diffuser "/>
        <s v="Foam Maker"/>
        <s v="antique bronze necklace owl vintage"/>
        <s v="Waterproof Mat"/>
        <s v="Snorkel Set - Adult"/>
        <s v="Jewellery Gift Box Clear Plastic 6 compartment"/>
        <s v="Men’s Leather Band Bracelet"/>
        <s v="Smart Home Hub"/>
        <s v="Water Gun Set"/>
        <s v="Rose Water Toner"/>
        <s v="Kite Rainbow"/>
        <s v="Blood Pressure Monitor Digital"/>
        <s v="Light up lawnmower AI powered"/>
        <s v="Rain Jacket - Lightweight"/>
        <s v="BBQ Cleaning Brush"/>
        <s v="BBQ Cleaning Brush XXL"/>
        <s v="Body Lotion Shea Butter 1L"/>
        <s v="USB C Fast Charger 30W (Black)"/>
        <s v="Denim Shirt M"/>
        <s v="Hydrating Face Mist 500ml"/>
        <s v="Beach Umbrella - UV50+ White"/>
        <s v="Unisex Hoodie - Navy XL"/>
        <s v="Essential Oil Diffuser Mains Powered"/>
        <s v="Educational Puzzle - Zoo Animals"/>
        <s v="Sterling Silver 925 Stud Earrings Pair Ladybird"/>
        <s v="Snorkel Set - Adult Small"/>
        <s v="Drawer Organiser 5 sections"/>
        <s v="Sterling Silver 925 Earrings Pair Butterfly"/>
        <s v="Lotion Cocoa Butter 50ml"/>
        <s v="Waterproof Picnic Mat Tartan"/>
        <s v="Charcoal Starter Chimney XL"/>
        <s v="Stainless Steel BBQ Tools Set"/>
        <s v="USB C Fast Charge 30W"/>
        <s v="Tea Lovers Hamper Shapes Edition"/>
        <s v="Carbon Fiber Mug Set"/>
        <s v="Makeup Sponge Pack Orange"/>
        <s v="Face mask peel-off orange 3 pack"/>
        <s v="Jewellery Box Pink"/>
        <s v="BBQ - Charcoal"/>
        <s v="Wool Beanie - Navy"/>
        <s v="Wool Beanie - Blue"/>
        <s v="Wool Beanie - Black"/>
        <s v="Ballpoint pen 6 pack"/>
        <s v="Skipping Rope"/>
        <s v="Heat Therapy Pad Reusable"/>
        <s v="Garden Ornament Frog"/>
        <s v="gold Necklace stars"/>
        <s v="Spa Pamper Gift Set Relaxing Calm"/>
        <s v="Highlighter 4pc Yellow"/>
        <s v="Men’s Chino Shorts M"/>
        <s v="Milk Chocolate Selection Box"/>
        <s v="Wood Chips - Hickory"/>
        <s v="Disposible Mini Grill"/>
        <s v="Face Mist Vitamin E"/>
        <s v="Hair Strengthening Mask shea butter"/>
        <s v="Aloe Vera Gel 200ml"/>
        <s v="Memory Foam Pillow Medium Firm x 2"/>
        <s v="Vitamin C Serum 50ml"/>
        <s v="Vitamin C Serum 30ml"/>
        <s v="Vitamin C Serum 200ml"/>
        <s v="Aloe Vera Gel 200ml 2 pack"/>
        <s v="Aloe Vera Gel 150ml 2 pack"/>
        <s v="Cotton T‑Shirt Green S"/>
        <s v="Denim S Child"/>
        <s v="Men’s Chino Shorts XL"/>
        <s v="Cotton T Black Small"/>
        <s v="Kids Cotton Pyjamas 6-8y"/>
        <s v="Kids Cotton Pyjamas 9-11y"/>
        <s v="Women’s Active Leggings (Yellow)"/>
        <s v="Unisex Hoodie - Yellow L"/>
        <s v="Portable Power Bank 20000mAh"/>
        <s v="Wireless Bluetooht Earphones"/>
        <s v="HD Webcam 1080p USB Desktop"/>
        <s v="Smart Home Hub (Navy) 2023"/>
        <s v="Unisex Hoodie - Grey L"/>
        <s v="Smart Home Hub (Green) 2023"/>
        <s v="Smart LED Light Bulb"/>
        <s v="Smart Home Hub (Black) 2023"/>
        <s v="Noise Cancelling Headphones (Blue)"/>
        <s v="Noise Cancelling Headphones (Red)"/>
        <s v="Noise Cancelling Headphones (Yellow)"/>
        <s v="Noise Cancelling Headphones (White)"/>
        <s v="Noise Cancelling Headphones (Green)"/>
        <s v="Noise Cancelling Headphones (Black)"/>
        <s v="Portable Power Bank 10,000mAh (Navy)"/>
        <s v="Portable Power Bank 10,000mAh (White)"/>
        <s v="Spa Pamper Gift Set Fruity Mix"/>
        <s v="Mini Plant Starter Kit (Lily)"/>
        <s v="Tea Lovers Hamper Darjelling"/>
        <s v="Bath Bomb Variety Pack (Rose lavender)"/>
        <s v="White Chocolate Selection Box"/>
        <s v="Mini Plant Starter Kit (Diasy)"/>
        <s v="Luxury Skincare Set Moisturiser Bath Bomb"/>
        <s v="Fruity Mango Bath Gel Gift Set"/>
        <s v="Vase Ceramic Sand Finish Navy"/>
        <s v="Baby Shower Gift Bundle (Blue)"/>
        <s v="Baby Shower Gift Bundle (Yellow)"/>
        <s v="Mens Cologne Gift Set Tester Bottles"/>
        <s v="Blood Pressure Monitor bluetooth"/>
        <s v="Smartwatch Health Tracking"/>
        <s v="Yoga Mat - 10mm Thick (Green)"/>
        <s v="Adjustable Dumbbell 10kg"/>
        <s v="Adjustable Dumbbell 12kg"/>
        <s v="Adjustable Dumbbell 20kg"/>
        <s v="Adjustable Dumbbell 25kg"/>
        <s v="Protein Shaker Bottle 600ml"/>
        <s v="Protein Shaker Bottle 500ml"/>
        <s v="Hydrating Face Mist Vitamin E"/>
        <s v="Nail Polish - Midnight Sky"/>
        <s v="Aloe Vera Gel 500ml"/>
        <s v="Foam Roller - Firm Black"/>
        <s v="Reusable Ice Pack (2 pack) (Grey)"/>
        <s v="Indoor Plant Pot - XL"/>
        <s v="Silicone Laundry Basket - White"/>
        <s v="Memory Foam Pillow Medium Firm"/>
        <s v="Memory Foam Pillow Firm x 2"/>
        <s v="Beeswax Candle - Mint Rosemary"/>
        <s v="Cotton Bath Towels Navy"/>
        <s v="LED Floor Lamp Battery"/>
        <s v="Ceramic Vase Grey Sand"/>
        <s v="Rug 200cm x 180cm"/>
        <s v="Rug 200cm x 220cm"/>
        <s v="Rug 220cm x 250cm"/>
        <s v="Rug 100cm x 250cm"/>
        <s v="Portable Camping Chair (Yellow)"/>
        <s v="Scented Soy Candle - Oud"/>
        <s v="Adjustable Dumbbell 8kg"/>
        <s v="Adjustable Dumbbell 15kg"/>
        <s v="LED Floor Lamp"/>
        <s v="Weighted Blanket 20kg"/>
        <s v="Weighted Blanket 8kg"/>
        <s v="Weighted Blanket 5kg"/>
        <s v="Decorative Cushion - Blue 60 x 60"/>
        <s v="Memory Foam Pillow Firm"/>
        <s v="Decorative Cushion - Navy 60 x 60"/>
        <s v="Wall Clock - Minimalist (Blue)"/>
        <s v="Soy Candle Environmentally Friendly Rose"/>
        <s v="Jewellery Box White Oak"/>
        <s v="Ring Set (Rose Gold)"/>
        <s v="Crystal Earrings Stud"/>
        <s v="Anklet - Silver Tone"/>
        <s v="Pendant Necklace - Silver"/>
        <s v="Gold-plated Hoop Earrings 4mm"/>
        <s v="Gold-plated Hoop Earrings 5mm"/>
        <s v="Gold-plated Hoop Earrings Crystal Clip"/>
        <s v="Garden Ornament Gnome Red Spots"/>
        <s v="BBQ Meat Thermometer Bluetooth"/>
        <s v="Turtle Ornament Garden"/>
        <s v="Solar Garden Light Set"/>
        <s v="Bamboo Picnic Rug Recycled Material"/>
        <s v="BBQ Meat Thermometer WiFi"/>
        <s v="Portable Camping Chair (Blue)"/>
        <s v="Camping Kettle 2L Navy"/>
        <s v="Camping Kettle 5L Navy"/>
        <s v="Building Blocks 100 pcs"/>
        <s v="Building Blocks 600 pcs"/>
        <s v="paddling pool blue inflatable fishes"/>
        <s v="Beach Umbrella - UV50+ Floral"/>
        <s v="BBQ Apron - Red"/>
        <s v="Stainless Steel BBQ Tools Set (Navy)"/>
        <s v="Stainless Steel BBQ Tools Set (Grey)"/>
        <s v="Stainless Steel BBQ Tools Set (Green)"/>
        <s v="Compact Hiking Backpack 20L (Blue)"/>
        <s v="Garden Hose 50m (Green)"/>
        <s v="Garden Hose 50m (Grey)"/>
        <s v="Garden Hose 20m (Grey)"/>
        <s v="Garden Hose 20m (Green)"/>
        <s v="Hand Grip Strengthener (Grey)"/>
        <s v="Hand Grip Strengthener (Red)"/>
        <s v="Hand Grip Strengthener (Blue)"/>
        <s v="BBQ Grill Mat - Non‑stick (Navy)"/>
        <s v="BBQ Grill Mat - Non‑stick (Blue)"/>
        <s v="Waterproof Picnic Mat"/>
        <s v="BBQ Apron - Blue"/>
        <s v="Stainless Steel Grill Basket"/>
        <s v="Weekly Planner Pad"/>
        <s v="Sticky Notes Cube 200pc"/>
        <s v="Gel Pen Set - 10 pack (Black)"/>
        <s v="Premium Pencil Case (Black)"/>
        <s v="Remote Control Car Vroom Noise"/>
        <s v="Plush Zebra Toy"/>
        <s v="building blocks 800 pc"/>
        <s v="Talking doll happy smile matching outfit"/>
        <s v="Wooden Train Set"/>
        <s v="Kids Paint Kit (Green)"/>
        <m/>
      </sharedItems>
    </cacheField>
    <cacheField name="product_revenue" numFmtId="0">
      <sharedItems containsString="0" containsBlank="1" containsNumber="1" minValue="2.1800000000000002" maxValue="292.8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shni Shah" refreshedDate="46171.627224189811" createdVersion="8" refreshedVersion="8" minRefreshableVersion="3" recordCount="800" xr:uid="{1F79B68F-AEF6-4E47-850B-0A506DC615A2}">
  <cacheSource type="worksheet">
    <worksheetSource ref="A1:J1048576" sheet="order_items"/>
  </cacheSource>
  <cacheFields count="10">
    <cacheField name="order_id" numFmtId="0">
      <sharedItems containsBlank="1"/>
    </cacheField>
    <cacheField name="product_id" numFmtId="0">
      <sharedItems containsBlank="1"/>
    </cacheField>
    <cacheField name="product_quantity" numFmtId="0">
      <sharedItems containsString="0" containsBlank="1" containsNumber="1" containsInteger="1" minValue="1" maxValue="6"/>
    </cacheField>
    <cacheField name="product_category" numFmtId="0">
      <sharedItems containsBlank="1" count="11">
        <s v="Home"/>
        <s v="Jewellery"/>
        <s v="Beauty"/>
        <s v="Electronics"/>
        <s v="Stationery"/>
        <s v="Clothes"/>
        <s v="Outdoor"/>
        <s v="Gift_Sets"/>
        <s v="Toys"/>
        <s v="Health"/>
        <m/>
      </sharedItems>
    </cacheField>
    <cacheField name="product_price" numFmtId="0">
      <sharedItems containsString="0" containsBlank="1" containsNumber="1" minValue="2.1800000000000002" maxValue="119.75"/>
    </cacheField>
    <cacheField name="item_revenue" numFmtId="0">
      <sharedItems containsString="0" containsBlank="1" containsNumber="1" minValue="2.1800000000000002" maxValue="292.86"/>
    </cacheField>
    <cacheField name="product_name" numFmtId="0">
      <sharedItems containsBlank="1"/>
    </cacheField>
    <cacheField name="seller_id" numFmtId="0">
      <sharedItems containsBlank="1"/>
    </cacheField>
    <cacheField name="seller_state" numFmtId="0">
      <sharedItems containsBlank="1" count="9">
        <s v="NT"/>
        <s v="QLD"/>
        <s v="NSW"/>
        <s v="WA"/>
        <s v="VIC"/>
        <s v="ACT"/>
        <s v="TAS"/>
        <s v="SA"/>
        <m/>
      </sharedItems>
    </cacheField>
    <cacheField name="seller_user" numFmtId="0">
      <sharedItems containsBlank="1" count="88">
        <s v="goodqualityemporium"/>
        <s v="queenslandqweenie"/>
        <s v="nhlay6j49a"/>
        <s v="w71bv3mee1"/>
        <s v="hobbylobby"/>
        <s v="storeshop"/>
        <s v="clothesforlife"/>
        <s v="au6ynzdcy5"/>
        <s v="doorsyout"/>
        <s v="7e16xoz37j"/>
        <s v="dress4beauty"/>
        <s v="buydongxi25"/>
        <s v="7ti9lfa6h5"/>
        <s v="toysyay"/>
        <s v="beauty490"/>
        <s v="s22ods7z5m"/>
        <s v="toymajoy"/>
        <s v="springlesprungle3"/>
        <s v="home458"/>
        <s v="healthway"/>
        <s v="fq9rb8o3qr"/>
        <s v="healthcarehelp"/>
        <s v="homeandaways"/>
        <s v="compradadonut"/>
        <s v="zmkizlf6t6"/>
        <s v="millies-outdoor-shop"/>
        <s v="wcs62ctlxh"/>
        <s v="beautifullife472"/>
        <s v="toybuy"/>
        <s v="goodsahoy"/>
        <s v="beautifullhome"/>
        <s v="cpghfp370y"/>
        <s v="ELEC25B"/>
        <s v="keepwells"/>
        <s v="cheapandgood27"/>
        <s v="lfmk805jw2"/>
        <s v="pyrurodqk4"/>
        <s v="g9x1rt9dw8"/>
        <s v="uqcoiiv4s9"/>
        <s v="generalstuff"/>
        <s v="hill25doors"/>
        <s v="excelinall"/>
        <s v="r6vd2aojq8"/>
        <s v="brizzy_bonanza_48"/>
        <s v="homedeliver"/>
        <s v="find_what_u_need"/>
        <s v="peterpiper"/>
        <s v="electrowave"/>
        <s v="buildmydream"/>
        <s v="gardenandco"/>
        <s v="general-goods"/>
        <s v="buyingtime"/>
        <s v="beauty4everyone"/>
        <s v="housenice"/>
        <s v="feelgood_attire"/>
        <s v="abracadabra_002"/>
        <s v="cleaning_out_my_shed"/>
        <s v="stuff-on-sale"/>
        <s v="new-south-sales"/>
        <s v="1bt8plshsf"/>
        <s v="outer40"/>
        <s v="jy9binq4v9"/>
        <s v="darwin_beauty"/>
        <s v="g5x9v55sct"/>
        <s v="makeupped"/>
        <s v="maddie-sells"/>
        <s v="buyeverything-1"/>
        <s v="liz1974"/>
        <s v="outhomelovely"/>
        <s v="bootsandcamping"/>
        <s v="jane-outside"/>
        <s v="ky7urd3k6y"/>
        <s v="pensandthings"/>
        <s v="barbievend"/>
        <s v="shop689"/>
        <s v="swanium"/>
        <s v="staion-bonanza"/>
        <s v="everything_nmore"/>
        <s v="glitterymagpie"/>
        <s v="clothes832"/>
        <s v="fungamesandtoys"/>
        <s v="blessedforall"/>
        <s v="b8iv8o4c65"/>
        <s v="wearitall"/>
        <s v="dr-green"/>
        <s v="3n2ybcn0e4"/>
        <s v="trueyou55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71.637967361108" createdVersion="8" refreshedVersion="8" minRefreshableVersion="3" recordCount="808" xr:uid="{52F9113E-AB4F-4E1B-B1A5-E48CC88BC6F5}">
  <cacheSource type="worksheet">
    <worksheetSource ref="F1:H1048576" sheet="Rough data"/>
  </cacheSource>
  <cacheFields count="2">
    <cacheField name="seller_user" numFmtId="0">
      <sharedItems containsBlank="1" count="88">
        <s v="beauty4everyone"/>
        <s v="pensandthings"/>
        <s v="toysyay"/>
        <s v="peterpiper"/>
        <s v="hobbylobby"/>
        <s v="dr-green"/>
        <s v="jane-outside"/>
        <s v="gardenandco"/>
        <s v="outhomelovely"/>
        <s v="abracadabra_002"/>
        <s v="7e16xoz37j"/>
        <s v="bootsandcamping"/>
        <s v="darwin_beauty"/>
        <s v="buyingtime"/>
        <s v="staion-bonanza"/>
        <s v="stuff-on-sale"/>
        <s v="g5x9v55sct"/>
        <s v="cleaning_out_my_shed"/>
        <s v="ELEC25B"/>
        <s v="clothes832"/>
        <s v="buyeverything-1"/>
        <s v="goodsahoy"/>
        <s v="general-goods"/>
        <s v="liz1974"/>
        <s v="keepwells"/>
        <s v="buydongxi25"/>
        <s v="1bt8plshsf"/>
        <s v="outer40"/>
        <s v="maddie-sells"/>
        <s v="goodqualityemporium"/>
        <s v="storeshop"/>
        <s v="compradadonut"/>
        <s v="zmkizlf6t6"/>
        <s v="cheapandgood27"/>
        <s v="wcs62ctlxh"/>
        <s v="beauty490"/>
        <s v="g9x1rt9dw8"/>
        <s v="everything_nmore"/>
        <s v="s22ods7z5m"/>
        <s v="find_what_u_need"/>
        <s v="toymajoy"/>
        <s v="jy9binq4v9"/>
        <s v="beautifullife472"/>
        <s v="healthway"/>
        <s v="homedeliver"/>
        <s v="b8iv8o4c65"/>
        <s v="hill25doors"/>
        <s v="feelgood_attire"/>
        <s v="buildmydream"/>
        <s v="au6ynzdcy5"/>
        <s v="glitterymagpie"/>
        <s v="shop689"/>
        <s v="ky7urd3k6y"/>
        <s v="queenslandqweenie"/>
        <s v="uqcoiiv4s9"/>
        <s v="fungamesandtoys"/>
        <s v="fq9rb8o3qr"/>
        <s v="healthcarehelp"/>
        <s v="w71bv3mee1"/>
        <s v="wearitall"/>
        <s v="barbievend"/>
        <s v="homeandaways"/>
        <s v="trueyou55"/>
        <s v="swanium"/>
        <s v="new-south-sales"/>
        <s v="springlesprungle3"/>
        <s v="nhlay6j49a"/>
        <s v="generalstuff"/>
        <s v="doorsyout"/>
        <s v="r6vd2aojq8"/>
        <s v="cpghfp370y"/>
        <s v="brizzy_bonanza_48"/>
        <s v="blessedforall"/>
        <s v="makeupped"/>
        <s v="lfmk805jw2"/>
        <s v="3n2ybcn0e4"/>
        <s v="clothesforlife"/>
        <s v="electrowave"/>
        <s v="7ti9lfa6h5"/>
        <s v="home458"/>
        <s v="pyrurodqk4"/>
        <s v="housenice"/>
        <s v="beautifullhome"/>
        <s v="dress4beauty"/>
        <s v="millies-outdoor-shop"/>
        <s v="excelinall"/>
        <s v="toybuy"/>
        <m/>
      </sharedItems>
    </cacheField>
    <cacheField name="product_revenue" numFmtId="0">
      <sharedItems containsString="0" containsBlank="1" containsNumber="1" minValue="2.1800000000000002" maxValue="292.8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71.651113657404" createdVersion="8" refreshedVersion="8" minRefreshableVersion="3" recordCount="808" xr:uid="{0F52E918-ED69-4458-8370-E38195209025}">
  <cacheSource type="worksheet">
    <worksheetSource ref="E1:G1048576" sheet="Rough data"/>
  </cacheSource>
  <cacheFields count="3">
    <cacheField name="seller_id" numFmtId="0">
      <sharedItems containsBlank="1" count="88">
        <s v="SELL0001"/>
        <s v="SELL0005"/>
        <s v="SELL0006"/>
        <s v="SELL0008"/>
        <s v="SELL0010"/>
        <s v="SELL0011"/>
        <s v="SELL0012"/>
        <s v="SELL0014"/>
        <s v="SELL0015"/>
        <s v="SELL0016"/>
        <s v="SELL0017"/>
        <s v="SELL0009"/>
        <s v="SELL0018"/>
        <s v="SELL0019"/>
        <s v="SELL0020"/>
        <s v="SELL0021"/>
        <s v="SELL0022"/>
        <s v="SELL0023"/>
        <s v="SELL0024"/>
        <s v="SELL0025"/>
        <s v="SELL0026"/>
        <s v="SELL0028"/>
        <s v="SELL0029"/>
        <s v="SELL0030"/>
        <s v="SELL0031"/>
        <s v="SELL0032"/>
        <s v="SELL0033"/>
        <s v="SELL0034"/>
        <s v="SELL0035"/>
        <s v="SELL0036"/>
        <s v="SELL0037"/>
        <s v="SELL0038"/>
        <s v="SELL0039"/>
        <s v="SELL0040"/>
        <s v="SELL0041"/>
        <s v="SELL0042"/>
        <s v="SELL0043"/>
        <s v="SELL0044"/>
        <s v="SELL0045"/>
        <s v="SELL0046"/>
        <s v="SELL0047"/>
        <s v="SELL0048"/>
        <s v="SELL0049"/>
        <s v="SELL0051"/>
        <s v="SELL0053"/>
        <s v="SELL0054"/>
        <s v="SELL0055"/>
        <s v="SELL0056"/>
        <s v="SELL0057"/>
        <s v="SELL0058"/>
        <s v="SELL0059"/>
        <s v="SELL0060"/>
        <s v="SELL0061"/>
        <s v="SELL0062"/>
        <s v="SELL0063"/>
        <s v="SELL0064"/>
        <s v="SELL0065"/>
        <s v="SELL0066"/>
        <s v="SELL0067"/>
        <s v="SELL0068"/>
        <s v="SELL0069"/>
        <s v="SELL0070"/>
        <s v="SELL0071"/>
        <s v="SELL0072"/>
        <s v="SELL0073"/>
        <s v="SELL0074"/>
        <s v="SELL0075"/>
        <s v="SELL0076"/>
        <s v="SELL0077"/>
        <s v="SELL0078"/>
        <s v="SELL0080"/>
        <s v="SELL0081"/>
        <s v="SELL0082"/>
        <s v="SELL0083"/>
        <s v="SELL0084"/>
        <s v="SELL0085"/>
        <s v="SELL0086"/>
        <s v="SELL0087"/>
        <s v="SELL0088"/>
        <s v="SELL0027"/>
        <s v="SELL0089"/>
        <s v="SELL0090"/>
        <s v="SELL0091"/>
        <s v="SELL0092"/>
        <s v="SELL0093"/>
        <s v="SELL0094"/>
        <s v="SELL0095"/>
        <m/>
      </sharedItems>
    </cacheField>
    <cacheField name="seller_user" numFmtId="0">
      <sharedItems containsBlank="1" count="88">
        <s v="beauty4everyone"/>
        <s v="pensandthings"/>
        <s v="toysyay"/>
        <s v="peterpiper"/>
        <s v="hobbylobby"/>
        <s v="dr-green"/>
        <s v="jane-outside"/>
        <s v="gardenandco"/>
        <s v="outhomelovely"/>
        <s v="abracadabra_002"/>
        <s v="7e16xoz37j"/>
        <s v="bootsandcamping"/>
        <s v="darwin_beauty"/>
        <s v="buyingtime"/>
        <s v="staion-bonanza"/>
        <s v="stuff-on-sale"/>
        <s v="g5x9v55sct"/>
        <s v="cleaning_out_my_shed"/>
        <s v="ELEC25B"/>
        <s v="clothes832"/>
        <s v="buyeverything-1"/>
        <s v="goodsahoy"/>
        <s v="general-goods"/>
        <s v="liz1974"/>
        <s v="keepwells"/>
        <s v="buydongxi25"/>
        <s v="1bt8plshsf"/>
        <s v="outer40"/>
        <s v="maddie-sells"/>
        <s v="goodqualityemporium"/>
        <s v="storeshop"/>
        <s v="compradadonut"/>
        <s v="zmkizlf6t6"/>
        <s v="cheapandgood27"/>
        <s v="wcs62ctlxh"/>
        <s v="beauty490"/>
        <s v="g9x1rt9dw8"/>
        <s v="everything_nmore"/>
        <s v="s22ods7z5m"/>
        <s v="find_what_u_need"/>
        <s v="toymajoy"/>
        <s v="jy9binq4v9"/>
        <s v="beautifullife472"/>
        <s v="healthway"/>
        <s v="homedeliver"/>
        <s v="b8iv8o4c65"/>
        <s v="hill25doors"/>
        <s v="feelgood_attire"/>
        <s v="buildmydream"/>
        <s v="au6ynzdcy5"/>
        <s v="glitterymagpie"/>
        <s v="shop689"/>
        <s v="ky7urd3k6y"/>
        <s v="queenslandqweenie"/>
        <s v="uqcoiiv4s9"/>
        <s v="fungamesandtoys"/>
        <s v="fq9rb8o3qr"/>
        <s v="healthcarehelp"/>
        <s v="w71bv3mee1"/>
        <s v="wearitall"/>
        <s v="barbievend"/>
        <s v="homeandaways"/>
        <s v="trueyou55"/>
        <s v="swanium"/>
        <s v="new-south-sales"/>
        <s v="springlesprungle3"/>
        <s v="nhlay6j49a"/>
        <s v="generalstuff"/>
        <s v="doorsyout"/>
        <s v="r6vd2aojq8"/>
        <s v="cpghfp370y"/>
        <s v="brizzy_bonanza_48"/>
        <s v="blessedforall"/>
        <s v="makeupped"/>
        <s v="lfmk805jw2"/>
        <s v="3n2ybcn0e4"/>
        <s v="clothesforlife"/>
        <s v="electrowave"/>
        <s v="7ti9lfa6h5"/>
        <s v="home458"/>
        <s v="pyrurodqk4"/>
        <s v="housenice"/>
        <s v="beautifullhome"/>
        <s v="dress4beauty"/>
        <s v="millies-outdoor-shop"/>
        <s v="excelinall"/>
        <s v="toybuy"/>
        <m/>
      </sharedItems>
    </cacheField>
    <cacheField name="product_quantity" numFmtId="0">
      <sharedItems containsString="0" containsBlank="1" containsNumber="1" containsInteger="1" minValue="1" maxValue="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1">
  <r>
    <x v="0"/>
    <s v="freya95@bigpond.com.au"/>
    <s v="Freya"/>
    <s v="Adams"/>
    <s v="Darwin"/>
    <x v="0"/>
  </r>
  <r>
    <x v="1"/>
    <s v="charliesat@bigpond.com.au"/>
    <s v="Charles"/>
    <s v="Sato"/>
    <s v="Central Coast"/>
    <x v="1"/>
  </r>
  <r>
    <x v="2"/>
    <s v="jack26@gmail.com"/>
    <s v="Jack"/>
    <s v="Petrov"/>
    <s v="Ballarat"/>
    <x v="2"/>
  </r>
  <r>
    <x v="3"/>
    <s v="footy.minh@live.au"/>
    <s v="Minh"/>
    <s v="Pham"/>
    <s v="Broken Hill"/>
    <x v="1"/>
  </r>
  <r>
    <x v="4"/>
    <s v="bianchi.aurora@outlook.com"/>
    <s v="Aurora"/>
    <s v="Bianchi"/>
    <s v="Kalgoorlie"/>
    <x v="3"/>
  </r>
  <r>
    <x v="5"/>
    <s v="noah.jameson@outlook.com"/>
    <s v="Noah"/>
    <s v="Jameson"/>
    <s v="Coffs Harbour"/>
    <x v="1"/>
  </r>
  <r>
    <x v="6"/>
    <s v="lucas1997@bigpond.com.au"/>
    <s v="Luca"/>
    <s v="Gomez"/>
    <s v="Townsville"/>
    <x v="4"/>
  </r>
  <r>
    <x v="7"/>
    <s v="tanaka.sienna@outlook.com"/>
    <s v="Sienna"/>
    <s v="Tanaka"/>
    <s v="Sydney"/>
    <x v="1"/>
  </r>
  <r>
    <x v="8"/>
    <s v="urbanedward@microsoft.com"/>
    <s v="Edward"/>
    <s v="Silver"/>
    <s v="Dubbo"/>
    <x v="1"/>
  </r>
  <r>
    <x v="9"/>
    <s v="turner.hiro@gmail.com"/>
    <s v="Hiro"/>
    <s v="Turner"/>
    <s v="Hervey Bay"/>
    <x v="4"/>
  </r>
  <r>
    <x v="10"/>
    <s v="lucas.deluca@outlook.com"/>
    <s v="Lindsay"/>
    <s v="DeLuca"/>
    <s v="Sydney"/>
    <x v="1"/>
  </r>
  <r>
    <x v="11"/>
    <s v="charliecharliecharlie@outlook.com"/>
    <s v="Charlotte"/>
    <s v="Walker"/>
    <s v="Bendigo"/>
    <x v="2"/>
  </r>
  <r>
    <x v="12"/>
    <s v="coffee.tom@gmail.com"/>
    <s v="Thomas"/>
    <s v="Ngata"/>
    <s v="Dubbo"/>
    <x v="1"/>
  </r>
  <r>
    <x v="13"/>
    <s v="latelucas@optusnet.com.au"/>
    <s v="Lucas"/>
    <s v="Faatua"/>
    <s v="Coffs Harbour"/>
    <x v="1"/>
  </r>
  <r>
    <x v="14"/>
    <s v="tom_684@microsoft.com"/>
    <s v="Thomas"/>
    <s v="Green"/>
    <s v="Brisbane"/>
    <x v="4"/>
  </r>
  <r>
    <x v="15"/>
    <s v="aaarav@gmail.com"/>
    <s v="Aarav"/>
    <s v="Costa"/>
    <s v="Cairns"/>
    <x v="4"/>
  </r>
  <r>
    <x v="16"/>
    <s v="redpoppy2574@aol.com"/>
    <s v="Poppy"/>
    <s v="Liu"/>
    <s v="Darwin"/>
    <x v="0"/>
  </r>
  <r>
    <x v="17"/>
    <s v="sophie83@gmail.com"/>
    <s v="Sophy"/>
    <s v="Ali"/>
    <s v="Port Lincoln"/>
    <x v="5"/>
  </r>
  <r>
    <x v="18"/>
    <s v="thuy.travel@live.au"/>
    <s v="Thuy"/>
    <s v="Anderson"/>
    <s v="Adelaide"/>
    <x v="5"/>
  </r>
  <r>
    <x v="19"/>
    <s v="wturner@microsoft.com"/>
    <s v="Willow"/>
    <s v="Turner"/>
    <s v="Geelong"/>
    <x v="2"/>
  </r>
  <r>
    <x v="20"/>
    <s v="luna.footy@hotmail.com"/>
    <s v="Luna"/>
    <s v="Lee"/>
    <s v="Coffs Harbour"/>
    <x v="1"/>
  </r>
  <r>
    <x v="21"/>
    <s v="oliver.liu@gmail.com"/>
    <s v="Oliver"/>
    <s v="Liu"/>
    <s v="Brisbane"/>
    <x v="4"/>
  </r>
  <r>
    <x v="22"/>
    <s v="matildaanderson@optusnet.com.au"/>
    <s v="Matilda"/>
    <s v="Anderson"/>
    <s v="Perth"/>
    <x v="3"/>
  </r>
  <r>
    <x v="23"/>
    <s v="anguswild@hotmail.com"/>
    <s v="Andie"/>
    <s v="Kitt"/>
    <s v="Melbourne"/>
    <x v="2"/>
  </r>
  <r>
    <x v="24"/>
    <s v="brown.ava@aol.com"/>
    <s v="Ava"/>
    <s v="Brown"/>
    <s v="Sydney"/>
    <x v="1"/>
  </r>
  <r>
    <x v="25"/>
    <s v="art.aurora@gmail.com"/>
    <s v="Anya"/>
    <s v="Kaur"/>
    <s v="Newcastle"/>
    <x v="1"/>
  </r>
  <r>
    <x v="26"/>
    <s v="mason.murphy@hotmail.com"/>
    <s v="Mason"/>
    <s v="Murphy"/>
    <s v="Byron Bay"/>
    <x v="1"/>
  </r>
  <r>
    <x v="27"/>
    <s v="zoerossi@yahoo.com"/>
    <s v="Zoe"/>
    <s v="Rossi"/>
    <s v="Sydney"/>
    <x v="1"/>
  </r>
  <r>
    <x v="28"/>
    <s v="pham.amelia@hotmail.com"/>
    <s v="Amelia"/>
    <s v="Pham"/>
    <s v="Bunbury"/>
    <x v="3"/>
  </r>
  <r>
    <x v="29"/>
    <s v="photo.amelia@gmail.com"/>
    <s v="Amelia"/>
    <s v="Wilson"/>
    <s v="Shepparton"/>
    <x v="2"/>
  </r>
  <r>
    <x v="30"/>
    <s v="leebrrown@optusnet.com.au"/>
    <s v="Lee"/>
    <s v="Brown"/>
    <s v="Sydney"/>
    <x v="1"/>
  </r>
  <r>
    <x v="31"/>
    <s v="ekhan@yahoo.com"/>
    <s v="Edward"/>
    <s v="Khan"/>
    <s v="Melbourne"/>
    <x v="2"/>
  </r>
  <r>
    <x v="32"/>
    <s v="luiswild@gmail.com"/>
    <s v="Luis"/>
    <s v="Clerk"/>
    <s v="Wagga Wagga"/>
    <x v="1"/>
  </r>
  <r>
    <x v="33"/>
    <s v="sadie_153@microsoft.com"/>
    <s v="Sadie"/>
    <s v="Chen"/>
    <s v="Rockhampton"/>
    <x v="4"/>
  </r>
  <r>
    <x v="34"/>
    <s v="parks.sandy@gmail.com"/>
    <s v="Sandy"/>
    <s v="Parks"/>
    <s v="Brisbane"/>
    <x v="4"/>
  </r>
  <r>
    <x v="35"/>
    <s v="carls@outlook.com"/>
    <s v="Carl"/>
    <s v="Stewart"/>
    <s v="Ballarat"/>
    <x v="2"/>
  </r>
  <r>
    <x v="36"/>
    <s v="sienna_825@live.au"/>
    <s v="Emma"/>
    <s v="Papadopoulos"/>
    <s v="Warrnambool"/>
    <x v="2"/>
  </r>
  <r>
    <x v="37"/>
    <s v="grace_748@hotmail.com"/>
    <s v="Grace"/>
    <s v="Liu"/>
    <s v="Brisbane"/>
    <x v="4"/>
  </r>
  <r>
    <x v="38"/>
    <s v="ethan.turner@live.au"/>
    <s v="Ethan"/>
    <s v="Turner"/>
    <s v="Rockhampton"/>
    <x v="4"/>
  </r>
  <r>
    <x v="39"/>
    <s v="smurphy@aol.com"/>
    <s v="Scarlett"/>
    <s v="Murphy"/>
    <s v="Sale"/>
    <x v="2"/>
  </r>
  <r>
    <x v="40"/>
    <s v="cooper.rossi@gmail.com"/>
    <s v="Cooper"/>
    <s v="Rossi"/>
    <s v="Sale"/>
    <x v="2"/>
  </r>
  <r>
    <x v="41"/>
    <s v="tui.liam@bigpond.com.au"/>
    <s v="Liam"/>
    <s v="Toot"/>
    <s v="Shepparton"/>
    <x v="2"/>
  </r>
  <r>
    <x v="42"/>
    <s v="rileyking@yahoo.com"/>
    <s v="Riley"/>
    <s v="King"/>
    <s v="Central Coast"/>
    <x v="1"/>
  </r>
  <r>
    <x v="43"/>
    <s v="stella.golf@yahoo.com"/>
    <s v="Stella"/>
    <s v="Chen"/>
    <s v="Coffs Harbour"/>
    <x v="1"/>
  </r>
  <r>
    <x v="44"/>
    <s v="music.tom@live.au"/>
    <s v="Thomas"/>
    <s v="Green"/>
    <s v="Byron Bay"/>
    <x v="1"/>
  </r>
  <r>
    <x v="45"/>
    <s v="fatimasato@aol.com"/>
    <s v="Fatima"/>
    <s v="Sade"/>
    <s v="Brisbane"/>
    <x v="4"/>
  </r>
  <r>
    <x v="46"/>
    <s v="tsato@yahoo.com"/>
    <s v="Thomas"/>
    <s v="Sato"/>
    <s v="Adelaide"/>
    <x v="5"/>
  </r>
  <r>
    <x v="47"/>
    <s v="bike.leo@outlook.com"/>
    <s v="Leo"/>
    <s v="Ali"/>
    <s v="Sydney"/>
    <x v="1"/>
  </r>
  <r>
    <x v="48"/>
    <s v="oscar.footy@gmail.com"/>
    <s v="Oscar"/>
    <s v="Adams"/>
    <s v="Devonport"/>
    <x v="6"/>
  </r>
  <r>
    <x v="49"/>
    <s v="aarav2006@live.au"/>
    <s v="Ali"/>
    <s v="Zhang"/>
    <s v="Sale"/>
    <x v="2"/>
  </r>
  <r>
    <x v="50"/>
    <s v="blueleo@bigpond.com.au"/>
    <s v="Leo"/>
    <s v="Tomson"/>
    <s v="Central Coast"/>
    <x v="1"/>
  </r>
  <r>
    <x v="51"/>
    <s v="manucosta@outlook.com"/>
    <s v="Manni"/>
    <s v="Costa"/>
    <s v="Cradle Mountain"/>
    <x v="6"/>
  </r>
  <r>
    <x v="52"/>
    <s v="darcy1995@yahoo.com"/>
    <s v="Darcy"/>
    <s v="Liu"/>
    <s v="Brisbane"/>
    <x v="4"/>
  </r>
  <r>
    <x v="53"/>
    <s v="finnivanov@hotmail.com"/>
    <s v="Finn"/>
    <s v="Ivanov"/>
    <s v="Victor Harbor"/>
    <x v="5"/>
  </r>
  <r>
    <x v="54"/>
    <s v="martin.jack@hotmail.com"/>
    <s v="Jack"/>
    <s v="Martin"/>
    <s v="Geraldton"/>
    <x v="3"/>
  </r>
  <r>
    <x v="55"/>
    <s v="george.walker@yahoo.com"/>
    <s v="George"/>
    <s v="Walker"/>
    <s v="Dubbo"/>
    <x v="1"/>
  </r>
  <r>
    <x v="56"/>
    <s v="oliver.martin@gmail.com"/>
    <s v="Oliver"/>
    <s v="Martin"/>
    <s v="Brisbane"/>
    <x v="4"/>
  </r>
  <r>
    <x v="57"/>
    <s v="earlylucas@outlook.com"/>
    <s v="Lucas"/>
    <s v="Kim"/>
    <s v="Geelong"/>
    <x v="2"/>
  </r>
  <r>
    <x v="58"/>
    <s v="alex.bake@microsoft.com"/>
    <s v="Alexander"/>
    <s v="Kelly"/>
    <s v="Wollongong"/>
    <x v="1"/>
  </r>
  <r>
    <x v="59"/>
    <s v="maria1990@bigpond.com.au"/>
    <s v="Maria"/>
    <s v="Smith"/>
    <s v="Townsville"/>
    <x v="4"/>
  </r>
  <r>
    <x v="60"/>
    <s v="dan2003@bigpond.com.au"/>
    <s v="Daniel"/>
    <s v="Collins"/>
    <s v="Melbourne"/>
    <x v="2"/>
  </r>
  <r>
    <x v="61"/>
    <s v="bcarter@gmail.com"/>
    <s v="Bonnie"/>
    <s v="Jameson"/>
    <s v="Sydney"/>
    <x v="1"/>
  </r>
  <r>
    <x v="62"/>
    <s v="sunita.park@live.au"/>
    <s v="Sunita"/>
    <s v="Park"/>
    <s v="Sydney"/>
    <x v="1"/>
  </r>
  <r>
    <x v="63"/>
    <s v="bake.harper@bigpond.com.au"/>
    <s v="Harper"/>
    <s v="Turner"/>
    <s v="Perth"/>
    <x v="3"/>
  </r>
  <r>
    <x v="64"/>
    <s v="grace.art@gmail.com"/>
    <s v="Gina"/>
    <s v="Queen"/>
    <s v="Kalgoorlie"/>
    <x v="3"/>
  </r>
  <r>
    <x v="65"/>
    <s v="coastalleilani@yahoo.com"/>
    <s v="Leilani"/>
    <s v="Kowalski"/>
    <s v="Albany"/>
    <x v="3"/>
  </r>
  <r>
    <x v="66"/>
    <s v="olivertran@microsoft.com"/>
    <s v="Oliver"/>
    <s v="Tran"/>
    <s v="Toowoomba"/>
    <x v="4"/>
  </r>
  <r>
    <x v="67"/>
    <s v="harper_166@gmail.com"/>
    <s v="Harper"/>
    <s v="Smith"/>
    <s v="Melbourne"/>
    <x v="2"/>
  </r>
  <r>
    <x v="68"/>
    <s v="lateliam@aol.com"/>
    <s v="Liam"/>
    <s v="Murphy"/>
    <s v="Adelaide"/>
    <x v="5"/>
  </r>
  <r>
    <x v="69"/>
    <s v="walker.alex@yahoo.com"/>
    <s v="Alexander"/>
    <s v="Walker"/>
    <s v="Melbourne"/>
    <x v="2"/>
  </r>
  <r>
    <x v="70"/>
    <s v="johnson.archie@optusnet.com.au"/>
    <s v="Archie"/>
    <s v="Johnson"/>
    <s v="Cairns"/>
    <x v="4"/>
  </r>
  <r>
    <x v="71"/>
    <s v="avawild@hotmail.com"/>
    <s v="Ava"/>
    <s v="Taylor"/>
    <s v="Sydney"/>
    <x v="1"/>
  </r>
  <r>
    <x v="72"/>
    <s v="graceearly@bigpond.com.au"/>
    <s v="Grant"/>
    <s v="Walker"/>
    <s v="Hervey Bay"/>
    <x v="4"/>
  </r>
  <r>
    <x v="73"/>
    <s v="costa.zoe@gmail.com"/>
    <s v="Zoe"/>
    <s v="Costa"/>
    <s v="Mildura"/>
    <x v="2"/>
  </r>
  <r>
    <x v="74"/>
    <s v="georgia.kaur@bigpond.com.au"/>
    <s v="Georgia"/>
    <s v="Kaur"/>
    <s v="Mildura"/>
    <x v="2"/>
  </r>
  <r>
    <x v="75"/>
    <s v="zoe96@gmail.com"/>
    <s v="Flo"/>
    <s v="Turner"/>
    <s v="Melbourne"/>
    <x v="2"/>
  </r>
  <r>
    <x v="76"/>
    <s v="samuel1981@optusnet.com.au"/>
    <s v="Samuel"/>
    <s v="Kowalski"/>
    <s v="Torquay"/>
    <x v="2"/>
  </r>
  <r>
    <x v="77"/>
    <s v="freyacoastal@live.au"/>
    <s v="Freya"/>
    <s v="Kelly"/>
    <s v="Gold Coast"/>
    <x v="4"/>
  </r>
  <r>
    <x v="78"/>
    <s v="ruby49@gmail.com"/>
    <s v="Ruby"/>
    <s v="Murphy"/>
    <s v="Ballarat"/>
    <x v="2"/>
  </r>
  <r>
    <x v="79"/>
    <s v="henry.sato@microsoft.com"/>
    <s v="Henry"/>
    <s v="Sato"/>
    <s v="Melbourne"/>
    <x v="2"/>
  </r>
  <r>
    <x v="80"/>
    <s v="tthompson@yahoo.com"/>
    <s v="Thomas"/>
    <s v="Thompson"/>
    <s v="Toowoomba"/>
    <x v="4"/>
  </r>
  <r>
    <x v="81"/>
    <s v="charlie30@bigpond.com.au"/>
    <s v="Charlotte"/>
    <s v="Williams"/>
    <s v="Hobart"/>
    <x v="6"/>
  </r>
  <r>
    <x v="82"/>
    <s v="matilda5@gmail.com"/>
    <s v="Matilda"/>
    <s v="Martin"/>
    <s v="Dubbo"/>
    <x v="1"/>
  </r>
  <r>
    <x v="83"/>
    <s v="ejohnson@live.au"/>
    <s v="Elena"/>
    <s v="Johnson"/>
    <s v="Coffs Harbour"/>
    <x v="1"/>
  </r>
  <r>
    <x v="84"/>
    <s v="aloha.alex@aol.com"/>
    <s v="Alexander"/>
    <s v="Aroha"/>
    <s v="Melbourne"/>
    <x v="2"/>
  </r>
  <r>
    <x v="85"/>
    <s v="sienna.golf@optusnet.com.au"/>
    <s v="Sienna"/>
    <s v="Parker"/>
    <s v="Sydney"/>
    <x v="1"/>
  </r>
  <r>
    <x v="86"/>
    <s v="photo.chloe@yahoo.com"/>
    <s v="Chloe"/>
    <s v="Johnson"/>
    <s v="Sydney"/>
    <x v="1"/>
  </r>
  <r>
    <x v="87"/>
    <s v="hall.isaac@gmail.com"/>
    <s v="Isaac"/>
    <s v="Hall"/>
    <s v="Mandurah"/>
    <x v="3"/>
  </r>
  <r>
    <x v="88"/>
    <s v="chloehussain@yahoo.com"/>
    <s v="Chloe"/>
    <s v="Varotsis"/>
    <s v="Newcastle"/>
    <x v="1"/>
  </r>
  <r>
    <x v="89"/>
    <s v="smith.emily@optusnet.com.au"/>
    <s v="Emily"/>
    <s v="Smith"/>
    <s v="Sydney"/>
    <x v="1"/>
  </r>
  <r>
    <x v="90"/>
    <s v="noah.taylor@microsoft.com"/>
    <s v="Noah"/>
    <s v="Taylor"/>
    <s v="Newcastle"/>
    <x v="1"/>
  </r>
  <r>
    <x v="91"/>
    <s v="samuel.roo@outlook.com"/>
    <s v="Samuel"/>
    <s v="Roberts"/>
    <s v="Cairns"/>
    <x v="4"/>
  </r>
  <r>
    <x v="92"/>
    <s v="charliepark@gmail.com"/>
    <s v="Charlie"/>
    <s v="Park"/>
    <s v="Perth"/>
    <x v="3"/>
  </r>
  <r>
    <x v="93"/>
    <s v="coastalalex@gmail.com"/>
    <s v="Alexander"/>
    <s v="Khan"/>
    <s v="Gold Coast"/>
    <x v="4"/>
  </r>
  <r>
    <x v="94"/>
    <s v="violet.surf@optusnet.com.au"/>
    <s v="Violet"/>
    <s v="Johnson"/>
    <s v="Ballarat"/>
    <x v="2"/>
  </r>
  <r>
    <x v="95"/>
    <s v="marco62@live.au"/>
    <s v="Marco"/>
    <s v="Silva"/>
    <s v="Perth"/>
    <x v="3"/>
  </r>
  <r>
    <x v="96"/>
    <s v="tui.chloe@gmail.com"/>
    <s v="Chloe"/>
    <s v="Tui"/>
    <s v="Rockhampton"/>
    <x v="4"/>
  </r>
  <r>
    <x v="97"/>
    <s v="mamma.mia@aol.com"/>
    <s v="Mia"/>
    <s v="Hall"/>
    <s v="Ballarat"/>
    <x v="2"/>
  </r>
  <r>
    <x v="98"/>
    <s v="georgiaking@bigpond.com.au"/>
    <s v="Georgia"/>
    <s v="King"/>
    <s v="Townsville"/>
    <x v="4"/>
  </r>
  <r>
    <x v="99"/>
    <s v="edward1991@hotmail.com"/>
    <s v="Edward"/>
    <s v="Roberts"/>
    <s v="Sydney"/>
    <x v="1"/>
  </r>
  <r>
    <x v="100"/>
    <s v="ethan.photo@gmail.com"/>
    <s v="Ethan"/>
    <s v="Tui"/>
    <s v="Coffs Harbour"/>
    <x v="1"/>
  </r>
  <r>
    <x v="101"/>
    <s v="lateaisha@gmail.com"/>
    <s v="Aisha"/>
    <s v="Tau"/>
    <s v="Newcastle"/>
    <x v="1"/>
  </r>
  <r>
    <x v="102"/>
    <s v="antisalwaysearly@gmail.com"/>
    <s v="Ant"/>
    <s v="Smith"/>
    <s v="Brisbane"/>
    <x v="4"/>
  </r>
  <r>
    <x v="103"/>
    <s v="thomaswild@gmail.com"/>
    <s v="Thomas"/>
    <s v="Williams"/>
    <s v="Newcastle"/>
    <x v="1"/>
  </r>
  <r>
    <x v="104"/>
    <s v="sunnywillows@hotmail.com"/>
    <s v="Willow"/>
    <s v="Green"/>
    <s v="Newcastle"/>
    <x v="1"/>
  </r>
  <r>
    <x v="105"/>
    <s v="hudson7@gmail.com"/>
    <s v="Hudson"/>
    <s v="Smith"/>
    <s v="Newcastle"/>
    <x v="1"/>
  </r>
  <r>
    <x v="106"/>
    <s v="alexander.pham@yahoo.com"/>
    <s v="Alexander"/>
    <s v="Pham"/>
    <s v="Adelaide"/>
    <x v="5"/>
  </r>
  <r>
    <x v="107"/>
    <s v="l.fitzpatrick@gmail.com"/>
    <s v="Leo"/>
    <s v="Fitzpatrick"/>
    <s v="Karratha"/>
    <x v="3"/>
  </r>
  <r>
    <x v="108"/>
    <s v="runbonnyrun@microsoft.com"/>
    <s v="Bonny"/>
    <s v="Chen"/>
    <s v="Melbourne"/>
    <x v="2"/>
  </r>
  <r>
    <x v="109"/>
    <s v="yuki69@gmail.com"/>
    <s v="Yuki"/>
    <s v="Parker"/>
    <s v="Broome"/>
    <x v="3"/>
  </r>
  <r>
    <x v="110"/>
    <s v="star.noah@aol.com"/>
    <s v="Noah"/>
    <s v="Smith"/>
    <s v="Shepparton"/>
    <x v="2"/>
  </r>
  <r>
    <x v="111"/>
    <s v="eloisego@microsoft.com"/>
    <s v="Eloise"/>
    <s v="Georgiou"/>
    <s v="Hervey Bay"/>
    <x v="4"/>
  </r>
  <r>
    <x v="112"/>
    <s v="sonava@outlook.com"/>
    <s v="Ava"/>
    <s v="Brown"/>
    <s v="Wagga Wagga"/>
    <x v="1"/>
  </r>
  <r>
    <x v="113"/>
    <s v="lewis.giulia@outlook.com"/>
    <s v="Giulia"/>
    <s v="Lewis"/>
    <s v="Central Coast"/>
    <x v="1"/>
  </r>
  <r>
    <x v="114"/>
    <s v="chall@microsoft.com"/>
    <s v="Charlie"/>
    <s v="Hall"/>
    <s v="Gold Coast"/>
    <x v="4"/>
  </r>
  <r>
    <x v="115"/>
    <s v="ruby.carter@aol.com"/>
    <s v="Ruby"/>
    <s v="Carter"/>
    <s v="Sale"/>
    <x v="2"/>
  </r>
  <r>
    <x v="116"/>
    <s v="chloe30@gmail.com"/>
    <s v="Carla"/>
    <s v="Turner"/>
    <s v="Brisbane"/>
    <x v="4"/>
  </r>
  <r>
    <x v="117"/>
    <s v="ella.wang@outlook.com"/>
    <s v="Ellie"/>
    <s v="Wang"/>
    <s v="Torquay"/>
    <x v="2"/>
  </r>
  <r>
    <x v="118"/>
    <s v="parkingviolets@bigpond.com.au"/>
    <s v="Violet"/>
    <s v="Parker"/>
    <s v="Sydney"/>
    <x v="1"/>
  </r>
  <r>
    <x v="119"/>
    <s v="willnovak@optusnet.com.au"/>
    <s v="Wilhelm"/>
    <s v="Novak"/>
    <s v="Sydney"/>
    <x v="1"/>
  </r>
  <r>
    <x v="120"/>
    <s v="lucas.hall@gmail.com"/>
    <s v="Lucas"/>
    <s v="Hall"/>
    <s v="Central Coast"/>
    <x v="1"/>
  </r>
  <r>
    <x v="121"/>
    <s v="benlewis@optusnet.com.au"/>
    <s v="Benjamin"/>
    <s v="Lewis"/>
    <s v="Wollongong"/>
    <x v="1"/>
  </r>
  <r>
    <x v="122"/>
    <s v="willthompson@outlook.com"/>
    <s v="William"/>
    <s v="Thompson"/>
    <s v="Mount Isa"/>
    <x v="4"/>
  </r>
  <r>
    <x v="123"/>
    <s v="isla.run@gmail.com"/>
    <s v="Isla"/>
    <s v="Conti"/>
    <s v="Central Coast"/>
    <x v="1"/>
  </r>
  <r>
    <x v="124"/>
    <s v="nadams@microsoft.com"/>
    <s v="Noah"/>
    <s v="Adams"/>
    <s v="Broken Hill"/>
    <x v="1"/>
  </r>
  <r>
    <x v="125"/>
    <s v="miablue@bigpond.com.au"/>
    <s v="Mia"/>
    <s v="King"/>
    <s v="Bunbury"/>
    <x v="3"/>
  </r>
  <r>
    <x v="126"/>
    <s v="emurphy@hotmail.com"/>
    <s v="Emily"/>
    <s v="Murphy"/>
    <s v="Central Coast"/>
    <x v="1"/>
  </r>
  <r>
    <x v="127"/>
    <s v="violet58@outlook.com"/>
    <s v="Violet"/>
    <s v="Green"/>
    <s v="Sydney"/>
    <x v="1"/>
  </r>
  <r>
    <x v="128"/>
    <s v="amelia.king@microsoft.com"/>
    <s v="Amelia"/>
    <s v="King"/>
    <s v="Brisbane"/>
    <x v="4"/>
  </r>
  <r>
    <x v="129"/>
    <s v="charlie.r.t@hotmail.com"/>
    <s v="Charlie"/>
    <s v="Turner"/>
    <s v="Geraldton"/>
    <x v="3"/>
  </r>
  <r>
    <x v="130"/>
    <s v="tech.wen@live.au"/>
    <s v="Wen"/>
    <s v="Baker"/>
    <s v="Hervey Bay"/>
    <x v="4"/>
  </r>
  <r>
    <x v="131"/>
    <s v="lachlachlan@optusnet.com.au"/>
    <s v="Lachlan"/>
    <s v="Brown"/>
    <s v="Adelaide"/>
    <x v="5"/>
  </r>
  <r>
    <x v="132"/>
    <s v="jack.bake@optusnet.com.au"/>
    <s v="Jack"/>
    <s v="Khan"/>
    <s v="Torquay"/>
    <x v="2"/>
  </r>
  <r>
    <x v="133"/>
    <s v="bonnie2000@aol.com"/>
    <s v="Bonnie"/>
    <s v="Hall"/>
    <s v="Gold Coast"/>
    <x v="4"/>
  </r>
  <r>
    <x v="134"/>
    <s v="rubycoastal@gmail.com"/>
    <s v="Ruby"/>
    <s v="Park"/>
    <s v="Coffs Harbour"/>
    <x v="1"/>
  </r>
  <r>
    <x v="135"/>
    <s v="ella_317@live.au"/>
    <s v="Ella"/>
    <s v="Wang"/>
    <s v="Sydney"/>
    <x v="1"/>
  </r>
  <r>
    <x v="136"/>
    <s v="ameliacarter@yahoo.com"/>
    <s v="Amelia"/>
    <s v="Carter"/>
    <s v="Sydney"/>
    <x v="1"/>
  </r>
  <r>
    <x v="137"/>
    <s v="henrycarter@accenture.com"/>
    <s v="Henry"/>
    <s v="Carter"/>
    <s v="Launceston"/>
    <x v="6"/>
  </r>
  <r>
    <x v="138"/>
    <s v="kiran_126@bigpond.com.au"/>
    <s v="Kiran"/>
    <s v="Patel"/>
    <s v="Bendigo"/>
    <x v="2"/>
  </r>
  <r>
    <x v="139"/>
    <s v="cooper.tech@gmail.com"/>
    <s v="Cooper"/>
    <s v="Martin"/>
    <s v="Adelaide"/>
    <x v="5"/>
  </r>
  <r>
    <x v="140"/>
    <s v="coastalwill@bigpond.com.au"/>
    <s v="Will"/>
    <s v="Stewart"/>
    <s v="Newcastle"/>
    <x v="1"/>
  </r>
  <r>
    <x v="141"/>
    <s v="lgreen@hotmail.com"/>
    <s v="Linh"/>
    <s v="Green"/>
    <s v="Shepparton"/>
    <x v="2"/>
  </r>
  <r>
    <x v="142"/>
    <s v="petrov.miles@outlook.com"/>
    <s v="Miles"/>
    <s v="Petrovna"/>
    <s v="Townsville"/>
    <x v="4"/>
  </r>
  <r>
    <x v="143"/>
    <s v="roberts.liam@hotmail.com"/>
    <s v="Liam"/>
    <s v="Roberts"/>
    <s v="Brisbane"/>
    <x v="4"/>
  </r>
  <r>
    <x v="144"/>
    <s v="sophie2000@live.au"/>
    <s v="Sophia"/>
    <s v="Bianchi"/>
    <s v="Sydney"/>
    <x v="1"/>
  </r>
  <r>
    <x v="145"/>
    <s v="mhorvat@gmail.com"/>
    <s v="Miles"/>
    <s v="Horvat"/>
    <s v="Burnie"/>
    <x v="6"/>
  </r>
  <r>
    <x v="146"/>
    <s v="pereira.will@bigpond.com.au"/>
    <s v="William"/>
    <s v="Pereira"/>
    <s v="Cairns"/>
    <x v="4"/>
  </r>
  <r>
    <x v="147"/>
    <s v="sadieearly@optusnet.com.au"/>
    <s v="Sadie"/>
    <s v="Ali"/>
    <s v="Bunbury"/>
    <x v="3"/>
  </r>
  <r>
    <x v="148"/>
    <s v="arlo.taylor@yahoo.com"/>
    <s v="Arlo"/>
    <s v="Taylor"/>
    <s v="Geraldton"/>
    <x v="3"/>
  </r>
  <r>
    <x v="149"/>
    <s v="anguspetrov@aol.com"/>
    <s v="Angus"/>
    <s v="Petrov"/>
    <s v="Cairns"/>
    <x v="4"/>
  </r>
  <r>
    <x v="150"/>
    <s v="ravikelly@aol.com"/>
    <s v="Ravi"/>
    <s v="Kelly"/>
    <s v="Sunshine Coast"/>
    <x v="4"/>
  </r>
  <r>
    <x v="151"/>
    <s v="golf.patrick@bigpond.com.au"/>
    <s v="Patrick"/>
    <s v="Rossi"/>
    <s v="Melbourne"/>
    <x v="2"/>
  </r>
  <r>
    <x v="152"/>
    <s v="urbanharrison@gmail.com"/>
    <s v="Harrison"/>
    <s v="Ivanov"/>
    <s v="Rockhampton"/>
    <x v="4"/>
  </r>
  <r>
    <x v="153"/>
    <s v="adams.isla@gmail.com"/>
    <s v="Isla"/>
    <s v="Adams"/>
    <s v="Sydney"/>
    <x v="1"/>
  </r>
  <r>
    <x v="154"/>
    <s v="coastaltom@gmail.com"/>
    <s v="Thomas"/>
    <s v="Taylor"/>
    <s v="Sydney"/>
    <x v="1"/>
  </r>
  <r>
    <x v="155"/>
    <s v="zoe_415@yahoo.com"/>
    <s v="Zoe"/>
    <s v="Clark"/>
    <s v="Newcastle"/>
    <x v="1"/>
  </r>
  <r>
    <x v="156"/>
    <s v="jack.art@hotmail.com"/>
    <s v="Jack"/>
    <s v="Anderson"/>
    <s v="Melbourne"/>
    <x v="2"/>
  </r>
  <r>
    <x v="157"/>
    <s v="wilson.aly@optusnet.com.au"/>
    <s v="Alyssa"/>
    <s v="Wilson"/>
    <s v="Shepparton"/>
    <x v="2"/>
  </r>
  <r>
    <x v="158"/>
    <s v="walkarron@aol.com"/>
    <s v="Arron"/>
    <s v="Walker"/>
    <s v="Townsville"/>
    <x v="4"/>
  </r>
  <r>
    <x v="159"/>
    <s v="mia_635@live.au"/>
    <s v="Mia"/>
    <s v="Parker"/>
    <s v="Ballarat"/>
    <x v="2"/>
  </r>
  <r>
    <x v="160"/>
    <s v="sophie_843@gmail.com"/>
    <s v="Sophie"/>
    <s v="Baker"/>
    <s v="Brisbane"/>
    <x v="4"/>
  </r>
  <r>
    <x v="161"/>
    <s v="travel.lachlan@gmail.com"/>
    <s v="Lachlan"/>
    <s v="Costa"/>
    <s v="Rockhampton"/>
    <x v="4"/>
  </r>
  <r>
    <x v="162"/>
    <s v="ayoung@bigpond.com.au"/>
    <s v="Arthur"/>
    <s v="Young"/>
    <s v="Melbourne"/>
    <x v="2"/>
  </r>
  <r>
    <x v="163"/>
    <s v="earlyli@bigpond.com.au"/>
    <s v="Li"/>
    <s v="Parker"/>
    <s v="Bendigo"/>
    <x v="2"/>
  </r>
  <r>
    <x v="164"/>
    <s v="travel.olivia@gmail.com"/>
    <s v="Olivia"/>
    <s v="Taylor"/>
    <s v="Shepparton"/>
    <x v="2"/>
  </r>
  <r>
    <x v="165"/>
    <s v="benjamin.adams@live.au"/>
    <s v="Benjamin"/>
    <s v="Adams"/>
    <s v="Melbourne"/>
    <x v="2"/>
  </r>
  <r>
    <x v="166"/>
    <s v="rjohnson@gmail.com"/>
    <s v="Ruby"/>
    <s v="Johnson"/>
    <s v="Adelaide"/>
    <x v="5"/>
  </r>
  <r>
    <x v="167"/>
    <s v="james88@aol.com"/>
    <s v="James"/>
    <s v="Clark"/>
    <s v="Broken Hill"/>
    <x v="1"/>
  </r>
  <r>
    <x v="168"/>
    <s v="andy-on-a-bike@gmail.com"/>
    <s v="Andy"/>
    <s v="White"/>
    <s v="Sydney"/>
    <x v="1"/>
  </r>
  <r>
    <x v="169"/>
    <s v="hussain.carlos@outlook.com"/>
    <s v="Carlos"/>
    <s v="Hussain"/>
    <s v="Byron Bay"/>
    <x v="1"/>
  </r>
  <r>
    <x v="170"/>
    <s v="emilyliu@gmail.com"/>
    <s v="Emily"/>
    <s v="Liu"/>
    <s v="Mount Isa"/>
    <x v="4"/>
  </r>
  <r>
    <x v="171"/>
    <s v="agomez@bigpond.com.au"/>
    <s v="Archie"/>
    <s v="Gomez"/>
    <s v="Melbourne"/>
    <x v="2"/>
  </r>
  <r>
    <x v="172"/>
    <s v="jasperhappy@live.au"/>
    <s v="Jasper"/>
    <s v="Martin"/>
    <s v="Brisbane"/>
    <x v="4"/>
  </r>
  <r>
    <x v="173"/>
    <s v="chloe.coffee@hotmail.com"/>
    <s v="Karla"/>
    <s v="Tau"/>
    <s v="Brisbane"/>
    <x v="4"/>
  </r>
  <r>
    <x v="174"/>
    <s v="zoe.golf@hotmail.com"/>
    <s v="Zoe"/>
    <s v="Taylor"/>
    <s v="Melbourne"/>
    <x v="2"/>
  </r>
  <r>
    <x v="175"/>
    <s v="felix_555@gmail.com"/>
    <s v="Felix"/>
    <s v="Nowak"/>
    <s v="Wagga Wagga"/>
    <x v="1"/>
  </r>
  <r>
    <x v="176"/>
    <s v="kovac.maisie@aol.com"/>
    <s v="Maisie"/>
    <s v="Kovac"/>
    <s v="Melbourne"/>
    <x v="2"/>
  </r>
  <r>
    <x v="177"/>
    <s v="travel.jack@hotmail.com"/>
    <s v="Jack"/>
    <s v="Novak"/>
    <s v="Brisbane"/>
    <x v="4"/>
  </r>
  <r>
    <x v="178"/>
    <s v="poppy.golf@outlook.com"/>
    <s v="Poppy"/>
    <s v="Petrov"/>
    <s v="Byron Bay"/>
    <x v="1"/>
  </r>
  <r>
    <x v="179"/>
    <s v="nowayedway@hotmail.com"/>
    <s v="Edward"/>
    <s v="Lewis"/>
    <s v="Central Coast"/>
    <x v="1"/>
  </r>
  <r>
    <x v="180"/>
    <s v="coffee.isaac@gmail.com"/>
    <s v="Isaac"/>
    <s v="Martinez"/>
    <s v="Gold Coast"/>
    <x v="4"/>
  </r>
  <r>
    <x v="181"/>
    <s v="lucas89@outlook.com"/>
    <s v="Lucas"/>
    <s v="Green"/>
    <s v="Brisbane"/>
    <x v="4"/>
  </r>
  <r>
    <x v="182"/>
    <s v="stewart.ali@gmail.com"/>
    <s v="Ali"/>
    <s v="Stewart"/>
    <s v="Melbourne"/>
    <x v="2"/>
  </r>
  <r>
    <x v="183"/>
    <s v="yoga.alex@gmail.com"/>
    <s v="Alexander"/>
    <s v="Wright"/>
    <s v="Brisbane"/>
    <x v="4"/>
  </r>
  <r>
    <x v="184"/>
    <s v="urbandan@hotmail.com"/>
    <s v="Daniel"/>
    <s v="Smith"/>
    <s v="Sydney"/>
    <x v="1"/>
  </r>
  <r>
    <x v="185"/>
    <s v="georgia1981@yahoo.com"/>
    <s v="Georgia"/>
    <s v="Green"/>
    <s v="Torquay"/>
    <x v="2"/>
  </r>
  <r>
    <x v="186"/>
    <s v="wildevie@yahoo.com"/>
    <s v="Evie"/>
    <s v="Kim"/>
    <s v="Perth"/>
    <x v="3"/>
  </r>
  <r>
    <x v="187"/>
    <s v="georgiageorgiou@outlook.com"/>
    <s v="Georgia"/>
    <s v="Georgiou"/>
    <s v="Coffs Harbour"/>
    <x v="1"/>
  </r>
  <r>
    <x v="188"/>
    <s v="harper.travel@microsoft.com"/>
    <s v="Harper"/>
    <s v="Wilson"/>
    <s v="Dubbo"/>
    <x v="1"/>
  </r>
  <r>
    <x v="189"/>
    <s v="charlieseason@bigpond.com.au"/>
    <s v="Charlie"/>
    <s v="Tau"/>
    <s v="Broken Hill"/>
    <x v="1"/>
  </r>
  <r>
    <x v="190"/>
    <s v="billie.ngata@yahoo.com"/>
    <s v="Billie"/>
    <s v="Ngata"/>
    <s v="Byron Bay"/>
    <x v="1"/>
  </r>
  <r>
    <x v="191"/>
    <s v="theocoastal@gmail.com"/>
    <s v="Theo"/>
    <s v="Trainer"/>
    <s v="Melbourne"/>
    <x v="2"/>
  </r>
  <r>
    <x v="192"/>
    <s v="samuelrossi@microsoft.com"/>
    <s v="Samuel"/>
    <s v="Rossi"/>
    <s v="Geelong"/>
    <x v="2"/>
  </r>
  <r>
    <x v="193"/>
    <s v="george39@yahoo.com"/>
    <s v="George"/>
    <s v="Wilson"/>
    <s v="Newcastle"/>
    <x v="1"/>
  </r>
  <r>
    <x v="194"/>
    <s v="violet.surf@gmail.com"/>
    <s v="Violet"/>
    <s v="King"/>
    <s v="Hobart"/>
    <x v="6"/>
  </r>
  <r>
    <x v="195"/>
    <s v="bonnie81@outlook.com"/>
    <s v="Bonnie"/>
    <s v="Murphy"/>
    <s v="Wagga Wagga"/>
    <x v="1"/>
  </r>
  <r>
    <x v="196"/>
    <s v="carlosparker@live.au"/>
    <s v="Carlos"/>
    <s v="Parker"/>
    <s v="Melbourne"/>
    <x v="2"/>
  </r>
  <r>
    <x v="197"/>
    <s v="liam_264@hotmail.com"/>
    <s v="Liam"/>
    <s v="Sharma"/>
    <s v="Geraldton"/>
    <x v="3"/>
  </r>
  <r>
    <x v="198"/>
    <s v="lucas.art@outlook.com"/>
    <s v="Lucas"/>
    <s v="Johnson"/>
    <s v="Central Coast"/>
    <x v="1"/>
  </r>
  <r>
    <x v="199"/>
    <s v="lucas.photo@outlook.com"/>
    <s v="Lucas"/>
    <s v="Pah"/>
    <s v="Hervey Bay"/>
    <x v="4"/>
  </r>
  <r>
    <x v="200"/>
    <s v="roberts.giulia@gmail.com"/>
    <s v="Giulia"/>
    <s v="Roberts"/>
    <s v="Wagga Wagga"/>
    <x v="1"/>
  </r>
  <r>
    <x v="201"/>
    <s v="leohall@aol.com"/>
    <s v="Leo"/>
    <s v="Hall"/>
    <s v="Sydney"/>
    <x v="1"/>
  </r>
  <r>
    <x v="202"/>
    <s v="mateo.wright@gmail.com"/>
    <s v="Mateo"/>
    <s v="Wright"/>
    <s v="Sunshine Coast"/>
    <x v="4"/>
  </r>
  <r>
    <x v="203"/>
    <s v="aconti@aol.com"/>
    <s v="Aroha"/>
    <s v="Conti"/>
    <s v="Adelaide"/>
    <x v="5"/>
  </r>
  <r>
    <x v="204"/>
    <s v="stran@optusnet.com.au"/>
    <s v="Stella"/>
    <s v="Tran"/>
    <s v="Cairns"/>
    <x v="4"/>
  </r>
  <r>
    <x v="205"/>
    <s v="tech.charlie@gmail.com"/>
    <s v="Charlie"/>
    <s v="Smith"/>
    <s v="Sale"/>
    <x v="2"/>
  </r>
  <r>
    <x v="206"/>
    <s v="green.mason@yahoo.com"/>
    <s v="Mason"/>
    <s v="Green"/>
    <s v="Devonport"/>
    <x v="6"/>
  </r>
  <r>
    <x v="207"/>
    <s v="matilda.art@aol.com"/>
    <s v="Matilda"/>
    <s v="Carter"/>
    <s v="Melbourne"/>
    <x v="2"/>
  </r>
  <r>
    <x v="208"/>
    <s v="thesiennap@gmail.com"/>
    <s v="Sienna"/>
    <s v="Pearson"/>
    <s v="Victor Harbor"/>
    <x v="5"/>
  </r>
  <r>
    <x v="209"/>
    <s v="zoe2003@optusnet.com.au"/>
    <s v="Zoe"/>
    <s v="Johnson"/>
    <s v="Melbourne"/>
    <x v="2"/>
  </r>
  <r>
    <x v="210"/>
    <s v="bake.liam@aol.com"/>
    <s v="Liam"/>
    <s v="Clark"/>
    <s v="Sydney"/>
    <x v="1"/>
  </r>
  <r>
    <x v="211"/>
    <s v="leo.young@aol.com"/>
    <s v="Leo"/>
    <s v="Young"/>
    <s v="Brisbane"/>
    <x v="4"/>
  </r>
  <r>
    <x v="212"/>
    <s v="leo_75@gmail.com"/>
    <s v="Leo"/>
    <s v="Brown"/>
    <s v="Townsville"/>
    <x v="4"/>
  </r>
  <r>
    <x v="213"/>
    <s v="emilylate@gmail.com"/>
    <s v="Emily"/>
    <s v="Kelly"/>
    <s v="Coffs Harbour"/>
    <x v="1"/>
  </r>
  <r>
    <x v="214"/>
    <s v="edward_801@aol.com"/>
    <s v="Edward"/>
    <s v="Wright"/>
    <s v="Brisbane"/>
    <x v="4"/>
  </r>
  <r>
    <x v="215"/>
    <s v="ruby.williams@microsoft.com"/>
    <s v="Ruby"/>
    <s v="Williams"/>
    <s v="Canberra"/>
    <x v="7"/>
  </r>
  <r>
    <x v="216"/>
    <s v="amelia1981@microsoft.com"/>
    <s v="Amelia"/>
    <s v="McQueen"/>
    <s v="Shepparton"/>
    <x v="2"/>
  </r>
  <r>
    <x v="217"/>
    <s v="eloisebrown1964@gmail.com"/>
    <s v="Eloise"/>
    <s v="Brown"/>
    <s v="Newcastle"/>
    <x v="1"/>
  </r>
  <r>
    <x v="218"/>
    <s v="willow54@yahoo.com"/>
    <s v="Willow"/>
    <s v="Hall"/>
    <s v="Wollongong"/>
    <x v="1"/>
  </r>
  <r>
    <x v="219"/>
    <s v="marco.deluca@outlook.com"/>
    <s v="Marco"/>
    <s v="DeLuca"/>
    <s v="Sydney"/>
    <x v="1"/>
  </r>
  <r>
    <x v="220"/>
    <s v="dansato@yahoo.com"/>
    <s v="Daniel"/>
    <s v="Sato"/>
    <s v="Melbourne"/>
    <x v="2"/>
  </r>
  <r>
    <x v="221"/>
    <s v="emily_587@optusnet.com.au"/>
    <s v="Emily"/>
    <s v="Hussain"/>
    <s v="Byron Bay"/>
    <x v="1"/>
  </r>
  <r>
    <x v="222"/>
    <s v="johnson.bodhi@gmail.com"/>
    <s v="Bodhi"/>
    <s v="Johnson"/>
    <s v="Byron Bay"/>
    <x v="1"/>
  </r>
  <r>
    <x v="223"/>
    <s v="olivia.martin@microsoft.com"/>
    <s v="Olivia"/>
    <s v="Martin"/>
    <s v="Townsville"/>
    <x v="4"/>
  </r>
  <r>
    <x v="224"/>
    <s v="emily.wilson@gmail.com"/>
    <s v="Emily"/>
    <s v="Wilson"/>
    <s v="Central Coast"/>
    <x v="1"/>
  </r>
  <r>
    <x v="225"/>
    <s v="hussain.poppy@gmail.com"/>
    <s v="Poppy"/>
    <s v="Hussain"/>
    <s v="Sunshine Coast"/>
    <x v="4"/>
  </r>
  <r>
    <x v="226"/>
    <s v="sakura31@live.au"/>
    <s v="Sakura"/>
    <s v="Novak"/>
    <s v="Sale"/>
    <x v="2"/>
  </r>
  <r>
    <x v="227"/>
    <s v="olivia_479@gmail.com"/>
    <s v="Olivia"/>
    <s v="Parson"/>
    <s v="Albany"/>
    <x v="3"/>
  </r>
  <r>
    <x v="228"/>
    <s v="ejones@yahoo.com"/>
    <s v="Edward"/>
    <s v="Jones"/>
    <s v="Devonport"/>
    <x v="6"/>
  </r>
  <r>
    <x v="229"/>
    <s v="smurphy@aol.com"/>
    <s v="Sienna"/>
    <s v="Murphy"/>
    <s v="Canberra"/>
    <x v="7"/>
  </r>
  <r>
    <x v="230"/>
    <s v="eloise.golf@microsoft.com"/>
    <s v="Eloise"/>
    <s v="Choi"/>
    <s v="Toowoomba"/>
    <x v="4"/>
  </r>
  <r>
    <x v="231"/>
    <s v="will1986@hotmail.com"/>
    <s v="William"/>
    <s v="Brown"/>
    <s v="Adelaide"/>
    <x v="5"/>
  </r>
  <r>
    <x v="232"/>
    <s v="maisie.footy@outlook.com"/>
    <s v="Maisie"/>
    <s v="Christie"/>
    <s v="Hervey Bay"/>
    <x v="4"/>
  </r>
  <r>
    <x v="233"/>
    <s v="wildwei@aol.com"/>
    <s v="Wei"/>
    <s v="Robbertson"/>
    <s v="Cairns"/>
    <x v="4"/>
  </r>
  <r>
    <x v="234"/>
    <s v="matilda2006@optusnet.com.au"/>
    <s v="Matilda"/>
    <s v="Wilson"/>
    <s v="Brisbane"/>
    <x v="4"/>
  </r>
  <r>
    <x v="235"/>
    <s v="blueharper@live.au"/>
    <s v="Harper"/>
    <s v="Martinez"/>
    <s v="Townsville"/>
    <x v="4"/>
  </r>
  <r>
    <x v="236"/>
    <s v="collins.chloe@yahoo.com"/>
    <s v="Chloe"/>
    <s v="Collins"/>
    <s v="Sunshine Coast"/>
    <x v="4"/>
  </r>
  <r>
    <x v="237"/>
    <s v="manu96@aol.com"/>
    <s v="Manu"/>
    <s v="Papadopoulos"/>
    <s v="Geelong"/>
    <x v="2"/>
  </r>
  <r>
    <x v="238"/>
    <s v="mileswhite@gmail.com"/>
    <s v="Miles"/>
    <s v="White"/>
    <s v="Geelong"/>
    <x v="2"/>
  </r>
  <r>
    <x v="239"/>
    <s v="aurora.baker@outlook.com"/>
    <s v="Aurora"/>
    <s v="Baker"/>
    <s v="Burnie"/>
    <x v="6"/>
  </r>
  <r>
    <x v="240"/>
    <s v="olivia9@bigpond.com.au"/>
    <s v="Olivia"/>
    <s v="Turner"/>
    <s v="Adelaide"/>
    <x v="5"/>
  </r>
  <r>
    <x v="241"/>
    <s v="theocoastal@microsoft.com"/>
    <s v="Theo"/>
    <s v="Wright"/>
    <s v="Ballarat"/>
    <x v="2"/>
  </r>
  <r>
    <x v="242"/>
    <s v="samuel1992@live.au"/>
    <s v="Samuel"/>
    <s v="Stetting"/>
    <s v="Geelong"/>
    <x v="2"/>
  </r>
  <r>
    <x v="243"/>
    <s v="happyfatima@hotmail.com"/>
    <s v="Fatima"/>
    <s v="Stewart"/>
    <s v="Sunshine Coast"/>
    <x v="4"/>
  </r>
  <r>
    <x v="244"/>
    <s v="photo.scarlett@gmail.com"/>
    <s v="Scarlett"/>
    <s v="Martinez"/>
    <s v="Broome"/>
    <x v="3"/>
  </r>
  <r>
    <x v="245"/>
    <s v="george.manu@gmail.com"/>
    <s v="George"/>
    <s v="Manu"/>
    <s v="Wollongong"/>
    <x v="1"/>
  </r>
  <r>
    <x v="246"/>
    <s v="masoncosta@microsoft.com"/>
    <s v="Mason"/>
    <s v="Kostas"/>
    <s v="Melbourne"/>
    <x v="2"/>
  </r>
  <r>
    <x v="247"/>
    <s v="jackcarter@gmail.com"/>
    <s v="John"/>
    <s v="Carter"/>
    <s v="Brisbane"/>
    <x v="4"/>
  </r>
  <r>
    <x v="248"/>
    <s v="king.kiran@outlook.com"/>
    <s v="Kiran"/>
    <s v="King"/>
    <s v="Adelaide"/>
    <x v="5"/>
  </r>
  <r>
    <x v="249"/>
    <s v="happyolivia@gmail.com"/>
    <s v="Olivia"/>
    <s v="Robert"/>
    <s v="Wollongong"/>
    <x v="1"/>
  </r>
  <r>
    <x v="250"/>
    <s v="zoe_792@microsoft.com"/>
    <s v="Zack"/>
    <s v="Turner"/>
    <s v="Melbourne"/>
    <x v="2"/>
  </r>
  <r>
    <x v="251"/>
    <s v="zoekelly@outlook.com"/>
    <s v="Zachariah"/>
    <s v="Kelly"/>
    <s v="Sydney"/>
    <x v="1"/>
  </r>
  <r>
    <x v="252"/>
    <s v="chloe_980@gmail.com"/>
    <s v="Chloe"/>
    <s v="Li"/>
    <s v="Sydney"/>
    <x v="1"/>
  </r>
  <r>
    <x v="253"/>
    <s v="finnlate@outlook.com"/>
    <s v="Finn"/>
    <s v="Liu"/>
    <s v="Melbourne"/>
    <x v="2"/>
  </r>
  <r>
    <x v="254"/>
    <s v="miahappy@bigpond.com.au"/>
    <s v="Mia"/>
    <s v="Thompson"/>
    <s v="Adelaide"/>
    <x v="5"/>
  </r>
  <r>
    <x v="255"/>
    <s v="archiengata@aol.com"/>
    <s v="Archie"/>
    <s v="Ngata"/>
    <s v="Melbourne"/>
    <x v="2"/>
  </r>
  <r>
    <x v="256"/>
    <s v="patel.jasper@optusnet.com.au"/>
    <s v="Jasper"/>
    <s v="Patel"/>
    <s v="Geelong"/>
    <x v="2"/>
  </r>
  <r>
    <x v="257"/>
    <s v="leotanaka@hotmail.com"/>
    <s v="Leo"/>
    <s v="Trent"/>
    <s v="Sunshine Coast"/>
    <x v="4"/>
  </r>
  <r>
    <x v="258"/>
    <s v="earlyhenry@gmail.com"/>
    <s v="Henry"/>
    <s v="Novak"/>
    <s v="Torquay"/>
    <x v="2"/>
  </r>
  <r>
    <x v="259"/>
    <s v="fliu@microsoft.com"/>
    <s v="Freya"/>
    <s v="Liu"/>
    <s v="Adelaide"/>
    <x v="5"/>
  </r>
  <r>
    <x v="260"/>
    <s v="wei_191@gmail.com"/>
    <s v="Wei"/>
    <s v="Thompson"/>
    <s v="Torquay"/>
    <x v="2"/>
  </r>
  <r>
    <x v="261"/>
    <s v="lucas_626@gmail.com"/>
    <s v="Liam"/>
    <s v="Landry"/>
    <s v="Adelaide"/>
    <x v="5"/>
  </r>
  <r>
    <x v="262"/>
    <s v="ava29@hotmail.com"/>
    <s v="Ava"/>
    <s v="Horvat"/>
    <s v="Canberra"/>
    <x v="7"/>
  </r>
  <r>
    <x v="263"/>
    <s v="eviesunny@gmail.com"/>
    <s v="Evie"/>
    <s v="Sun"/>
    <s v="Melbourne"/>
    <x v="2"/>
  </r>
  <r>
    <x v="264"/>
    <s v="oliver2@gmail.com"/>
    <s v="Oliver"/>
    <s v="Young"/>
    <s v="Sydney"/>
    <x v="1"/>
  </r>
  <r>
    <x v="265"/>
    <s v="alex1980@gmail.com"/>
    <s v="Adriana"/>
    <s v="Young"/>
    <s v="Brisbane"/>
    <x v="4"/>
  </r>
  <r>
    <x v="266"/>
    <s v="lucaslate@live.au"/>
    <s v="Lucas"/>
    <s v="Silva"/>
    <s v="Perth"/>
    <x v="3"/>
  </r>
  <r>
    <x v="267"/>
    <s v="sadie74@outlook.com"/>
    <s v="Sadie"/>
    <s v="Jones"/>
    <s v="Townsville"/>
    <x v="4"/>
  </r>
  <r>
    <x v="268"/>
    <s v="fred5@gmail.com"/>
    <s v="Fred"/>
    <s v="Andersen"/>
    <s v="Darwin"/>
    <x v="0"/>
  </r>
  <r>
    <x v="269"/>
    <s v="willsingh@gmail.com"/>
    <s v="Ravi"/>
    <s v="Singh"/>
    <s v="Brisbane"/>
    <x v="4"/>
  </r>
  <r>
    <x v="270"/>
    <s v="isla_451@optusnet.com.au"/>
    <s v="Jessie"/>
    <s v="Turner"/>
    <s v="Brisbane"/>
    <x v="4"/>
  </r>
  <r>
    <x v="271"/>
    <s v="apereira@yahoo.com"/>
    <s v="Ava"/>
    <s v="Pereira"/>
    <s v="Sydney"/>
    <x v="1"/>
  </r>
  <r>
    <x v="272"/>
    <s v="bondingwithharper@live.au"/>
    <s v="Harper"/>
    <s v="Bond"/>
    <s v="Warrnambool"/>
    <x v="2"/>
  </r>
  <r>
    <x v="273"/>
    <s v="oliver1983@microsoft.com"/>
    <s v="Oliver"/>
    <s v="Nonnington"/>
    <s v="Melbourne"/>
    <x v="2"/>
  </r>
  <r>
    <x v="274"/>
    <s v="surfer-girl-chlo@live.au"/>
    <s v="Chloe"/>
    <s v="Faatua"/>
    <s v="Cairns"/>
    <x v="4"/>
  </r>
  <r>
    <x v="275"/>
    <s v="omar13@outlook.com"/>
    <s v="Omar"/>
    <s v="Jones"/>
    <s v="Burnie"/>
    <x v="6"/>
  </r>
  <r>
    <x v="276"/>
    <s v="lucas40@yahoo.com"/>
    <s v="Lukas"/>
    <s v="Hall"/>
    <s v="Adelaide"/>
    <x v="5"/>
  </r>
  <r>
    <x v="277"/>
    <s v="samuelpark@optusnet.com.au"/>
    <s v="Samuel"/>
    <s v="Peters"/>
    <s v="Newcastle"/>
    <x v="1"/>
  </r>
  <r>
    <x v="278"/>
    <s v="hudsonsurf@live.au"/>
    <s v="Hudson"/>
    <s v="Waters"/>
    <s v="Hervey Bay"/>
    <x v="4"/>
  </r>
  <r>
    <x v="279"/>
    <s v="wan.mason@live.au"/>
    <s v="Mason"/>
    <s v="Wan"/>
    <s v="Ballarat"/>
    <x v="2"/>
  </r>
  <r>
    <x v="280"/>
    <s v="kaur.isla@microsoft.com"/>
    <s v="Isla"/>
    <s v="Kaur"/>
    <s v="Townsville"/>
    <x v="4"/>
  </r>
  <r>
    <x v="281"/>
    <s v="minh54@hotmail.com"/>
    <s v="Minh"/>
    <s v="Walker"/>
    <s v="Mandurah"/>
    <x v="3"/>
  </r>
  <r>
    <x v="282"/>
    <s v="isla51@hotmail.com"/>
    <s v="Isla"/>
    <s v="Johnson"/>
    <s v="Torquay"/>
    <x v="2"/>
  </r>
  <r>
    <x v="283"/>
    <s v="tane1994@generation.au"/>
    <s v="Tane"/>
    <s v="Chen"/>
    <s v="Ballarat"/>
    <x v="2"/>
  </r>
  <r>
    <x v="284"/>
    <s v="ella_216@gmail.com"/>
    <s v="Ella"/>
    <s v="Kelly"/>
    <s v="Geelong"/>
    <x v="2"/>
  </r>
  <r>
    <x v="285"/>
    <s v="anderson.arjun@outlook.com"/>
    <s v="Arjun"/>
    <s v="Anderson"/>
    <s v="Broken Hill"/>
    <x v="1"/>
  </r>
  <r>
    <x v="286"/>
    <s v="sebastian_479@gmail.com"/>
    <s v="Sebastian"/>
    <s v="Brown"/>
    <s v="Perth"/>
    <x v="3"/>
  </r>
  <r>
    <x v="287"/>
    <s v="mohammed1996@yahoo.com"/>
    <s v="Mohammed"/>
    <s v="Johnson"/>
    <s v="Geelong"/>
    <x v="2"/>
  </r>
  <r>
    <x v="288"/>
    <s v="georgia_957@yahoo.com"/>
    <s v="Georgia"/>
    <s v="Carter"/>
    <s v="Perth"/>
    <x v="3"/>
  </r>
  <r>
    <x v="289"/>
    <s v="photo.ethan@live.au"/>
    <s v="Ethan"/>
    <s v="Lewis"/>
    <s v="Newcastle"/>
    <x v="1"/>
  </r>
  <r>
    <x v="290"/>
    <s v="art.mohammed@gmail.com"/>
    <s v="Mohammed"/>
    <s v="El-Fayad"/>
    <s v="Broken Hill"/>
    <x v="1"/>
  </r>
  <r>
    <x v="291"/>
    <s v="yusufjohnson@bigpond.com.au"/>
    <s v="Yessi"/>
    <s v="Johnson"/>
    <s v="Torquay"/>
    <x v="2"/>
  </r>
  <r>
    <x v="292"/>
    <s v="willowsingh@live.au"/>
    <s v="Willow"/>
    <s v="Singh"/>
    <s v="Wagga Wagga"/>
    <x v="1"/>
  </r>
  <r>
    <x v="293"/>
    <s v="earlytom@aol.com"/>
    <s v="Thomas"/>
    <s v="Liu"/>
    <s v="Sydney"/>
    <x v="1"/>
  </r>
  <r>
    <x v="294"/>
    <s v="music.max@aol.com"/>
    <s v="Max"/>
    <s v="Stewart"/>
    <s v="Dubbo"/>
    <x v="1"/>
  </r>
  <r>
    <x v="295"/>
    <s v="lucas.art@optusnet.com.au"/>
    <s v="Lucas"/>
    <s v="Wilson"/>
    <s v="Dubbo"/>
    <x v="1"/>
  </r>
  <r>
    <x v="296"/>
    <s v="willow.pereira@gmail.com"/>
    <s v="Olivia"/>
    <s v="Pereira"/>
    <s v="Torquay"/>
    <x v="2"/>
  </r>
  <r>
    <x v="297"/>
    <s v="bgreen@outlook.com"/>
    <s v="Benjamin"/>
    <s v="Green"/>
    <s v="Perth"/>
    <x v="3"/>
  </r>
  <r>
    <x v="298"/>
    <s v="mason.photo@gmail.com"/>
    <s v="Mason"/>
    <s v="King"/>
    <s v="Albany"/>
    <x v="3"/>
  </r>
  <r>
    <x v="299"/>
    <s v="benbi@hotmail.com"/>
    <s v="Ben"/>
    <s v="Bianchi"/>
    <s v="Brisbane"/>
    <x v="4"/>
  </r>
  <r>
    <x v="300"/>
    <s v="willarchiedoit@aol.com"/>
    <s v="Archie"/>
    <s v="Williams"/>
    <s v="Mount Isa"/>
    <x v="4"/>
  </r>
  <r>
    <x v="301"/>
    <s v="tom_191@yahoo.com"/>
    <s v="Timi"/>
    <s v="Patel"/>
    <s v="Central Coast"/>
    <x v="1"/>
  </r>
  <r>
    <x v="302"/>
    <s v="ilovepriya@live.au"/>
    <s v="Priya"/>
    <s v="Brown"/>
    <s v="Coffs Harbour"/>
    <x v="1"/>
  </r>
  <r>
    <x v="303"/>
    <s v="happyemily@microsoft.com"/>
    <s v="Emily"/>
    <s v="Khan"/>
    <s v="Warrnambool"/>
    <x v="2"/>
  </r>
  <r>
    <x v="304"/>
    <s v="blueriley@hotmail.com"/>
    <s v="Riley"/>
    <s v="Hussain"/>
    <s v="Central Coast"/>
    <x v="1"/>
  </r>
  <r>
    <x v="305"/>
    <s v="samuel.travel@live.au"/>
    <s v="Samuel"/>
    <s v="Costa"/>
    <s v="Central Coast"/>
    <x v="1"/>
  </r>
  <r>
    <x v="306"/>
    <s v="darcykim@live.au"/>
    <s v="Denis"/>
    <s v="Kim"/>
    <s v="Central Coast"/>
    <x v="1"/>
  </r>
  <r>
    <x v="307"/>
    <s v="zoe_703@aol.com"/>
    <s v="Zoe"/>
    <s v="Walker"/>
    <s v="Wagga Wagga"/>
    <x v="1"/>
  </r>
  <r>
    <x v="308"/>
    <s v="king.tom@yahoo.com"/>
    <s v="Thomas"/>
    <s v="King"/>
    <s v="Sunshine Coast"/>
    <x v="4"/>
  </r>
  <r>
    <x v="309"/>
    <s v="coopst@hotmail.com"/>
    <s v="Cooper"/>
    <s v="Tran"/>
    <s v="Albany"/>
    <x v="3"/>
  </r>
  <r>
    <x v="310"/>
    <s v="tech.ruby@microsoft.com"/>
    <s v="Ruby"/>
    <s v="Manu"/>
    <s v="Melbourne"/>
    <x v="2"/>
  </r>
  <r>
    <x v="311"/>
    <s v="mateo.tech@gmail.com"/>
    <s v="Mateo"/>
    <s v="Clark"/>
    <s v="Wagga Wagga"/>
    <x v="1"/>
  </r>
  <r>
    <x v="312"/>
    <s v="urbanisaac@optusnet.com.au"/>
    <s v="Isaac"/>
    <s v="Ali"/>
    <s v="Devonport"/>
    <x v="6"/>
  </r>
  <r>
    <x v="313"/>
    <s v="athompson@gmail.com"/>
    <s v="Arthur"/>
    <s v="Thompson"/>
    <s v="Wollongong"/>
    <x v="1"/>
  </r>
  <r>
    <x v="314"/>
    <s v="happylucas@gmail.com"/>
    <s v="Lucas"/>
    <s v="Tui"/>
    <s v="Torquay"/>
    <x v="2"/>
  </r>
  <r>
    <x v="315"/>
    <s v="oliver2000@hotmail.com"/>
    <s v="Oliver"/>
    <s v="Taylor"/>
    <s v="Townsville"/>
    <x v="4"/>
  </r>
  <r>
    <x v="316"/>
    <s v="music.henry@aol.com"/>
    <s v="Henry"/>
    <s v="Horvat"/>
    <s v="Sunshine Coast"/>
    <x v="4"/>
  </r>
  <r>
    <x v="317"/>
    <s v="urbanemily@flip.au"/>
    <s v="Emily"/>
    <s v="Carter"/>
    <s v="Mandurah"/>
    <x v="3"/>
  </r>
  <r>
    <x v="318"/>
    <s v="benwalker@yahoo.com"/>
    <s v="Benjamin"/>
    <s v="Walker"/>
    <s v="Central Coast"/>
    <x v="1"/>
  </r>
  <r>
    <x v="319"/>
    <s v="bluezoe@outlook.com"/>
    <s v="Zoe"/>
    <s v="King"/>
    <s v="Perth"/>
    <x v="3"/>
  </r>
  <r>
    <x v="320"/>
    <s v="rocchjia@gmail.com"/>
    <s v="Jia"/>
    <s v="Rocchi"/>
    <s v="Bunbury"/>
    <x v="3"/>
  </r>
  <r>
    <x v="321"/>
    <s v="tom2001@gmail.com"/>
    <s v="Thomas"/>
    <s v="Green"/>
    <s v="Rockhampton"/>
    <x v="4"/>
  </r>
  <r>
    <x v="322"/>
    <s v="amelia1986@hotmail.com"/>
    <s v="Antonella"/>
    <s v="Johnson"/>
    <s v="Victor Harbor"/>
    <x v="5"/>
  </r>
  <r>
    <x v="323"/>
    <s v="henry.lewis@outlook.com"/>
    <s v="Henry"/>
    <s v="Lewis"/>
    <s v="Central Coast"/>
    <x v="1"/>
  </r>
  <r>
    <x v="324"/>
    <s v="edwardwild@live.au"/>
    <s v="Edward"/>
    <s v="Wright"/>
    <s v="Central Coast"/>
    <x v="1"/>
  </r>
  <r>
    <x v="325"/>
    <s v="gtanaka@microsoft.com"/>
    <s v="Giulia"/>
    <s v="Tanaka"/>
    <s v="Brisbane"/>
    <x v="4"/>
  </r>
  <r>
    <x v="326"/>
    <s v="harrisonaddam@gmail.com"/>
    <s v="Harrison"/>
    <s v="Addam"/>
    <s v="Byron Bay"/>
    <x v="1"/>
  </r>
  <r>
    <x v="327"/>
    <s v="blueleilani@gmail.com"/>
    <s v="Leilani"/>
    <s v="Kim"/>
    <s v="Geraldton"/>
    <x v="3"/>
  </r>
  <r>
    <x v="328"/>
    <s v="oliver94@hotmail.com"/>
    <s v="Oliver"/>
    <s v="Franks"/>
    <s v="Central Coast"/>
    <x v="1"/>
  </r>
  <r>
    <x v="329"/>
    <s v="music.olivia@aol.com"/>
    <s v="Olivia"/>
    <s v="Wilson"/>
    <s v="Albany"/>
    <x v="3"/>
  </r>
  <r>
    <x v="330"/>
    <s v="coastalhenry@outlook.com"/>
    <s v="Henry"/>
    <s v="Martin"/>
    <s v="Sydney"/>
    <x v="1"/>
  </r>
  <r>
    <x v="331"/>
    <s v="mia.white@live.au"/>
    <s v="Mia"/>
    <s v="White"/>
    <s v="Gold Coast"/>
    <x v="4"/>
  </r>
  <r>
    <x v="332"/>
    <s v="alex_761@optusnet.com.au"/>
    <s v="Alex"/>
    <s v="Flams"/>
    <s v="Newcastle"/>
    <x v="1"/>
  </r>
  <r>
    <x v="333"/>
    <s v="johnson.hudson@microsoft.com"/>
    <s v="Hudson"/>
    <s v="Johnson"/>
    <s v="Sunshine Coast"/>
    <x v="4"/>
  </r>
  <r>
    <x v="334"/>
    <s v="diego.baker@microsoft.com"/>
    <s v="Diego"/>
    <s v="Baker"/>
    <s v="Brisbane"/>
    <x v="4"/>
  </r>
  <r>
    <x v="335"/>
    <s v="bake.sienna@outlook.com"/>
    <s v="Sienna"/>
    <s v="Liu"/>
    <s v="Ballarat"/>
    <x v="2"/>
  </r>
  <r>
    <x v="336"/>
    <s v="coastaljack@bigpond.com.au"/>
    <s v="Jack"/>
    <s v="Hussain"/>
    <s v="Central Coast"/>
    <x v="1"/>
  </r>
  <r>
    <x v="337"/>
    <s v="singh.leo@optusnet.com.au"/>
    <s v="Leo"/>
    <s v="Singh"/>
    <s v="Sunshine Coast"/>
    <x v="4"/>
  </r>
  <r>
    <x v="338"/>
    <s v="oliviaez@gmail.com"/>
    <s v="Olivia"/>
    <s v="Martinez"/>
    <s v="Sydney"/>
    <x v="1"/>
  </r>
  <r>
    <x v="339"/>
    <s v="grace_yoga@optusnet_com_au"/>
    <s v="Grace"/>
    <s v="Green"/>
    <s v="Shepparton"/>
    <x v="2"/>
  </r>
  <r>
    <x v="340"/>
    <s v="maxwild@live.au"/>
    <s v="Max"/>
    <s v="Murphy"/>
    <s v="Brisbane"/>
    <x v="4"/>
  </r>
  <r>
    <x v="341"/>
    <s v="bluecharlie@optusnet.com.au"/>
    <s v="Charlotte"/>
    <s v="Martin"/>
    <s v="Melbourne"/>
    <x v="2"/>
  </r>
  <r>
    <x v="342"/>
    <s v="kovac.jack@aol.com"/>
    <s v="Jack"/>
    <s v="Kovac"/>
    <s v="Sydney"/>
    <x v="1"/>
  </r>
  <r>
    <x v="343"/>
    <s v="anhloop@live.au"/>
    <s v="Anh"/>
    <s v="Kim"/>
    <s v="Hobart"/>
    <x v="6"/>
  </r>
  <r>
    <x v="344"/>
    <s v="freya.kim@live.au"/>
    <s v="Freya"/>
    <s v="Kim"/>
    <s v="Perth"/>
    <x v="3"/>
  </r>
  <r>
    <x v="345"/>
    <s v="arlo38@optusnet.com.au"/>
    <s v="Arlo"/>
    <s v="Collins"/>
    <s v="Melbourne"/>
    <x v="2"/>
  </r>
  <r>
    <x v="346"/>
    <s v="phoebewild@aol.com"/>
    <s v="Phoebe"/>
    <s v="Turner"/>
    <s v="Geelong"/>
    <x v="2"/>
  </r>
  <r>
    <x v="347"/>
    <s v="henry1988@microsoft.com"/>
    <s v="Henry"/>
    <s v="Nowak"/>
    <s v="Darwin"/>
    <x v="0"/>
  </r>
  <r>
    <x v="348"/>
    <s v="georgiamail@hotmail.com"/>
    <s v="Georgia"/>
    <s v="Georgiou"/>
    <s v="Wollongong"/>
    <x v="1"/>
  </r>
  <r>
    <x v="349"/>
    <s v="hassan2000@hotmail.com"/>
    <s v="Hassan"/>
    <s v="Ali"/>
    <s v="Mandurah"/>
    <x v="3"/>
  </r>
  <r>
    <x v="350"/>
    <s v="willowivanova@bigpond.com.au"/>
    <s v="Willow"/>
    <s v="Ivanova"/>
    <s v="Wollongong"/>
    <x v="1"/>
  </r>
  <r>
    <x v="351"/>
    <s v="willow79@live.au"/>
    <s v="Willow"/>
    <s v="Silva"/>
    <s v="Port Lincoln"/>
    <x v="5"/>
  </r>
  <r>
    <x v="352"/>
    <s v="willow.smith@gmail.com"/>
    <s v="Willow"/>
    <s v="Smith"/>
    <s v="Wollongong"/>
    <x v="1"/>
  </r>
  <r>
    <x v="353"/>
    <s v="ali.mia@aol.com"/>
    <s v="Mia"/>
    <s v="Ali"/>
    <s v="Toowoomba"/>
    <x v="4"/>
  </r>
  <r>
    <x v="354"/>
    <s v="henryhot@bigpond.com.au"/>
    <s v="Henry"/>
    <s v="Baker"/>
    <s v="Melbourne"/>
    <x v="2"/>
  </r>
  <r>
    <x v="355"/>
    <s v="ruby_162@hotmail.com"/>
    <s v="Ruby"/>
    <s v="Green"/>
    <s v="Melbourne"/>
    <x v="2"/>
  </r>
  <r>
    <x v="356"/>
    <s v="mileslate@hotmail.com"/>
    <s v="Miles"/>
    <s v="Park"/>
    <s v="Melbourne"/>
    <x v="2"/>
  </r>
  <r>
    <x v="357"/>
    <s v="bake.lucas@live.au"/>
    <s v="Lucas"/>
    <s v="Patel"/>
    <s v="Perth"/>
    <x v="3"/>
  </r>
  <r>
    <x v="358"/>
    <s v="noah7@outlook.com"/>
    <s v="Noah"/>
    <s v="Collins"/>
    <s v="Central Coast"/>
    <x v="1"/>
  </r>
  <r>
    <x v="359"/>
    <s v="alexanderearly@gmail.com"/>
    <s v="Aleks"/>
    <s v="Martin"/>
    <s v="Sydney"/>
    <x v="1"/>
  </r>
  <r>
    <x v="360"/>
    <s v="jsilva@microsoft.com"/>
    <s v="James"/>
    <s v="Silva"/>
    <s v="Torquay"/>
    <x v="2"/>
  </r>
  <r>
    <x v="361"/>
    <s v="z.harrison@live.au"/>
    <s v="Harrison"/>
    <s v="Zan"/>
    <s v="Byron Bay"/>
    <x v="1"/>
  </r>
  <r>
    <x v="362"/>
    <s v="masonpapadopoulos@optusnet.com.au"/>
    <s v="Mason"/>
    <s v="Kiriatidis"/>
    <s v="Victor Harbor"/>
    <x v="5"/>
  </r>
  <r>
    <x v="363"/>
    <s v="earlytom@aol.com"/>
    <s v="Thomas"/>
    <s v="Smith"/>
    <s v="Dubbo"/>
    <x v="1"/>
  </r>
  <r>
    <x v="364"/>
    <s v="cooper.conti@gmail.com"/>
    <s v="Cooper"/>
    <s v="Conti"/>
    <s v="Sydney"/>
    <x v="1"/>
  </r>
  <r>
    <x v="365"/>
    <s v="lunasilva@gmail.com"/>
    <s v="Luna"/>
    <s v="DeSilva"/>
    <s v="Dubbo"/>
    <x v="1"/>
  </r>
  <r>
    <x v="366"/>
    <s v="grace90@live.au"/>
    <s v="Grace"/>
    <s v="Bianchi"/>
    <s v="Launceston"/>
    <x v="6"/>
  </r>
  <r>
    <x v="367"/>
    <s v="noah.star@outlook.com"/>
    <s v="Noah"/>
    <s v="Turner"/>
    <s v="Dubbo"/>
    <x v="1"/>
  </r>
  <r>
    <x v="368"/>
    <s v="daniel.horvat@outlook.com"/>
    <s v="Daniel"/>
    <s v="Horvat"/>
    <s v="Geelong"/>
    <x v="2"/>
  </r>
  <r>
    <x v="369"/>
    <s v="gracenor@bigpond.com.au"/>
    <s v="Grace"/>
    <s v="Norton"/>
    <s v="Darwin"/>
    <x v="0"/>
  </r>
  <r>
    <x v="370"/>
    <s v="yuki.green@gmail.com"/>
    <s v="Yuki"/>
    <s v="Green"/>
    <s v="Bunbury"/>
    <x v="3"/>
  </r>
  <r>
    <x v="371"/>
    <s v="will_809@gmail.com"/>
    <s v="Will"/>
    <s v="Carter"/>
    <s v="Central Coast"/>
    <x v="1"/>
  </r>
  <r>
    <x v="372"/>
    <s v="lewis.noah@outlook.com"/>
    <s v="Noah"/>
    <s v="Fillip"/>
    <s v="Sydney"/>
    <x v="1"/>
  </r>
  <r>
    <x v="373"/>
    <s v="willowtaylor@microsoft.com"/>
    <s v="Moana"/>
    <s v="Tailor"/>
    <s v="Ballarat"/>
    <x v="2"/>
  </r>
  <r>
    <x v="374"/>
    <s v="travel.angus@bigpond.com.au"/>
    <s v="Angus"/>
    <s v="Kelly"/>
    <s v="Melbourne"/>
    <x v="2"/>
  </r>
  <r>
    <x v="375"/>
    <s v="olivia.footy@outlook.com"/>
    <s v="Olivia"/>
    <s v="Murphy"/>
    <s v="Sydney"/>
    <x v="1"/>
  </r>
  <r>
    <x v="376"/>
    <s v="wildolivia@bigpond.com.au"/>
    <s v="Olivia"/>
    <s v="Murphy"/>
    <s v="Mount Gambier"/>
    <x v="5"/>
  </r>
  <r>
    <x v="377"/>
    <s v="lucascollins@bigpond.com.au"/>
    <s v="Lilly"/>
    <s v="Collins"/>
    <s v="Perth"/>
    <x v="3"/>
  </r>
  <r>
    <x v="378"/>
    <s v="art.matilda@bigpond.com.au"/>
    <s v="Matilda"/>
    <s v="Rossi"/>
    <s v="Central Coast"/>
    <x v="1"/>
  </r>
  <r>
    <x v="379"/>
    <s v="scarlett2005@gmail.com"/>
    <s v="Scarlett"/>
    <s v="Brown"/>
    <s v="Byron Bay"/>
    <x v="1"/>
  </r>
  <r>
    <x v="380"/>
    <s v="green.ali@optusnet.com.au"/>
    <s v="Ali"/>
    <s v="Jones"/>
    <s v="Cairns"/>
    <x v="4"/>
  </r>
  <r>
    <x v="381"/>
    <s v="benjamin.conti@gmail.com"/>
    <s v="Benji"/>
    <s v="Carlson"/>
    <s v="Gold Coast"/>
    <x v="4"/>
  </r>
  <r>
    <x v="382"/>
    <s v="happyeloise@microsoft.com"/>
    <s v="Eloise"/>
    <s v="Collins"/>
    <s v="Brisbane"/>
    <x v="4"/>
  </r>
  <r>
    <x v="383"/>
    <s v="lcarter@optusnet.com.au"/>
    <s v="Leo"/>
    <s v="Carter"/>
    <s v="Devonport"/>
    <x v="6"/>
  </r>
  <r>
    <x v="384"/>
    <s v="evie.kim@aol.com"/>
    <s v="Evie"/>
    <s v="Kim"/>
    <s v="Byron Bay"/>
    <x v="1"/>
  </r>
  <r>
    <x v="385"/>
    <s v="happylayla@gmail.com"/>
    <s v="Layla"/>
    <s v="Johnson"/>
    <s v="Byron Bay"/>
    <x v="1"/>
  </r>
  <r>
    <x v="386"/>
    <s v="phoebe.tech@aol.com"/>
    <s v="Phoebe"/>
    <s v="Williams"/>
    <s v="Sale"/>
    <x v="2"/>
  </r>
  <r>
    <x v="387"/>
    <s v="morris.ananya@live.au"/>
    <s v="Ananya"/>
    <s v="Morris"/>
    <s v="Torquay"/>
    <x v="2"/>
  </r>
  <r>
    <x v="388"/>
    <s v="sebastian1992@bigpond.com.au"/>
    <s v="Sebastian"/>
    <s v="Parker"/>
    <s v="Sunshine Coast"/>
    <x v="4"/>
  </r>
  <r>
    <x v="389"/>
    <s v="yusuf.smith@bigpond.com.au"/>
    <s v="Raisah"/>
    <s v="Yusuf"/>
    <s v="Torquay"/>
    <x v="2"/>
  </r>
  <r>
    <x v="390"/>
    <s v="bodhihall@yahoo.com"/>
    <s v="Bodhi"/>
    <s v="Hall"/>
    <s v="Central Coast"/>
    <x v="1"/>
  </r>
  <r>
    <x v="391"/>
    <s v="tau.amelia@yahoo.com"/>
    <s v="Amelia"/>
    <s v="Tau"/>
    <s v="Bendigo"/>
    <x v="2"/>
  </r>
  <r>
    <x v="392"/>
    <s v="lhall@bigpond.com.au"/>
    <s v="Luna"/>
    <s v="Hall"/>
    <s v="Perth"/>
    <x v="3"/>
  </r>
  <r>
    <x v="393"/>
    <s v="riseandshine@optusnet.com.au"/>
    <s v="Charlotte"/>
    <s v="DeAngelo"/>
    <s v="Melbourne"/>
    <x v="2"/>
  </r>
  <r>
    <x v="394"/>
    <s v="ella28@aol.com"/>
    <s v="Florence"/>
    <s v="Wang"/>
    <s v="Central Coast"/>
    <x v="1"/>
  </r>
  <r>
    <x v="395"/>
    <s v="blueluca@gmail.com"/>
    <s v="Luca"/>
    <s v="Choi"/>
    <s v="Wollongong"/>
    <x v="1"/>
  </r>
  <r>
    <x v="396"/>
    <s v="homebrew.ana@outlook.com"/>
    <s v="Aviana"/>
    <s v="Chen"/>
    <s v="Central Coast"/>
    <x v="1"/>
  </r>
  <r>
    <x v="397"/>
    <s v="amelialate@bigpond.com.au"/>
    <s v="Amelia"/>
    <s v="Li"/>
    <s v="Melbourne"/>
    <x v="2"/>
  </r>
  <r>
    <x v="398"/>
    <s v="eloise63@gmail.com"/>
    <s v="Eloise"/>
    <s v="Walker"/>
    <s v="Sydney"/>
    <x v="1"/>
  </r>
  <r>
    <x v="399"/>
    <s v="mateo.mail@aol.com"/>
    <s v="Mateo"/>
    <s v="Pham"/>
    <s v="Perth"/>
    <x v="3"/>
  </r>
  <r>
    <x v="400"/>
    <s v="sadieeeeee@microsoft.com"/>
    <s v="Sadie"/>
    <s v="Aroha"/>
    <s v="Brisbane"/>
    <x v="4"/>
  </r>
  <r>
    <x v="401"/>
    <s v="supethan@microsoft.com"/>
    <s v="Ethan"/>
    <s v="DeLuca"/>
    <s v="Bunbury"/>
    <x v="3"/>
  </r>
  <r>
    <x v="402"/>
    <s v="ali20@live.au"/>
    <s v="Ali"/>
    <s v="Tanaka"/>
    <s v="Ballarat"/>
    <x v="2"/>
  </r>
  <r>
    <x v="403"/>
    <s v="music.thuy@bigpond.com.au"/>
    <s v="Thuy"/>
    <s v="Johnson"/>
    <s v="Ballarat"/>
    <x v="2"/>
  </r>
  <r>
    <x v="404"/>
    <s v="hamish.pereira@outlook.com"/>
    <s v="Hamish"/>
    <s v="Pereira"/>
    <s v="Geelong"/>
    <x v="2"/>
  </r>
  <r>
    <x v="405"/>
    <s v="sebastian_666@hotmail.com"/>
    <s v="Sebastian"/>
    <s v="Papadopoulos"/>
    <s v="Geelong"/>
    <x v="2"/>
  </r>
  <r>
    <x v="406"/>
    <s v="nowmail@hotmail.com"/>
    <s v="Wei"/>
    <s v="Nowak"/>
    <s v="Kalgoorlie"/>
    <x v="3"/>
  </r>
  <r>
    <x v="407"/>
    <s v="coastaldan@bigpond.com.au"/>
    <s v="Daniel"/>
    <s v="Jones"/>
    <s v="Canberra"/>
    <x v="7"/>
  </r>
  <r>
    <x v="408"/>
    <s v="turner.willow@aol.com"/>
    <s v="Willow"/>
    <s v="Trainor"/>
    <s v="Geelong"/>
    <x v="2"/>
  </r>
  <r>
    <x v="409"/>
    <s v="costa.scarlett@aol.com"/>
    <s v="Scarlett"/>
    <s v="Costas"/>
    <s v="Albany"/>
    <x v="3"/>
  </r>
  <r>
    <x v="410"/>
    <s v="horvat.charlie@microsoft.com"/>
    <s v="Charlotte"/>
    <s v="Horvat"/>
    <s v="Toowoomba"/>
    <x v="4"/>
  </r>
  <r>
    <x v="411"/>
    <s v="coastalomar@yahoo.com"/>
    <s v="Omar"/>
    <s v="Horvat"/>
    <s v="Geelong"/>
    <x v="2"/>
  </r>
  <r>
    <x v="412"/>
    <s v="kingofthecoop@microsoft.com"/>
    <s v="Cooper"/>
    <s v="King"/>
    <s v="Adelaide"/>
    <x v="5"/>
  </r>
  <r>
    <x v="413"/>
    <s v="avablue@hotmail.com"/>
    <s v="Ava"/>
    <s v="Ali"/>
    <s v="Central Coast"/>
    <x v="1"/>
  </r>
  <r>
    <x v="414"/>
    <s v="luna.coffee@bigpond.com.au"/>
    <s v="Luna"/>
    <s v="Williams"/>
    <s v="Adelaide"/>
    <x v="5"/>
  </r>
  <r>
    <x v="415"/>
    <s v="will93@outlook.com"/>
    <s v="Bill"/>
    <s v="Brown"/>
    <s v="Gold Coast"/>
    <x v="4"/>
  </r>
  <r>
    <x v="416"/>
    <s v="evieturner@gmail.com"/>
    <s v="Evie"/>
    <s v="Trader"/>
    <s v="Byron Bay"/>
    <x v="1"/>
  </r>
  <r>
    <x v="417"/>
    <s v="willowraven@outlook.com"/>
    <s v="Maia"/>
    <s v="Roberts"/>
    <s v="Melbourne"/>
    <x v="2"/>
  </r>
  <r>
    <x v="418"/>
    <s v="happyamelia@outlook.com"/>
    <s v="Amelia"/>
    <s v="Smith"/>
    <s v="Sale"/>
    <x v="2"/>
  </r>
  <r>
    <x v="419"/>
    <s v="avaurban@yahoo.com"/>
    <s v="Ava"/>
    <s v="Clark"/>
    <s v="Brisbane"/>
    <x v="4"/>
  </r>
  <r>
    <x v="420"/>
    <s v="alex1991@live.au"/>
    <s v="Alexander"/>
    <s v="White"/>
    <s v="Cairns"/>
    <x v="4"/>
  </r>
  <r>
    <x v="421"/>
    <s v="isla.coffee@microsoft.com"/>
    <s v="Isla"/>
    <s v="Aroha"/>
    <s v="Gold Coast"/>
    <x v="4"/>
  </r>
  <r>
    <x v="422"/>
    <s v="sharma.sophie@microsoft.com"/>
    <s v="Sophie"/>
    <s v="Sharma"/>
    <s v="Mount Gambier"/>
    <x v="5"/>
  </r>
  <r>
    <x v="423"/>
    <s v="william.horvat@gmail.com"/>
    <s v="William"/>
    <s v="Horvat"/>
    <s v="Newcastle"/>
    <x v="1"/>
  </r>
  <r>
    <x v="424"/>
    <s v="graceconti@gmail.com"/>
    <s v="Grace"/>
    <s v="Conti"/>
    <s v="Melbourne"/>
    <x v="2"/>
  </r>
  <r>
    <x v="425"/>
    <s v="white.willow@microsoft.com"/>
    <s v="Willow"/>
    <s v="White"/>
    <s v="Geelong"/>
    <x v="2"/>
  </r>
  <r>
    <x v="426"/>
    <s v="mcooper_20@microsoft.com"/>
    <s v="Cooper"/>
    <s v="Martin"/>
    <s v="Gold Coast"/>
    <x v="4"/>
  </r>
  <r>
    <x v="427"/>
    <s v="sophie1985@gmail.com"/>
    <s v="Sophie"/>
    <s v="Tardy"/>
    <s v="Melbourne"/>
    <x v="2"/>
  </r>
  <r>
    <x v="428"/>
    <s v="bonnie.roberts@bigpond.com.au"/>
    <s v="Bonnie"/>
    <s v="Roberts"/>
    <s v="Sydney"/>
    <x v="1"/>
  </r>
  <r>
    <x v="429"/>
    <s v="amelia.bake@aol.com"/>
    <s v="Amelia"/>
    <s v="Horvat"/>
    <s v="Perth"/>
    <x v="3"/>
  </r>
  <r>
    <x v="430"/>
    <s v="phoebeurban@hotmail.com"/>
    <s v="Phoebe"/>
    <s v="Silva"/>
    <s v="Brisbane"/>
    <x v="4"/>
  </r>
  <r>
    <x v="431"/>
    <s v="latewill@gmail.com"/>
    <s v="William"/>
    <s v="Brown"/>
    <s v="Sydney"/>
    <x v="1"/>
  </r>
  <r>
    <x v="432"/>
    <s v="cpereira@aol.com"/>
    <s v="Charlotte"/>
    <s v="Pereira"/>
    <s v="Perth"/>
    <x v="3"/>
  </r>
  <r>
    <x v="433"/>
    <s v="mgeorgiou@hotmail.com"/>
    <s v="Mia"/>
    <s v="Georgiou"/>
    <s v="Ballarat"/>
    <x v="2"/>
  </r>
  <r>
    <x v="434"/>
    <s v="isla_508@bigpond.com.au"/>
    <s v="Isla"/>
    <s v="Clarke"/>
    <s v="Newcastle"/>
    <x v="1"/>
  </r>
  <r>
    <x v="435"/>
    <s v="wilson.felix@gmail.com"/>
    <s v="Felix"/>
    <s v="Wilson"/>
    <s v="Victor Harbor"/>
    <x v="5"/>
  </r>
  <r>
    <x v="436"/>
    <s v="maisie_171@aol.com"/>
    <s v="Maisie"/>
    <s v="Kovac"/>
    <s v="Sale"/>
    <x v="2"/>
  </r>
  <r>
    <x v="437"/>
    <s v="ella92@hotmail.com"/>
    <s v="Ella"/>
    <s v="McGuinness"/>
    <s v="Kalgoorlie"/>
    <x v="3"/>
  </r>
  <r>
    <x v="438"/>
    <s v="wildolivia@aol.com"/>
    <s v="Olivia"/>
    <s v="Collins"/>
    <s v="Geraldton"/>
    <x v="3"/>
  </r>
  <r>
    <x v="439"/>
    <s v="wen1980@optusnet.com.au"/>
    <s v="Wen"/>
    <s v="Young"/>
    <s v="Wollongong"/>
    <x v="1"/>
  </r>
  <r>
    <x v="440"/>
    <s v="art.ella@bigpond.com.au"/>
    <s v="Ella"/>
    <s v="Nowak"/>
    <s v="Toowoomba"/>
    <x v="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1">
  <r>
    <x v="0"/>
    <n v="0"/>
    <n v="0"/>
  </r>
  <r>
    <x v="1"/>
    <n v="0"/>
    <n v="0"/>
  </r>
  <r>
    <x v="2"/>
    <n v="430.15"/>
    <n v="3"/>
  </r>
  <r>
    <x v="1"/>
    <n v="70.83"/>
    <n v="2"/>
  </r>
  <r>
    <x v="3"/>
    <n v="49.22"/>
    <n v="2"/>
  </r>
  <r>
    <x v="1"/>
    <n v="418.56999999999994"/>
    <n v="7"/>
  </r>
  <r>
    <x v="4"/>
    <n v="29.85"/>
    <n v="1"/>
  </r>
  <r>
    <x v="1"/>
    <n v="56.31"/>
    <n v="2"/>
  </r>
  <r>
    <x v="1"/>
    <n v="0"/>
    <n v="0"/>
  </r>
  <r>
    <x v="4"/>
    <n v="727.07999999999993"/>
    <n v="6"/>
  </r>
  <r>
    <x v="1"/>
    <n v="340.97"/>
    <n v="4"/>
  </r>
  <r>
    <x v="2"/>
    <n v="139.01999999999998"/>
    <n v="2"/>
  </r>
  <r>
    <x v="1"/>
    <n v="114.29"/>
    <n v="2"/>
  </r>
  <r>
    <x v="1"/>
    <n v="145.38"/>
    <n v="2"/>
  </r>
  <r>
    <x v="4"/>
    <n v="312.39"/>
    <n v="5"/>
  </r>
  <r>
    <x v="4"/>
    <n v="46.28"/>
    <n v="1"/>
  </r>
  <r>
    <x v="0"/>
    <n v="161.5"/>
    <n v="4"/>
  </r>
  <r>
    <x v="5"/>
    <n v="112.68"/>
    <n v="3"/>
  </r>
  <r>
    <x v="5"/>
    <n v="0"/>
    <n v="0"/>
  </r>
  <r>
    <x v="2"/>
    <n v="0"/>
    <n v="0"/>
  </r>
  <r>
    <x v="1"/>
    <n v="0"/>
    <n v="0"/>
  </r>
  <r>
    <x v="4"/>
    <n v="304.61"/>
    <n v="2"/>
  </r>
  <r>
    <x v="3"/>
    <n v="45.709999999999994"/>
    <n v="1"/>
  </r>
  <r>
    <x v="2"/>
    <n v="26.37"/>
    <n v="1"/>
  </r>
  <r>
    <x v="1"/>
    <n v="129.4"/>
    <n v="4"/>
  </r>
  <r>
    <x v="1"/>
    <n v="63.26"/>
    <n v="2"/>
  </r>
  <r>
    <x v="1"/>
    <n v="194.69"/>
    <n v="2"/>
  </r>
  <r>
    <x v="1"/>
    <n v="590.89"/>
    <n v="7"/>
  </r>
  <r>
    <x v="3"/>
    <n v="217.01"/>
    <n v="3"/>
  </r>
  <r>
    <x v="2"/>
    <n v="50.71"/>
    <n v="1"/>
  </r>
  <r>
    <x v="1"/>
    <n v="270.59999999999997"/>
    <n v="4"/>
  </r>
  <r>
    <x v="2"/>
    <n v="219.63"/>
    <n v="2"/>
  </r>
  <r>
    <x v="1"/>
    <n v="190.95000000000002"/>
    <n v="3"/>
  </r>
  <r>
    <x v="4"/>
    <n v="196.22"/>
    <n v="2"/>
  </r>
  <r>
    <x v="4"/>
    <n v="58.42"/>
    <n v="1"/>
  </r>
  <r>
    <x v="2"/>
    <n v="285.64"/>
    <n v="3"/>
  </r>
  <r>
    <x v="2"/>
    <n v="343.40999999999997"/>
    <n v="2"/>
  </r>
  <r>
    <x v="4"/>
    <n v="0"/>
    <n v="0"/>
  </r>
  <r>
    <x v="4"/>
    <n v="0"/>
    <n v="0"/>
  </r>
  <r>
    <x v="2"/>
    <n v="0"/>
    <n v="0"/>
  </r>
  <r>
    <x v="2"/>
    <n v="197.69000000000003"/>
    <n v="3"/>
  </r>
  <r>
    <x v="2"/>
    <n v="421.15000000000003"/>
    <n v="3"/>
  </r>
  <r>
    <x v="1"/>
    <n v="0"/>
    <n v="0"/>
  </r>
  <r>
    <x v="1"/>
    <n v="86.27"/>
    <n v="1"/>
  </r>
  <r>
    <x v="1"/>
    <n v="61.94"/>
    <n v="3"/>
  </r>
  <r>
    <x v="4"/>
    <n v="20.420000000000002"/>
    <n v="1"/>
  </r>
  <r>
    <x v="5"/>
    <n v="0"/>
    <n v="0"/>
  </r>
  <r>
    <x v="1"/>
    <n v="233.44"/>
    <n v="3"/>
  </r>
  <r>
    <x v="6"/>
    <n v="87.32"/>
    <n v="2"/>
  </r>
  <r>
    <x v="2"/>
    <n v="188.99"/>
    <n v="2"/>
  </r>
  <r>
    <x v="1"/>
    <n v="0"/>
    <n v="0"/>
  </r>
  <r>
    <x v="6"/>
    <n v="149.52000000000001"/>
    <n v="3"/>
  </r>
  <r>
    <x v="4"/>
    <n v="42.49"/>
    <n v="2"/>
  </r>
  <r>
    <x v="5"/>
    <n v="34.620000000000005"/>
    <n v="2"/>
  </r>
  <r>
    <x v="3"/>
    <n v="14.5"/>
    <n v="1"/>
  </r>
  <r>
    <x v="1"/>
    <n v="122.16"/>
    <n v="1"/>
  </r>
  <r>
    <x v="4"/>
    <n v="0"/>
    <n v="0"/>
  </r>
  <r>
    <x v="2"/>
    <n v="86.6"/>
    <n v="2"/>
  </r>
  <r>
    <x v="1"/>
    <n v="285.82000000000005"/>
    <n v="2"/>
  </r>
  <r>
    <x v="4"/>
    <n v="437.69"/>
    <n v="3"/>
  </r>
  <r>
    <x v="2"/>
    <n v="59.269999999999996"/>
    <n v="2"/>
  </r>
  <r>
    <x v="1"/>
    <n v="0"/>
    <n v="0"/>
  </r>
  <r>
    <x v="1"/>
    <n v="71.62"/>
    <n v="2"/>
  </r>
  <r>
    <x v="3"/>
    <n v="960.97"/>
    <n v="11"/>
  </r>
  <r>
    <x v="3"/>
    <n v="652.21"/>
    <n v="7"/>
  </r>
  <r>
    <x v="3"/>
    <n v="151.10000000000002"/>
    <n v="2"/>
  </r>
  <r>
    <x v="4"/>
    <n v="0"/>
    <n v="0"/>
  </r>
  <r>
    <x v="2"/>
    <n v="0"/>
    <n v="0"/>
  </r>
  <r>
    <x v="5"/>
    <n v="0"/>
    <n v="0"/>
  </r>
  <r>
    <x v="2"/>
    <n v="202.91"/>
    <n v="2"/>
  </r>
  <r>
    <x v="4"/>
    <n v="0"/>
    <n v="0"/>
  </r>
  <r>
    <x v="1"/>
    <n v="0"/>
    <n v="0"/>
  </r>
  <r>
    <x v="4"/>
    <n v="0"/>
    <n v="0"/>
  </r>
  <r>
    <x v="2"/>
    <n v="174.34"/>
    <n v="3"/>
  </r>
  <r>
    <x v="2"/>
    <n v="0"/>
    <n v="0"/>
  </r>
  <r>
    <x v="2"/>
    <n v="62.019999999999996"/>
    <n v="2"/>
  </r>
  <r>
    <x v="2"/>
    <n v="0"/>
    <n v="0"/>
  </r>
  <r>
    <x v="4"/>
    <n v="0"/>
    <n v="0"/>
  </r>
  <r>
    <x v="2"/>
    <n v="143.62"/>
    <n v="2"/>
  </r>
  <r>
    <x v="2"/>
    <n v="231.88"/>
    <n v="3"/>
  </r>
  <r>
    <x v="4"/>
    <n v="255.49"/>
    <n v="3"/>
  </r>
  <r>
    <x v="6"/>
    <n v="66.02"/>
    <n v="2"/>
  </r>
  <r>
    <x v="1"/>
    <n v="290.49"/>
    <n v="2"/>
  </r>
  <r>
    <x v="1"/>
    <n v="142.26"/>
    <n v="2"/>
  </r>
  <r>
    <x v="2"/>
    <n v="0"/>
    <n v="0"/>
  </r>
  <r>
    <x v="1"/>
    <n v="50.3"/>
    <n v="1"/>
  </r>
  <r>
    <x v="1"/>
    <n v="183.06"/>
    <n v="2"/>
  </r>
  <r>
    <x v="3"/>
    <n v="0"/>
    <n v="0"/>
  </r>
  <r>
    <x v="1"/>
    <n v="460.91999999999996"/>
    <n v="8"/>
  </r>
  <r>
    <x v="1"/>
    <n v="20.92"/>
    <n v="1"/>
  </r>
  <r>
    <x v="1"/>
    <n v="0"/>
    <n v="0"/>
  </r>
  <r>
    <x v="4"/>
    <n v="0"/>
    <n v="0"/>
  </r>
  <r>
    <x v="3"/>
    <n v="79.5"/>
    <n v="2"/>
  </r>
  <r>
    <x v="4"/>
    <n v="172.39"/>
    <n v="2"/>
  </r>
  <r>
    <x v="2"/>
    <n v="12.95"/>
    <n v="1"/>
  </r>
  <r>
    <x v="3"/>
    <n v="113.4"/>
    <n v="1"/>
  </r>
  <r>
    <x v="4"/>
    <n v="81.39"/>
    <n v="2"/>
  </r>
  <r>
    <x v="2"/>
    <n v="0"/>
    <n v="0"/>
  </r>
  <r>
    <x v="4"/>
    <n v="140.54"/>
    <n v="2"/>
  </r>
  <r>
    <x v="1"/>
    <n v="219.66000000000003"/>
    <n v="2"/>
  </r>
  <r>
    <x v="1"/>
    <n v="145.57"/>
    <n v="2"/>
  </r>
  <r>
    <x v="1"/>
    <n v="0"/>
    <n v="0"/>
  </r>
  <r>
    <x v="4"/>
    <n v="74.2"/>
    <n v="1"/>
  </r>
  <r>
    <x v="1"/>
    <n v="0"/>
    <n v="0"/>
  </r>
  <r>
    <x v="1"/>
    <n v="14.86"/>
    <n v="1"/>
  </r>
  <r>
    <x v="1"/>
    <n v="0"/>
    <n v="0"/>
  </r>
  <r>
    <x v="5"/>
    <n v="0"/>
    <n v="0"/>
  </r>
  <r>
    <x v="3"/>
    <n v="33.24"/>
    <n v="1"/>
  </r>
  <r>
    <x v="2"/>
    <n v="166.94"/>
    <n v="3"/>
  </r>
  <r>
    <x v="3"/>
    <n v="0"/>
    <n v="0"/>
  </r>
  <r>
    <x v="2"/>
    <n v="0"/>
    <n v="0"/>
  </r>
  <r>
    <x v="4"/>
    <n v="0"/>
    <n v="0"/>
  </r>
  <r>
    <x v="1"/>
    <n v="0"/>
    <n v="0"/>
  </r>
  <r>
    <x v="1"/>
    <n v="72.150000000000006"/>
    <n v="1"/>
  </r>
  <r>
    <x v="4"/>
    <n v="37.809999999999995"/>
    <n v="1"/>
  </r>
  <r>
    <x v="2"/>
    <n v="0"/>
    <n v="0"/>
  </r>
  <r>
    <x v="4"/>
    <n v="163.29"/>
    <n v="3"/>
  </r>
  <r>
    <x v="2"/>
    <n v="0"/>
    <n v="0"/>
  </r>
  <r>
    <x v="1"/>
    <n v="293.11"/>
    <n v="3"/>
  </r>
  <r>
    <x v="1"/>
    <n v="75.87"/>
    <n v="2"/>
  </r>
  <r>
    <x v="1"/>
    <n v="119.27"/>
    <n v="1"/>
  </r>
  <r>
    <x v="1"/>
    <n v="0"/>
    <n v="0"/>
  </r>
  <r>
    <x v="4"/>
    <n v="121.32999999999998"/>
    <n v="2"/>
  </r>
  <r>
    <x v="1"/>
    <n v="46.84"/>
    <n v="1"/>
  </r>
  <r>
    <x v="1"/>
    <n v="49.540000000000006"/>
    <n v="1"/>
  </r>
  <r>
    <x v="3"/>
    <n v="53.75"/>
    <n v="1"/>
  </r>
  <r>
    <x v="1"/>
    <n v="0"/>
    <n v="0"/>
  </r>
  <r>
    <x v="1"/>
    <n v="0"/>
    <n v="0"/>
  </r>
  <r>
    <x v="4"/>
    <n v="0"/>
    <n v="0"/>
  </r>
  <r>
    <x v="3"/>
    <n v="172.66"/>
    <n v="2"/>
  </r>
  <r>
    <x v="4"/>
    <n v="288.12"/>
    <n v="2"/>
  </r>
  <r>
    <x v="5"/>
    <n v="920.59000000000015"/>
    <n v="11"/>
  </r>
  <r>
    <x v="2"/>
    <n v="631.37"/>
    <n v="7"/>
  </r>
  <r>
    <x v="4"/>
    <n v="0"/>
    <n v="0"/>
  </r>
  <r>
    <x v="1"/>
    <n v="0"/>
    <n v="0"/>
  </r>
  <r>
    <x v="1"/>
    <n v="0"/>
    <n v="0"/>
  </r>
  <r>
    <x v="1"/>
    <n v="134.65"/>
    <n v="2"/>
  </r>
  <r>
    <x v="6"/>
    <n v="160.75"/>
    <n v="2"/>
  </r>
  <r>
    <x v="2"/>
    <n v="315.22000000000003"/>
    <n v="2"/>
  </r>
  <r>
    <x v="5"/>
    <n v="0"/>
    <n v="0"/>
  </r>
  <r>
    <x v="1"/>
    <n v="168.67000000000002"/>
    <n v="3"/>
  </r>
  <r>
    <x v="2"/>
    <n v="154.30000000000001"/>
    <n v="2"/>
  </r>
  <r>
    <x v="4"/>
    <n v="163.13"/>
    <n v="1"/>
  </r>
  <r>
    <x v="4"/>
    <n v="0"/>
    <n v="0"/>
  </r>
  <r>
    <x v="1"/>
    <n v="0"/>
    <n v="0"/>
  </r>
  <r>
    <x v="6"/>
    <n v="0"/>
    <n v="0"/>
  </r>
  <r>
    <x v="4"/>
    <n v="156.32999999999998"/>
    <n v="2"/>
  </r>
  <r>
    <x v="3"/>
    <n v="0"/>
    <n v="0"/>
  </r>
  <r>
    <x v="3"/>
    <n v="0"/>
    <n v="0"/>
  </r>
  <r>
    <x v="4"/>
    <n v="0"/>
    <n v="0"/>
  </r>
  <r>
    <x v="4"/>
    <n v="106.70000000000002"/>
    <n v="1"/>
  </r>
  <r>
    <x v="2"/>
    <n v="40.549999999999997"/>
    <n v="1"/>
  </r>
  <r>
    <x v="4"/>
    <n v="476.09000000000003"/>
    <n v="4"/>
  </r>
  <r>
    <x v="1"/>
    <n v="32.01"/>
    <n v="1"/>
  </r>
  <r>
    <x v="1"/>
    <n v="514.72"/>
    <n v="7"/>
  </r>
  <r>
    <x v="1"/>
    <n v="88.36"/>
    <n v="1"/>
  </r>
  <r>
    <x v="2"/>
    <n v="50.85"/>
    <n v="1"/>
  </r>
  <r>
    <x v="2"/>
    <n v="200.48"/>
    <n v="2"/>
  </r>
  <r>
    <x v="4"/>
    <n v="58.55"/>
    <n v="1"/>
  </r>
  <r>
    <x v="2"/>
    <n v="101.47999999999999"/>
    <n v="1"/>
  </r>
  <r>
    <x v="4"/>
    <n v="451.23999999999995"/>
    <n v="5"/>
  </r>
  <r>
    <x v="4"/>
    <n v="0"/>
    <n v="0"/>
  </r>
  <r>
    <x v="2"/>
    <n v="0"/>
    <n v="0"/>
  </r>
  <r>
    <x v="2"/>
    <n v="0"/>
    <n v="0"/>
  </r>
  <r>
    <x v="2"/>
    <n v="588.15"/>
    <n v="7"/>
  </r>
  <r>
    <x v="2"/>
    <n v="137.32"/>
    <n v="2"/>
  </r>
  <r>
    <x v="5"/>
    <n v="37.53"/>
    <n v="1"/>
  </r>
  <r>
    <x v="1"/>
    <n v="242.22000000000003"/>
    <n v="2"/>
  </r>
  <r>
    <x v="1"/>
    <n v="0"/>
    <n v="0"/>
  </r>
  <r>
    <x v="1"/>
    <n v="359.82999999999993"/>
    <n v="5"/>
  </r>
  <r>
    <x v="4"/>
    <n v="307.58000000000004"/>
    <n v="1"/>
  </r>
  <r>
    <x v="2"/>
    <n v="0"/>
    <n v="0"/>
  </r>
  <r>
    <x v="4"/>
    <n v="0"/>
    <n v="0"/>
  </r>
  <r>
    <x v="4"/>
    <n v="455.95"/>
    <n v="2"/>
  </r>
  <r>
    <x v="2"/>
    <n v="23.82"/>
    <n v="1"/>
  </r>
  <r>
    <x v="1"/>
    <n v="0"/>
    <n v="0"/>
  </r>
  <r>
    <x v="2"/>
    <n v="32.82"/>
    <n v="1"/>
  </r>
  <r>
    <x v="4"/>
    <n v="0"/>
    <n v="0"/>
  </r>
  <r>
    <x v="1"/>
    <n v="141.16"/>
    <n v="1"/>
  </r>
  <r>
    <x v="1"/>
    <n v="273.23"/>
    <n v="2"/>
  </r>
  <r>
    <x v="4"/>
    <n v="24.05"/>
    <n v="1"/>
  </r>
  <r>
    <x v="4"/>
    <n v="160.83000000000001"/>
    <n v="2"/>
  </r>
  <r>
    <x v="2"/>
    <n v="79.83"/>
    <n v="2"/>
  </r>
  <r>
    <x v="4"/>
    <n v="0"/>
    <n v="0"/>
  </r>
  <r>
    <x v="1"/>
    <n v="0"/>
    <n v="0"/>
  </r>
  <r>
    <x v="2"/>
    <n v="0"/>
    <n v="0"/>
  </r>
  <r>
    <x v="3"/>
    <n v="0"/>
    <n v="0"/>
  </r>
  <r>
    <x v="1"/>
    <n v="0"/>
    <n v="0"/>
  </r>
  <r>
    <x v="1"/>
    <n v="0"/>
    <n v="0"/>
  </r>
  <r>
    <x v="1"/>
    <n v="306.53000000000003"/>
    <n v="3"/>
  </r>
  <r>
    <x v="1"/>
    <n v="446.96999999999997"/>
    <n v="3"/>
  </r>
  <r>
    <x v="2"/>
    <n v="325.44000000000005"/>
    <n v="3"/>
  </r>
  <r>
    <x v="2"/>
    <n v="177.85"/>
    <n v="3"/>
  </r>
  <r>
    <x v="1"/>
    <n v="0"/>
    <n v="0"/>
  </r>
  <r>
    <x v="6"/>
    <n v="32.159999999999997"/>
    <n v="1"/>
  </r>
  <r>
    <x v="1"/>
    <n v="124.82000000000001"/>
    <n v="1"/>
  </r>
  <r>
    <x v="2"/>
    <n v="313.45999999999998"/>
    <n v="2"/>
  </r>
  <r>
    <x v="3"/>
    <n v="0"/>
    <n v="0"/>
  </r>
  <r>
    <x v="1"/>
    <n v="139.63999999999999"/>
    <n v="2"/>
  </r>
  <r>
    <x v="4"/>
    <n v="114.44"/>
    <n v="2"/>
  </r>
  <r>
    <x v="1"/>
    <n v="90.23"/>
    <n v="1"/>
  </r>
  <r>
    <x v="1"/>
    <n v="256.21000000000004"/>
    <n v="3"/>
  </r>
  <r>
    <x v="4"/>
    <n v="0"/>
    <n v="0"/>
  </r>
  <r>
    <x v="5"/>
    <n v="82.96"/>
    <n v="1"/>
  </r>
  <r>
    <x v="4"/>
    <n v="371.59000000000003"/>
    <n v="3"/>
  </r>
  <r>
    <x v="2"/>
    <n v="0"/>
    <n v="0"/>
  </r>
  <r>
    <x v="6"/>
    <n v="95.88000000000001"/>
    <n v="3"/>
  </r>
  <r>
    <x v="2"/>
    <n v="0"/>
    <n v="0"/>
  </r>
  <r>
    <x v="5"/>
    <n v="12.63"/>
    <n v="1"/>
  </r>
  <r>
    <x v="2"/>
    <n v="0"/>
    <n v="0"/>
  </r>
  <r>
    <x v="1"/>
    <n v="0"/>
    <n v="0"/>
  </r>
  <r>
    <x v="4"/>
    <n v="0"/>
    <n v="0"/>
  </r>
  <r>
    <x v="4"/>
    <n v="0"/>
    <n v="0"/>
  </r>
  <r>
    <x v="1"/>
    <n v="0"/>
    <n v="0"/>
  </r>
  <r>
    <x v="4"/>
    <n v="0"/>
    <n v="0"/>
  </r>
  <r>
    <x v="7"/>
    <n v="217.58"/>
    <n v="3"/>
  </r>
  <r>
    <x v="2"/>
    <n v="371.70000000000005"/>
    <n v="4"/>
  </r>
  <r>
    <x v="1"/>
    <n v="0"/>
    <n v="0"/>
  </r>
  <r>
    <x v="1"/>
    <n v="169.24"/>
    <n v="2"/>
  </r>
  <r>
    <x v="1"/>
    <n v="335.5"/>
    <n v="3"/>
  </r>
  <r>
    <x v="2"/>
    <n v="0"/>
    <n v="0"/>
  </r>
  <r>
    <x v="1"/>
    <n v="423.91999999999996"/>
    <n v="3"/>
  </r>
  <r>
    <x v="1"/>
    <n v="177.61"/>
    <n v="2"/>
  </r>
  <r>
    <x v="4"/>
    <n v="0"/>
    <n v="0"/>
  </r>
  <r>
    <x v="1"/>
    <n v="0"/>
    <n v="0"/>
  </r>
  <r>
    <x v="4"/>
    <n v="0"/>
    <n v="0"/>
  </r>
  <r>
    <x v="2"/>
    <n v="324.58"/>
    <n v="3"/>
  </r>
  <r>
    <x v="3"/>
    <n v="161.54"/>
    <n v="1"/>
  </r>
  <r>
    <x v="6"/>
    <n v="75.81"/>
    <n v="1"/>
  </r>
  <r>
    <x v="7"/>
    <n v="89.4"/>
    <n v="3"/>
  </r>
  <r>
    <x v="4"/>
    <n v="0"/>
    <n v="0"/>
  </r>
  <r>
    <x v="5"/>
    <n v="173.72"/>
    <n v="1"/>
  </r>
  <r>
    <x v="4"/>
    <n v="48.06"/>
    <n v="2"/>
  </r>
  <r>
    <x v="4"/>
    <n v="114.82000000000001"/>
    <n v="1"/>
  </r>
  <r>
    <x v="4"/>
    <n v="168.57999999999998"/>
    <n v="4"/>
  </r>
  <r>
    <x v="4"/>
    <n v="0"/>
    <n v="0"/>
  </r>
  <r>
    <x v="4"/>
    <n v="86.04"/>
    <n v="2"/>
  </r>
  <r>
    <x v="2"/>
    <n v="114.84"/>
    <n v="2"/>
  </r>
  <r>
    <x v="2"/>
    <n v="0"/>
    <n v="0"/>
  </r>
  <r>
    <x v="6"/>
    <n v="329.37"/>
    <n v="4"/>
  </r>
  <r>
    <x v="5"/>
    <n v="91.220000000000013"/>
    <n v="1"/>
  </r>
  <r>
    <x v="2"/>
    <n v="74.36"/>
    <n v="2"/>
  </r>
  <r>
    <x v="2"/>
    <n v="0"/>
    <n v="0"/>
  </r>
  <r>
    <x v="4"/>
    <n v="0"/>
    <n v="0"/>
  </r>
  <r>
    <x v="3"/>
    <n v="39.169999999999995"/>
    <n v="1"/>
  </r>
  <r>
    <x v="1"/>
    <n v="0"/>
    <n v="0"/>
  </r>
  <r>
    <x v="2"/>
    <n v="0"/>
    <n v="0"/>
  </r>
  <r>
    <x v="4"/>
    <n v="0"/>
    <n v="0"/>
  </r>
  <r>
    <x v="5"/>
    <n v="0"/>
    <n v="0"/>
  </r>
  <r>
    <x v="1"/>
    <n v="323.36"/>
    <n v="3"/>
  </r>
  <r>
    <x v="2"/>
    <n v="229.98000000000002"/>
    <n v="1"/>
  </r>
  <r>
    <x v="1"/>
    <n v="0"/>
    <n v="0"/>
  </r>
  <r>
    <x v="1"/>
    <n v="92.53"/>
    <n v="1"/>
  </r>
  <r>
    <x v="2"/>
    <n v="0"/>
    <n v="0"/>
  </r>
  <r>
    <x v="5"/>
    <n v="0"/>
    <n v="0"/>
  </r>
  <r>
    <x v="2"/>
    <n v="169.72000000000003"/>
    <n v="3"/>
  </r>
  <r>
    <x v="2"/>
    <n v="0"/>
    <n v="0"/>
  </r>
  <r>
    <x v="4"/>
    <n v="120.87"/>
    <n v="1"/>
  </r>
  <r>
    <x v="2"/>
    <n v="0"/>
    <n v="0"/>
  </r>
  <r>
    <x v="5"/>
    <n v="46.85"/>
    <n v="1"/>
  </r>
  <r>
    <x v="2"/>
    <n v="0"/>
    <n v="0"/>
  </r>
  <r>
    <x v="5"/>
    <n v="0"/>
    <n v="0"/>
  </r>
  <r>
    <x v="7"/>
    <n v="49.69"/>
    <n v="2"/>
  </r>
  <r>
    <x v="2"/>
    <n v="164.82"/>
    <n v="2"/>
  </r>
  <r>
    <x v="1"/>
    <n v="173.54999999999998"/>
    <n v="2"/>
  </r>
  <r>
    <x v="4"/>
    <n v="0"/>
    <n v="0"/>
  </r>
  <r>
    <x v="3"/>
    <n v="230.51000000000002"/>
    <n v="2"/>
  </r>
  <r>
    <x v="4"/>
    <n v="31.94"/>
    <n v="1"/>
  </r>
  <r>
    <x v="0"/>
    <n v="110.75"/>
    <n v="1"/>
  </r>
  <r>
    <x v="4"/>
    <n v="453.88000000000005"/>
    <n v="3"/>
  </r>
  <r>
    <x v="4"/>
    <n v="0"/>
    <n v="0"/>
  </r>
  <r>
    <x v="1"/>
    <n v="0"/>
    <n v="0"/>
  </r>
  <r>
    <x v="2"/>
    <n v="0"/>
    <n v="0"/>
  </r>
  <r>
    <x v="2"/>
    <n v="0"/>
    <n v="0"/>
  </r>
  <r>
    <x v="4"/>
    <n v="0"/>
    <n v="0"/>
  </r>
  <r>
    <x v="6"/>
    <n v="148.36000000000001"/>
    <n v="2"/>
  </r>
  <r>
    <x v="5"/>
    <n v="0"/>
    <n v="0"/>
  </r>
  <r>
    <x v="1"/>
    <n v="0"/>
    <n v="0"/>
  </r>
  <r>
    <x v="4"/>
    <n v="0"/>
    <n v="0"/>
  </r>
  <r>
    <x v="2"/>
    <n v="0"/>
    <n v="0"/>
  </r>
  <r>
    <x v="4"/>
    <n v="0"/>
    <n v="0"/>
  </r>
  <r>
    <x v="3"/>
    <n v="0"/>
    <n v="0"/>
  </r>
  <r>
    <x v="2"/>
    <n v="0"/>
    <n v="0"/>
  </r>
  <r>
    <x v="2"/>
    <n v="0"/>
    <n v="0"/>
  </r>
  <r>
    <x v="2"/>
    <n v="0"/>
    <n v="0"/>
  </r>
  <r>
    <x v="1"/>
    <n v="0"/>
    <n v="0"/>
  </r>
  <r>
    <x v="3"/>
    <n v="0"/>
    <n v="0"/>
  </r>
  <r>
    <x v="2"/>
    <n v="245.21000000000004"/>
    <n v="2"/>
  </r>
  <r>
    <x v="3"/>
    <n v="0"/>
    <n v="0"/>
  </r>
  <r>
    <x v="1"/>
    <n v="26.810000000000002"/>
    <n v="1"/>
  </r>
  <r>
    <x v="1"/>
    <n v="276.56"/>
    <n v="2"/>
  </r>
  <r>
    <x v="2"/>
    <n v="0"/>
    <n v="0"/>
  </r>
  <r>
    <x v="1"/>
    <n v="0"/>
    <n v="0"/>
  </r>
  <r>
    <x v="1"/>
    <n v="0"/>
    <n v="0"/>
  </r>
  <r>
    <x v="1"/>
    <n v="0"/>
    <n v="0"/>
  </r>
  <r>
    <x v="1"/>
    <n v="0"/>
    <n v="0"/>
  </r>
  <r>
    <x v="2"/>
    <n v="0"/>
    <n v="0"/>
  </r>
  <r>
    <x v="3"/>
    <n v="0"/>
    <n v="0"/>
  </r>
  <r>
    <x v="3"/>
    <n v="0"/>
    <n v="0"/>
  </r>
  <r>
    <x v="4"/>
    <n v="0"/>
    <n v="0"/>
  </r>
  <r>
    <x v="4"/>
    <n v="0"/>
    <n v="0"/>
  </r>
  <r>
    <x v="1"/>
    <n v="244.87"/>
    <n v="2"/>
  </r>
  <r>
    <x v="1"/>
    <n v="30.51"/>
    <n v="1"/>
  </r>
  <r>
    <x v="2"/>
    <n v="0"/>
    <n v="0"/>
  </r>
  <r>
    <x v="1"/>
    <n v="14.89"/>
    <n v="1"/>
  </r>
  <r>
    <x v="1"/>
    <n v="0"/>
    <n v="0"/>
  </r>
  <r>
    <x v="1"/>
    <n v="0"/>
    <n v="0"/>
  </r>
  <r>
    <x v="1"/>
    <n v="0"/>
    <n v="0"/>
  </r>
  <r>
    <x v="4"/>
    <n v="0"/>
    <n v="0"/>
  </r>
  <r>
    <x v="3"/>
    <n v="0"/>
    <n v="0"/>
  </r>
  <r>
    <x v="2"/>
    <n v="0"/>
    <n v="0"/>
  </r>
  <r>
    <x v="1"/>
    <n v="0"/>
    <n v="0"/>
  </r>
  <r>
    <x v="6"/>
    <n v="0"/>
    <n v="0"/>
  </r>
  <r>
    <x v="1"/>
    <n v="0"/>
    <n v="0"/>
  </r>
  <r>
    <x v="2"/>
    <n v="0"/>
    <n v="0"/>
  </r>
  <r>
    <x v="4"/>
    <n v="111.09"/>
    <n v="2"/>
  </r>
  <r>
    <x v="4"/>
    <n v="36.04"/>
    <n v="1"/>
  </r>
  <r>
    <x v="3"/>
    <n v="0"/>
    <n v="0"/>
  </r>
  <r>
    <x v="1"/>
    <n v="62.92"/>
    <n v="1"/>
  </r>
  <r>
    <x v="3"/>
    <n v="0"/>
    <n v="0"/>
  </r>
  <r>
    <x v="3"/>
    <n v="192.98999999999998"/>
    <n v="2"/>
  </r>
  <r>
    <x v="4"/>
    <n v="0"/>
    <n v="0"/>
  </r>
  <r>
    <x v="5"/>
    <n v="0"/>
    <n v="0"/>
  </r>
  <r>
    <x v="1"/>
    <n v="104.03"/>
    <n v="1"/>
  </r>
  <r>
    <x v="1"/>
    <n v="0"/>
    <n v="0"/>
  </r>
  <r>
    <x v="4"/>
    <n v="55.94"/>
    <n v="1"/>
  </r>
  <r>
    <x v="1"/>
    <n v="0"/>
    <n v="0"/>
  </r>
  <r>
    <x v="3"/>
    <n v="0"/>
    <n v="0"/>
  </r>
  <r>
    <x v="1"/>
    <n v="112.41000000000001"/>
    <n v="2"/>
  </r>
  <r>
    <x v="3"/>
    <n v="189.74"/>
    <n v="2"/>
  </r>
  <r>
    <x v="1"/>
    <n v="0"/>
    <n v="0"/>
  </r>
  <r>
    <x v="4"/>
    <n v="0"/>
    <n v="0"/>
  </r>
  <r>
    <x v="1"/>
    <n v="0"/>
    <n v="0"/>
  </r>
  <r>
    <x v="4"/>
    <n v="0"/>
    <n v="0"/>
  </r>
  <r>
    <x v="4"/>
    <n v="64.47"/>
    <n v="2"/>
  </r>
  <r>
    <x v="2"/>
    <n v="121.58000000000001"/>
    <n v="2"/>
  </r>
  <r>
    <x v="1"/>
    <n v="0"/>
    <n v="0"/>
  </r>
  <r>
    <x v="4"/>
    <n v="138.14999999999998"/>
    <n v="2"/>
  </r>
  <r>
    <x v="1"/>
    <n v="0"/>
    <n v="0"/>
  </r>
  <r>
    <x v="2"/>
    <n v="110.06"/>
    <n v="2"/>
  </r>
  <r>
    <x v="4"/>
    <n v="318.7"/>
    <n v="2"/>
  </r>
  <r>
    <x v="2"/>
    <n v="14.29"/>
    <n v="1"/>
  </r>
  <r>
    <x v="1"/>
    <n v="0"/>
    <n v="0"/>
  </r>
  <r>
    <x v="6"/>
    <n v="0"/>
    <n v="0"/>
  </r>
  <r>
    <x v="3"/>
    <n v="0"/>
    <n v="0"/>
  </r>
  <r>
    <x v="2"/>
    <n v="156.32000000000002"/>
    <n v="2"/>
  </r>
  <r>
    <x v="2"/>
    <n v="0"/>
    <n v="0"/>
  </r>
  <r>
    <x v="0"/>
    <n v="0"/>
    <n v="0"/>
  </r>
  <r>
    <x v="1"/>
    <n v="92.77"/>
    <n v="1"/>
  </r>
  <r>
    <x v="3"/>
    <n v="0"/>
    <n v="0"/>
  </r>
  <r>
    <x v="1"/>
    <n v="51.56"/>
    <n v="1"/>
  </r>
  <r>
    <x v="5"/>
    <n v="177.75"/>
    <n v="2"/>
  </r>
  <r>
    <x v="1"/>
    <n v="0"/>
    <n v="0"/>
  </r>
  <r>
    <x v="4"/>
    <n v="0"/>
    <n v="0"/>
  </r>
  <r>
    <x v="2"/>
    <n v="201.84"/>
    <n v="2"/>
  </r>
  <r>
    <x v="2"/>
    <n v="0"/>
    <n v="0"/>
  </r>
  <r>
    <x v="2"/>
    <n v="0"/>
    <n v="0"/>
  </r>
  <r>
    <x v="3"/>
    <n v="0"/>
    <n v="0"/>
  </r>
  <r>
    <x v="1"/>
    <n v="0"/>
    <n v="0"/>
  </r>
  <r>
    <x v="1"/>
    <n v="0"/>
    <n v="0"/>
  </r>
  <r>
    <x v="2"/>
    <n v="358.21000000000004"/>
    <n v="2"/>
  </r>
  <r>
    <x v="1"/>
    <n v="0"/>
    <n v="0"/>
  </r>
  <r>
    <x v="5"/>
    <n v="206.39"/>
    <n v="2"/>
  </r>
  <r>
    <x v="1"/>
    <n v="111.09"/>
    <n v="1"/>
  </r>
  <r>
    <x v="1"/>
    <n v="0"/>
    <n v="0"/>
  </r>
  <r>
    <x v="1"/>
    <n v="0"/>
    <n v="0"/>
  </r>
  <r>
    <x v="6"/>
    <n v="16.8"/>
    <n v="1"/>
  </r>
  <r>
    <x v="1"/>
    <n v="0"/>
    <n v="0"/>
  </r>
  <r>
    <x v="2"/>
    <n v="0"/>
    <n v="0"/>
  </r>
  <r>
    <x v="0"/>
    <n v="0"/>
    <n v="0"/>
  </r>
  <r>
    <x v="3"/>
    <n v="0"/>
    <n v="0"/>
  </r>
  <r>
    <x v="1"/>
    <n v="0"/>
    <n v="0"/>
  </r>
  <r>
    <x v="1"/>
    <n v="132.11000000000001"/>
    <n v="3"/>
  </r>
  <r>
    <x v="2"/>
    <n v="0"/>
    <n v="0"/>
  </r>
  <r>
    <x v="2"/>
    <n v="0"/>
    <n v="0"/>
  </r>
  <r>
    <x v="1"/>
    <n v="0"/>
    <n v="0"/>
  </r>
  <r>
    <x v="5"/>
    <n v="90.89"/>
    <n v="1"/>
  </r>
  <r>
    <x v="3"/>
    <n v="54.07"/>
    <n v="1"/>
  </r>
  <r>
    <x v="1"/>
    <n v="0"/>
    <n v="0"/>
  </r>
  <r>
    <x v="1"/>
    <n v="0"/>
    <n v="0"/>
  </r>
  <r>
    <x v="4"/>
    <n v="0"/>
    <n v="0"/>
  </r>
  <r>
    <x v="4"/>
    <n v="0"/>
    <n v="0"/>
  </r>
  <r>
    <x v="4"/>
    <n v="0"/>
    <n v="0"/>
  </r>
  <r>
    <x v="6"/>
    <n v="0"/>
    <n v="0"/>
  </r>
  <r>
    <x v="1"/>
    <n v="117.44"/>
    <n v="1"/>
  </r>
  <r>
    <x v="1"/>
    <n v="0"/>
    <n v="0"/>
  </r>
  <r>
    <x v="2"/>
    <n v="0"/>
    <n v="0"/>
  </r>
  <r>
    <x v="2"/>
    <n v="0"/>
    <n v="0"/>
  </r>
  <r>
    <x v="4"/>
    <n v="0"/>
    <n v="0"/>
  </r>
  <r>
    <x v="2"/>
    <n v="228.7"/>
    <n v="1"/>
  </r>
  <r>
    <x v="1"/>
    <n v="121.43"/>
    <n v="1"/>
  </r>
  <r>
    <x v="2"/>
    <n v="85.93"/>
    <n v="2"/>
  </r>
  <r>
    <x v="3"/>
    <n v="0"/>
    <n v="0"/>
  </r>
  <r>
    <x v="2"/>
    <n v="0"/>
    <n v="0"/>
  </r>
  <r>
    <x v="1"/>
    <n v="0"/>
    <n v="0"/>
  </r>
  <r>
    <x v="1"/>
    <n v="6.88"/>
    <n v="1"/>
  </r>
  <r>
    <x v="1"/>
    <n v="27.11"/>
    <n v="2"/>
  </r>
  <r>
    <x v="2"/>
    <n v="126.88"/>
    <n v="2"/>
  </r>
  <r>
    <x v="1"/>
    <n v="72.28"/>
    <n v="1"/>
  </r>
  <r>
    <x v="3"/>
    <n v="53.96"/>
    <n v="1"/>
  </r>
  <r>
    <x v="4"/>
    <n v="0"/>
    <n v="0"/>
  </r>
  <r>
    <x v="3"/>
    <n v="0"/>
    <n v="0"/>
  </r>
  <r>
    <x v="2"/>
    <n v="60.86"/>
    <n v="1"/>
  </r>
  <r>
    <x v="2"/>
    <n v="0"/>
    <n v="0"/>
  </r>
  <r>
    <x v="2"/>
    <n v="134.74"/>
    <n v="2"/>
  </r>
  <r>
    <x v="2"/>
    <n v="0"/>
    <n v="0"/>
  </r>
  <r>
    <x v="3"/>
    <n v="0"/>
    <n v="0"/>
  </r>
  <r>
    <x v="7"/>
    <n v="0"/>
    <n v="0"/>
  </r>
  <r>
    <x v="2"/>
    <n v="0"/>
    <n v="0"/>
  </r>
  <r>
    <x v="3"/>
    <n v="0"/>
    <n v="0"/>
  </r>
  <r>
    <x v="4"/>
    <n v="0"/>
    <n v="0"/>
  </r>
  <r>
    <x v="2"/>
    <n v="38.11"/>
    <n v="1"/>
  </r>
  <r>
    <x v="5"/>
    <n v="0"/>
    <n v="0"/>
  </r>
  <r>
    <x v="1"/>
    <n v="0"/>
    <n v="0"/>
  </r>
  <r>
    <x v="5"/>
    <n v="0"/>
    <n v="0"/>
  </r>
  <r>
    <x v="4"/>
    <n v="150.78"/>
    <n v="2"/>
  </r>
  <r>
    <x v="1"/>
    <n v="85.71"/>
    <n v="1"/>
  </r>
  <r>
    <x v="2"/>
    <n v="0"/>
    <n v="0"/>
  </r>
  <r>
    <x v="2"/>
    <n v="0"/>
    <n v="0"/>
  </r>
  <r>
    <x v="4"/>
    <n v="0"/>
    <n v="0"/>
  </r>
  <r>
    <x v="4"/>
    <n v="0"/>
    <n v="0"/>
  </r>
  <r>
    <x v="4"/>
    <n v="0"/>
    <n v="0"/>
  </r>
  <r>
    <x v="5"/>
    <n v="0"/>
    <n v="0"/>
  </r>
  <r>
    <x v="1"/>
    <n v="0"/>
    <n v="0"/>
  </r>
  <r>
    <x v="2"/>
    <n v="0"/>
    <n v="0"/>
  </r>
  <r>
    <x v="2"/>
    <n v="11.92"/>
    <n v="1"/>
  </r>
  <r>
    <x v="4"/>
    <n v="0"/>
    <n v="0"/>
  </r>
  <r>
    <x v="2"/>
    <n v="24.270000000000003"/>
    <n v="1"/>
  </r>
  <r>
    <x v="1"/>
    <n v="0"/>
    <n v="0"/>
  </r>
  <r>
    <x v="3"/>
    <n v="0"/>
    <n v="0"/>
  </r>
  <r>
    <x v="4"/>
    <n v="0"/>
    <n v="0"/>
  </r>
  <r>
    <x v="1"/>
    <n v="0"/>
    <n v="0"/>
  </r>
  <r>
    <x v="3"/>
    <n v="0"/>
    <n v="0"/>
  </r>
  <r>
    <x v="2"/>
    <n v="0"/>
    <n v="0"/>
  </r>
  <r>
    <x v="1"/>
    <n v="0"/>
    <n v="0"/>
  </r>
  <r>
    <x v="5"/>
    <n v="0"/>
    <n v="0"/>
  </r>
  <r>
    <x v="2"/>
    <n v="0"/>
    <n v="0"/>
  </r>
  <r>
    <x v="3"/>
    <n v="0"/>
    <n v="0"/>
  </r>
  <r>
    <x v="3"/>
    <n v="0"/>
    <n v="0"/>
  </r>
  <r>
    <x v="1"/>
    <n v="0"/>
    <n v="0"/>
  </r>
  <r>
    <x v="4"/>
    <n v="0"/>
    <n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8">
  <r>
    <x v="0"/>
    <s v="freya95@bigpond.com.au"/>
    <s v="Freya"/>
    <s v="Adams"/>
    <s v="Darwin"/>
    <x v="0"/>
    <n v="0"/>
    <n v="0"/>
    <x v="0"/>
  </r>
  <r>
    <x v="1"/>
    <s v="charliesat@bigpond.com.au"/>
    <s v="Charles"/>
    <s v="Sato"/>
    <s v="Central Coast"/>
    <x v="1"/>
    <n v="0"/>
    <n v="0"/>
    <x v="0"/>
  </r>
  <r>
    <x v="2"/>
    <s v="jack26@gmail.com"/>
    <s v="Jack"/>
    <s v="Petrov"/>
    <s v="Ballarat"/>
    <x v="2"/>
    <n v="430.15"/>
    <n v="3"/>
    <x v="1"/>
  </r>
  <r>
    <x v="3"/>
    <s v="footy.minh@live.au"/>
    <s v="Minh"/>
    <s v="Pham"/>
    <s v="Broken Hill"/>
    <x v="1"/>
    <n v="70.83"/>
    <n v="2"/>
    <x v="1"/>
  </r>
  <r>
    <x v="4"/>
    <s v="bianchi.aurora@outlook.com"/>
    <s v="Aurora"/>
    <s v="Bianchi"/>
    <s v="Kalgoorlie"/>
    <x v="3"/>
    <n v="49.22"/>
    <n v="2"/>
    <x v="1"/>
  </r>
  <r>
    <x v="5"/>
    <s v="noah.jameson@outlook.com"/>
    <s v="Noah"/>
    <s v="Jameson"/>
    <s v="Coffs Harbour"/>
    <x v="1"/>
    <n v="418.56999999999994"/>
    <n v="7"/>
    <x v="1"/>
  </r>
  <r>
    <x v="6"/>
    <s v="lucas1997@bigpond.com.au"/>
    <s v="Luca"/>
    <s v="Gomez"/>
    <s v="Townsville"/>
    <x v="4"/>
    <n v="29.85"/>
    <n v="1"/>
    <x v="0"/>
  </r>
  <r>
    <x v="7"/>
    <s v="tanaka.sienna@outlook.com"/>
    <s v="Sienna"/>
    <s v="Tanaka"/>
    <s v="Sydney"/>
    <x v="1"/>
    <n v="56.31"/>
    <n v="2"/>
    <x v="1"/>
  </r>
  <r>
    <x v="8"/>
    <s v="urbanedward@microsoft.com"/>
    <s v="Edward"/>
    <s v="Silver"/>
    <s v="Dubbo"/>
    <x v="1"/>
    <n v="0"/>
    <n v="0"/>
    <x v="0"/>
  </r>
  <r>
    <x v="9"/>
    <s v="turner.hiro@gmail.com"/>
    <s v="Hiro"/>
    <s v="Turner"/>
    <s v="Hervey Bay"/>
    <x v="4"/>
    <n v="727.07999999999993"/>
    <n v="6"/>
    <x v="1"/>
  </r>
  <r>
    <x v="10"/>
    <s v="lucas.deluca@outlook.com"/>
    <s v="Lindsay"/>
    <s v="DeLuca"/>
    <s v="Sydney"/>
    <x v="1"/>
    <n v="340.97"/>
    <n v="4"/>
    <x v="1"/>
  </r>
  <r>
    <x v="11"/>
    <s v="charliecharliecharlie@outlook.com"/>
    <s v="Charlotte"/>
    <s v="Walker"/>
    <s v="Bendigo"/>
    <x v="2"/>
    <n v="139.01999999999998"/>
    <n v="2"/>
    <x v="1"/>
  </r>
  <r>
    <x v="12"/>
    <s v="coffee.tom@gmail.com"/>
    <s v="Thomas"/>
    <s v="Ngata"/>
    <s v="Dubbo"/>
    <x v="1"/>
    <n v="114.29"/>
    <n v="2"/>
    <x v="1"/>
  </r>
  <r>
    <x v="13"/>
    <s v="latelucas@optusnet.com.au"/>
    <s v="Lucas"/>
    <s v="Faatua"/>
    <s v="Coffs Harbour"/>
    <x v="1"/>
    <n v="145.38"/>
    <n v="2"/>
    <x v="1"/>
  </r>
  <r>
    <x v="14"/>
    <s v="tom_684@microsoft.com"/>
    <s v="Thomas"/>
    <s v="Green"/>
    <s v="Brisbane"/>
    <x v="4"/>
    <n v="312.39"/>
    <n v="5"/>
    <x v="1"/>
  </r>
  <r>
    <x v="15"/>
    <s v="aaarav@gmail.com"/>
    <s v="Aarav"/>
    <s v="Costa"/>
    <s v="Cairns"/>
    <x v="4"/>
    <n v="46.28"/>
    <n v="1"/>
    <x v="0"/>
  </r>
  <r>
    <x v="16"/>
    <s v="redpoppy2574@aol.com"/>
    <s v="Poppy"/>
    <s v="Liu"/>
    <s v="Darwin"/>
    <x v="0"/>
    <n v="161.5"/>
    <n v="4"/>
    <x v="1"/>
  </r>
  <r>
    <x v="17"/>
    <s v="sophie83@gmail.com"/>
    <s v="Sophy"/>
    <s v="Ali"/>
    <s v="Port Lincoln"/>
    <x v="5"/>
    <n v="112.68"/>
    <n v="3"/>
    <x v="1"/>
  </r>
  <r>
    <x v="18"/>
    <s v="thuy.travel@live.au"/>
    <s v="Thuy"/>
    <s v="Anderson"/>
    <s v="Adelaide"/>
    <x v="5"/>
    <n v="0"/>
    <n v="0"/>
    <x v="0"/>
  </r>
  <r>
    <x v="19"/>
    <s v="wturner@microsoft.com"/>
    <s v="Willow"/>
    <s v="Turner"/>
    <s v="Geelong"/>
    <x v="2"/>
    <n v="0"/>
    <n v="0"/>
    <x v="0"/>
  </r>
  <r>
    <x v="20"/>
    <s v="luna.footy@hotmail.com"/>
    <s v="Luna"/>
    <s v="Lee"/>
    <s v="Coffs Harbour"/>
    <x v="1"/>
    <n v="0"/>
    <n v="0"/>
    <x v="0"/>
  </r>
  <r>
    <x v="21"/>
    <s v="oliver.liu@gmail.com"/>
    <s v="Oliver"/>
    <s v="Liu"/>
    <s v="Brisbane"/>
    <x v="4"/>
    <n v="304.61"/>
    <n v="2"/>
    <x v="1"/>
  </r>
  <r>
    <x v="22"/>
    <s v="matildaanderson@optusnet.com.au"/>
    <s v="Matilda"/>
    <s v="Anderson"/>
    <s v="Perth"/>
    <x v="3"/>
    <n v="45.709999999999994"/>
    <n v="1"/>
    <x v="0"/>
  </r>
  <r>
    <x v="23"/>
    <s v="anguswild@hotmail.com"/>
    <s v="Andie"/>
    <s v="Kitt"/>
    <s v="Melbourne"/>
    <x v="2"/>
    <n v="26.37"/>
    <n v="1"/>
    <x v="0"/>
  </r>
  <r>
    <x v="24"/>
    <s v="brown.ava@aol.com"/>
    <s v="Ava"/>
    <s v="Brown"/>
    <s v="Sydney"/>
    <x v="1"/>
    <n v="129.4"/>
    <n v="4"/>
    <x v="1"/>
  </r>
  <r>
    <x v="25"/>
    <s v="art.aurora@gmail.com"/>
    <s v="Anya"/>
    <s v="Kaur"/>
    <s v="Newcastle"/>
    <x v="1"/>
    <n v="63.26"/>
    <n v="2"/>
    <x v="1"/>
  </r>
  <r>
    <x v="26"/>
    <s v="mason.murphy@hotmail.com"/>
    <s v="Mason"/>
    <s v="Murphy"/>
    <s v="Byron Bay"/>
    <x v="1"/>
    <n v="194.69"/>
    <n v="2"/>
    <x v="1"/>
  </r>
  <r>
    <x v="27"/>
    <s v="zoerossi@yahoo.com"/>
    <s v="Zoe"/>
    <s v="Rossi"/>
    <s v="Sydney"/>
    <x v="1"/>
    <n v="590.89"/>
    <n v="7"/>
    <x v="1"/>
  </r>
  <r>
    <x v="28"/>
    <s v="pham.amelia@hotmail.com"/>
    <s v="Amelia"/>
    <s v="Pham"/>
    <s v="Bunbury"/>
    <x v="3"/>
    <n v="217.01"/>
    <n v="3"/>
    <x v="1"/>
  </r>
  <r>
    <x v="29"/>
    <s v="photo.amelia@gmail.com"/>
    <s v="Amelia"/>
    <s v="Wilson"/>
    <s v="Shepparton"/>
    <x v="2"/>
    <n v="50.71"/>
    <n v="1"/>
    <x v="0"/>
  </r>
  <r>
    <x v="30"/>
    <s v="leebrrown@optusnet.com.au"/>
    <s v="Lee"/>
    <s v="Brown"/>
    <s v="Sydney"/>
    <x v="1"/>
    <n v="270.59999999999997"/>
    <n v="4"/>
    <x v="1"/>
  </r>
  <r>
    <x v="31"/>
    <s v="ekhan@yahoo.com"/>
    <s v="Edward"/>
    <s v="Khan"/>
    <s v="Melbourne"/>
    <x v="2"/>
    <n v="219.63"/>
    <n v="2"/>
    <x v="1"/>
  </r>
  <r>
    <x v="32"/>
    <s v="luiswild@gmail.com"/>
    <s v="Luis"/>
    <s v="Clerk"/>
    <s v="Wagga Wagga"/>
    <x v="1"/>
    <n v="190.95000000000002"/>
    <n v="3"/>
    <x v="1"/>
  </r>
  <r>
    <x v="33"/>
    <s v="sadie_153@microsoft.com"/>
    <s v="Sadie"/>
    <s v="Chen"/>
    <s v="Rockhampton"/>
    <x v="4"/>
    <n v="196.22"/>
    <n v="2"/>
    <x v="1"/>
  </r>
  <r>
    <x v="34"/>
    <s v="parks.sandy@gmail.com"/>
    <s v="Sandy"/>
    <s v="Parks"/>
    <s v="Brisbane"/>
    <x v="4"/>
    <n v="58.42"/>
    <n v="1"/>
    <x v="0"/>
  </r>
  <r>
    <x v="35"/>
    <s v="carls@outlook.com"/>
    <s v="Carl"/>
    <s v="Stewart"/>
    <s v="Ballarat"/>
    <x v="2"/>
    <n v="285.64"/>
    <n v="3"/>
    <x v="1"/>
  </r>
  <r>
    <x v="36"/>
    <s v="sienna_825@live.au"/>
    <s v="Emma"/>
    <s v="Papadopoulos"/>
    <s v="Warrnambool"/>
    <x v="2"/>
    <n v="343.40999999999997"/>
    <n v="2"/>
    <x v="1"/>
  </r>
  <r>
    <x v="37"/>
    <s v="grace_748@hotmail.com"/>
    <s v="Grace"/>
    <s v="Liu"/>
    <s v="Brisbane"/>
    <x v="4"/>
    <n v="0"/>
    <n v="0"/>
    <x v="0"/>
  </r>
  <r>
    <x v="38"/>
    <s v="ethan.turner@live.au"/>
    <s v="Ethan"/>
    <s v="Turner"/>
    <s v="Rockhampton"/>
    <x v="4"/>
    <n v="0"/>
    <n v="0"/>
    <x v="0"/>
  </r>
  <r>
    <x v="39"/>
    <s v="smurphy@aol.com"/>
    <s v="Scarlett"/>
    <s v="Murphy"/>
    <s v="Sale"/>
    <x v="2"/>
    <n v="0"/>
    <n v="0"/>
    <x v="0"/>
  </r>
  <r>
    <x v="40"/>
    <s v="cooper.rossi@gmail.com"/>
    <s v="Cooper"/>
    <s v="Rossi"/>
    <s v="Sale"/>
    <x v="2"/>
    <n v="197.69000000000003"/>
    <n v="3"/>
    <x v="1"/>
  </r>
  <r>
    <x v="41"/>
    <s v="tui.liam@bigpond.com.au"/>
    <s v="Liam"/>
    <s v="Toot"/>
    <s v="Shepparton"/>
    <x v="2"/>
    <n v="421.15000000000003"/>
    <n v="3"/>
    <x v="1"/>
  </r>
  <r>
    <x v="42"/>
    <s v="rileyking@yahoo.com"/>
    <s v="Riley"/>
    <s v="King"/>
    <s v="Central Coast"/>
    <x v="1"/>
    <n v="0"/>
    <n v="0"/>
    <x v="0"/>
  </r>
  <r>
    <x v="43"/>
    <s v="stella.golf@yahoo.com"/>
    <s v="Stella"/>
    <s v="Chen"/>
    <s v="Coffs Harbour"/>
    <x v="1"/>
    <n v="86.27"/>
    <n v="1"/>
    <x v="0"/>
  </r>
  <r>
    <x v="44"/>
    <s v="music.tom@live.au"/>
    <s v="Thomas"/>
    <s v="Green"/>
    <s v="Byron Bay"/>
    <x v="1"/>
    <n v="61.94"/>
    <n v="3"/>
    <x v="1"/>
  </r>
  <r>
    <x v="45"/>
    <s v="fatimasato@aol.com"/>
    <s v="Fatima"/>
    <s v="Sade"/>
    <s v="Brisbane"/>
    <x v="4"/>
    <n v="20.420000000000002"/>
    <n v="1"/>
    <x v="0"/>
  </r>
  <r>
    <x v="46"/>
    <s v="tsato@yahoo.com"/>
    <s v="Thomas"/>
    <s v="Sato"/>
    <s v="Adelaide"/>
    <x v="5"/>
    <n v="0"/>
    <n v="0"/>
    <x v="0"/>
  </r>
  <r>
    <x v="47"/>
    <s v="bike.leo@outlook.com"/>
    <s v="Leo"/>
    <s v="Ali"/>
    <s v="Sydney"/>
    <x v="1"/>
    <n v="233.44"/>
    <n v="3"/>
    <x v="1"/>
  </r>
  <r>
    <x v="48"/>
    <s v="oscar.footy@gmail.com"/>
    <s v="Oscar"/>
    <s v="Adams"/>
    <s v="Devonport"/>
    <x v="6"/>
    <n v="87.32"/>
    <n v="2"/>
    <x v="1"/>
  </r>
  <r>
    <x v="49"/>
    <s v="aarav2006@live.au"/>
    <s v="Ali"/>
    <s v="Zhang"/>
    <s v="Sale"/>
    <x v="2"/>
    <n v="188.99"/>
    <n v="2"/>
    <x v="1"/>
  </r>
  <r>
    <x v="50"/>
    <s v="blueleo@bigpond.com.au"/>
    <s v="Leo"/>
    <s v="Tomson"/>
    <s v="Central Coast"/>
    <x v="1"/>
    <n v="0"/>
    <n v="0"/>
    <x v="0"/>
  </r>
  <r>
    <x v="51"/>
    <s v="manucosta@outlook.com"/>
    <s v="Manni"/>
    <s v="Costa"/>
    <s v="Cradle Mountain"/>
    <x v="6"/>
    <n v="149.52000000000001"/>
    <n v="3"/>
    <x v="1"/>
  </r>
  <r>
    <x v="52"/>
    <s v="darcy1995@yahoo.com"/>
    <s v="Darcy"/>
    <s v="Liu"/>
    <s v="Brisbane"/>
    <x v="4"/>
    <n v="42.49"/>
    <n v="2"/>
    <x v="1"/>
  </r>
  <r>
    <x v="53"/>
    <s v="finnivanov@hotmail.com"/>
    <s v="Finn"/>
    <s v="Ivanov"/>
    <s v="Victor Harbor"/>
    <x v="5"/>
    <n v="34.620000000000005"/>
    <n v="2"/>
    <x v="1"/>
  </r>
  <r>
    <x v="54"/>
    <s v="martin.jack@hotmail.com"/>
    <s v="Jack"/>
    <s v="Martin"/>
    <s v="Geraldton"/>
    <x v="3"/>
    <n v="14.5"/>
    <n v="1"/>
    <x v="0"/>
  </r>
  <r>
    <x v="55"/>
    <s v="george.walker@yahoo.com"/>
    <s v="George"/>
    <s v="Walker"/>
    <s v="Dubbo"/>
    <x v="1"/>
    <n v="122.16"/>
    <n v="1"/>
    <x v="0"/>
  </r>
  <r>
    <x v="56"/>
    <s v="oliver.martin@gmail.com"/>
    <s v="Oliver"/>
    <s v="Martin"/>
    <s v="Brisbane"/>
    <x v="4"/>
    <n v="0"/>
    <n v="0"/>
    <x v="0"/>
  </r>
  <r>
    <x v="57"/>
    <s v="earlylucas@outlook.com"/>
    <s v="Lucas"/>
    <s v="Kim"/>
    <s v="Geelong"/>
    <x v="2"/>
    <n v="86.6"/>
    <n v="2"/>
    <x v="1"/>
  </r>
  <r>
    <x v="58"/>
    <s v="alex.bake@microsoft.com"/>
    <s v="Alexander"/>
    <s v="Kelly"/>
    <s v="Wollongong"/>
    <x v="1"/>
    <n v="285.82000000000005"/>
    <n v="2"/>
    <x v="1"/>
  </r>
  <r>
    <x v="59"/>
    <s v="maria1990@bigpond.com.au"/>
    <s v="Maria"/>
    <s v="Smith"/>
    <s v="Townsville"/>
    <x v="4"/>
    <n v="437.69"/>
    <n v="3"/>
    <x v="1"/>
  </r>
  <r>
    <x v="60"/>
    <s v="dan2003@bigpond.com.au"/>
    <s v="Daniel"/>
    <s v="Collins"/>
    <s v="Melbourne"/>
    <x v="2"/>
    <n v="59.269999999999996"/>
    <n v="2"/>
    <x v="1"/>
  </r>
  <r>
    <x v="61"/>
    <s v="bcarter@gmail.com"/>
    <s v="Bonnie"/>
    <s v="Jameson"/>
    <s v="Sydney"/>
    <x v="1"/>
    <n v="0"/>
    <n v="0"/>
    <x v="0"/>
  </r>
  <r>
    <x v="62"/>
    <s v="sunita.park@live.au"/>
    <s v="Sunita"/>
    <s v="Park"/>
    <s v="Sydney"/>
    <x v="1"/>
    <n v="71.62"/>
    <n v="2"/>
    <x v="1"/>
  </r>
  <r>
    <x v="63"/>
    <s v="bake.harper@bigpond.com.au"/>
    <s v="Harper"/>
    <s v="Turner"/>
    <s v="Perth"/>
    <x v="3"/>
    <n v="960.97"/>
    <n v="11"/>
    <x v="1"/>
  </r>
  <r>
    <x v="64"/>
    <s v="grace.art@gmail.com"/>
    <s v="Gina"/>
    <s v="Queen"/>
    <s v="Kalgoorlie"/>
    <x v="3"/>
    <n v="652.21"/>
    <n v="7"/>
    <x v="1"/>
  </r>
  <r>
    <x v="65"/>
    <s v="coastalleilani@yahoo.com"/>
    <s v="Leilani"/>
    <s v="Kowalski"/>
    <s v="Albany"/>
    <x v="3"/>
    <n v="151.10000000000002"/>
    <n v="2"/>
    <x v="1"/>
  </r>
  <r>
    <x v="66"/>
    <s v="olivertran@microsoft.com"/>
    <s v="Oliver"/>
    <s v="Tran"/>
    <s v="Toowoomba"/>
    <x v="4"/>
    <n v="0"/>
    <n v="0"/>
    <x v="0"/>
  </r>
  <r>
    <x v="67"/>
    <s v="harper_166@gmail.com"/>
    <s v="Harper"/>
    <s v="Smith"/>
    <s v="Melbourne"/>
    <x v="2"/>
    <n v="0"/>
    <n v="0"/>
    <x v="0"/>
  </r>
  <r>
    <x v="68"/>
    <s v="lateliam@aol.com"/>
    <s v="Liam"/>
    <s v="Murphy"/>
    <s v="Adelaide"/>
    <x v="5"/>
    <n v="0"/>
    <n v="0"/>
    <x v="0"/>
  </r>
  <r>
    <x v="69"/>
    <s v="walker.alex@yahoo.com"/>
    <s v="Alexander"/>
    <s v="Walker"/>
    <s v="Melbourne"/>
    <x v="2"/>
    <n v="202.91"/>
    <n v="2"/>
    <x v="1"/>
  </r>
  <r>
    <x v="70"/>
    <s v="johnson.archie@optusnet.com.au"/>
    <s v="Archie"/>
    <s v="Johnson"/>
    <s v="Cairns"/>
    <x v="4"/>
    <n v="0"/>
    <n v="0"/>
    <x v="0"/>
  </r>
  <r>
    <x v="71"/>
    <s v="avawild@hotmail.com"/>
    <s v="Ava"/>
    <s v="Taylor"/>
    <s v="Sydney"/>
    <x v="1"/>
    <n v="0"/>
    <n v="0"/>
    <x v="0"/>
  </r>
  <r>
    <x v="72"/>
    <s v="graceearly@bigpond.com.au"/>
    <s v="Grant"/>
    <s v="Walker"/>
    <s v="Hervey Bay"/>
    <x v="4"/>
    <n v="0"/>
    <n v="0"/>
    <x v="0"/>
  </r>
  <r>
    <x v="73"/>
    <s v="costa.zoe@gmail.com"/>
    <s v="Zoe"/>
    <s v="Costa"/>
    <s v="Mildura"/>
    <x v="2"/>
    <n v="174.34"/>
    <n v="3"/>
    <x v="1"/>
  </r>
  <r>
    <x v="74"/>
    <s v="georgia.kaur@bigpond.com.au"/>
    <s v="Georgia"/>
    <s v="Kaur"/>
    <s v="Mildura"/>
    <x v="2"/>
    <n v="0"/>
    <n v="0"/>
    <x v="0"/>
  </r>
  <r>
    <x v="75"/>
    <s v="zoe96@gmail.com"/>
    <s v="Flo"/>
    <s v="Turner"/>
    <s v="Melbourne"/>
    <x v="2"/>
    <n v="62.019999999999996"/>
    <n v="2"/>
    <x v="1"/>
  </r>
  <r>
    <x v="76"/>
    <s v="samuel1981@optusnet.com.au"/>
    <s v="Samuel"/>
    <s v="Kowalski"/>
    <s v="Torquay"/>
    <x v="2"/>
    <n v="0"/>
    <n v="0"/>
    <x v="0"/>
  </r>
  <r>
    <x v="77"/>
    <s v="freyacoastal@live.au"/>
    <s v="Freya"/>
    <s v="Kelly"/>
    <s v="Gold Coast"/>
    <x v="4"/>
    <n v="0"/>
    <n v="0"/>
    <x v="0"/>
  </r>
  <r>
    <x v="78"/>
    <s v="ruby49@gmail.com"/>
    <s v="Ruby"/>
    <s v="Murphy"/>
    <s v="Ballarat"/>
    <x v="2"/>
    <n v="143.62"/>
    <n v="2"/>
    <x v="1"/>
  </r>
  <r>
    <x v="79"/>
    <s v="henry.sato@microsoft.com"/>
    <s v="Henry"/>
    <s v="Sato"/>
    <s v="Melbourne"/>
    <x v="2"/>
    <n v="231.88"/>
    <n v="3"/>
    <x v="1"/>
  </r>
  <r>
    <x v="80"/>
    <s v="tthompson@yahoo.com"/>
    <s v="Thomas"/>
    <s v="Thompson"/>
    <s v="Toowoomba"/>
    <x v="4"/>
    <n v="255.49"/>
    <n v="3"/>
    <x v="1"/>
  </r>
  <r>
    <x v="81"/>
    <s v="charlie30@bigpond.com.au"/>
    <s v="Charlotte"/>
    <s v="Williams"/>
    <s v="Hobart"/>
    <x v="6"/>
    <n v="66.02"/>
    <n v="2"/>
    <x v="1"/>
  </r>
  <r>
    <x v="82"/>
    <s v="matilda5@gmail.com"/>
    <s v="Matilda"/>
    <s v="Martin"/>
    <s v="Dubbo"/>
    <x v="1"/>
    <n v="290.49"/>
    <n v="2"/>
    <x v="1"/>
  </r>
  <r>
    <x v="83"/>
    <s v="ejohnson@live.au"/>
    <s v="Elena"/>
    <s v="Johnson"/>
    <s v="Coffs Harbour"/>
    <x v="1"/>
    <n v="142.26"/>
    <n v="2"/>
    <x v="1"/>
  </r>
  <r>
    <x v="84"/>
    <s v="aloha.alex@aol.com"/>
    <s v="Alexander"/>
    <s v="Aroha"/>
    <s v="Melbourne"/>
    <x v="2"/>
    <n v="0"/>
    <n v="0"/>
    <x v="0"/>
  </r>
  <r>
    <x v="85"/>
    <s v="sienna.golf@optusnet.com.au"/>
    <s v="Sienna"/>
    <s v="Parker"/>
    <s v="Sydney"/>
    <x v="1"/>
    <n v="50.3"/>
    <n v="1"/>
    <x v="0"/>
  </r>
  <r>
    <x v="86"/>
    <s v="photo.chloe@yahoo.com"/>
    <s v="Chloe"/>
    <s v="Johnson"/>
    <s v="Sydney"/>
    <x v="1"/>
    <n v="183.06"/>
    <n v="2"/>
    <x v="1"/>
  </r>
  <r>
    <x v="87"/>
    <s v="hall.isaac@gmail.com"/>
    <s v="Isaac"/>
    <s v="Hall"/>
    <s v="Mandurah"/>
    <x v="3"/>
    <n v="0"/>
    <n v="0"/>
    <x v="0"/>
  </r>
  <r>
    <x v="88"/>
    <s v="chloehussain@yahoo.com"/>
    <s v="Chloe"/>
    <s v="Varotsis"/>
    <s v="Newcastle"/>
    <x v="1"/>
    <n v="460.91999999999996"/>
    <n v="8"/>
    <x v="1"/>
  </r>
  <r>
    <x v="89"/>
    <s v="smith.emily@optusnet.com.au"/>
    <s v="Emily"/>
    <s v="Smith"/>
    <s v="Sydney"/>
    <x v="1"/>
    <n v="20.92"/>
    <n v="1"/>
    <x v="0"/>
  </r>
  <r>
    <x v="90"/>
    <s v="noah.taylor@microsoft.com"/>
    <s v="Noah"/>
    <s v="Taylor"/>
    <s v="Newcastle"/>
    <x v="1"/>
    <n v="0"/>
    <n v="0"/>
    <x v="0"/>
  </r>
  <r>
    <x v="91"/>
    <s v="samuel.roo@outlook.com"/>
    <s v="Samuel"/>
    <s v="Roberts"/>
    <s v="Cairns"/>
    <x v="4"/>
    <n v="0"/>
    <n v="0"/>
    <x v="0"/>
  </r>
  <r>
    <x v="92"/>
    <s v="charliepark@gmail.com"/>
    <s v="Charlie"/>
    <s v="Park"/>
    <s v="Perth"/>
    <x v="3"/>
    <n v="79.5"/>
    <n v="2"/>
    <x v="1"/>
  </r>
  <r>
    <x v="93"/>
    <s v="coastalalex@gmail.com"/>
    <s v="Alexander"/>
    <s v="Khan"/>
    <s v="Gold Coast"/>
    <x v="4"/>
    <n v="172.39"/>
    <n v="2"/>
    <x v="1"/>
  </r>
  <r>
    <x v="94"/>
    <s v="violet.surf@optusnet.com.au"/>
    <s v="Violet"/>
    <s v="Johnson"/>
    <s v="Ballarat"/>
    <x v="2"/>
    <n v="12.95"/>
    <n v="1"/>
    <x v="0"/>
  </r>
  <r>
    <x v="95"/>
    <s v="marco62@live.au"/>
    <s v="Marco"/>
    <s v="Silva"/>
    <s v="Perth"/>
    <x v="3"/>
    <n v="113.4"/>
    <n v="1"/>
    <x v="0"/>
  </r>
  <r>
    <x v="96"/>
    <s v="tui.chloe@gmail.com"/>
    <s v="Chloe"/>
    <s v="Tui"/>
    <s v="Rockhampton"/>
    <x v="4"/>
    <n v="81.39"/>
    <n v="2"/>
    <x v="1"/>
  </r>
  <r>
    <x v="97"/>
    <s v="mamma.mia@aol.com"/>
    <s v="Mia"/>
    <s v="Hall"/>
    <s v="Ballarat"/>
    <x v="2"/>
    <n v="0"/>
    <n v="0"/>
    <x v="0"/>
  </r>
  <r>
    <x v="98"/>
    <s v="georgiaking@bigpond.com.au"/>
    <s v="Georgia"/>
    <s v="King"/>
    <s v="Townsville"/>
    <x v="4"/>
    <n v="140.54"/>
    <n v="2"/>
    <x v="1"/>
  </r>
  <r>
    <x v="99"/>
    <s v="edward1991@hotmail.com"/>
    <s v="Edward"/>
    <s v="Roberts"/>
    <s v="Sydney"/>
    <x v="1"/>
    <n v="219.66000000000003"/>
    <n v="2"/>
    <x v="1"/>
  </r>
  <r>
    <x v="100"/>
    <s v="ethan.photo@gmail.com"/>
    <s v="Ethan"/>
    <s v="Tui"/>
    <s v="Coffs Harbour"/>
    <x v="1"/>
    <n v="145.57"/>
    <n v="2"/>
    <x v="1"/>
  </r>
  <r>
    <x v="101"/>
    <s v="lateaisha@gmail.com"/>
    <s v="Aisha"/>
    <s v="Tau"/>
    <s v="Newcastle"/>
    <x v="1"/>
    <n v="0"/>
    <n v="0"/>
    <x v="0"/>
  </r>
  <r>
    <x v="102"/>
    <s v="antisalwaysearly@gmail.com"/>
    <s v="Ant"/>
    <s v="Smith"/>
    <s v="Brisbane"/>
    <x v="4"/>
    <n v="74.2"/>
    <n v="1"/>
    <x v="0"/>
  </r>
  <r>
    <x v="103"/>
    <s v="thomaswild@gmail.com"/>
    <s v="Thomas"/>
    <s v="Williams"/>
    <s v="Newcastle"/>
    <x v="1"/>
    <n v="0"/>
    <n v="0"/>
    <x v="0"/>
  </r>
  <r>
    <x v="104"/>
    <s v="sunnywillows@hotmail.com"/>
    <s v="Willow"/>
    <s v="Green"/>
    <s v="Newcastle"/>
    <x v="1"/>
    <n v="14.86"/>
    <n v="1"/>
    <x v="0"/>
  </r>
  <r>
    <x v="105"/>
    <s v="hudson7@gmail.com"/>
    <s v="Hudson"/>
    <s v="Smith"/>
    <s v="Newcastle"/>
    <x v="1"/>
    <n v="0"/>
    <n v="0"/>
    <x v="0"/>
  </r>
  <r>
    <x v="106"/>
    <s v="alexander.pham@yahoo.com"/>
    <s v="Alexander"/>
    <s v="Pham"/>
    <s v="Adelaide"/>
    <x v="5"/>
    <n v="0"/>
    <n v="0"/>
    <x v="0"/>
  </r>
  <r>
    <x v="107"/>
    <s v="l.fitzpatrick@gmail.com"/>
    <s v="Leo"/>
    <s v="Fitzpatrick"/>
    <s v="Karratha"/>
    <x v="3"/>
    <n v="33.24"/>
    <n v="1"/>
    <x v="0"/>
  </r>
  <r>
    <x v="108"/>
    <s v="runbonnyrun@microsoft.com"/>
    <s v="Bonny"/>
    <s v="Chen"/>
    <s v="Melbourne"/>
    <x v="2"/>
    <n v="166.94"/>
    <n v="3"/>
    <x v="1"/>
  </r>
  <r>
    <x v="109"/>
    <s v="yuki69@gmail.com"/>
    <s v="Yuki"/>
    <s v="Parker"/>
    <s v="Broome"/>
    <x v="3"/>
    <n v="0"/>
    <n v="0"/>
    <x v="0"/>
  </r>
  <r>
    <x v="110"/>
    <s v="star.noah@aol.com"/>
    <s v="Noah"/>
    <s v="Smith"/>
    <s v="Shepparton"/>
    <x v="2"/>
    <n v="0"/>
    <n v="0"/>
    <x v="0"/>
  </r>
  <r>
    <x v="111"/>
    <s v="eloisego@microsoft.com"/>
    <s v="Eloise"/>
    <s v="Georgiou"/>
    <s v="Hervey Bay"/>
    <x v="4"/>
    <n v="0"/>
    <n v="0"/>
    <x v="0"/>
  </r>
  <r>
    <x v="112"/>
    <s v="sonava@outlook.com"/>
    <s v="Ava"/>
    <s v="Brown"/>
    <s v="Wagga Wagga"/>
    <x v="1"/>
    <n v="0"/>
    <n v="0"/>
    <x v="0"/>
  </r>
  <r>
    <x v="113"/>
    <s v="lewis.giulia@outlook.com"/>
    <s v="Giulia"/>
    <s v="Lewis"/>
    <s v="Central Coast"/>
    <x v="1"/>
    <n v="72.150000000000006"/>
    <n v="1"/>
    <x v="0"/>
  </r>
  <r>
    <x v="114"/>
    <s v="chall@microsoft.com"/>
    <s v="Charlie"/>
    <s v="Hall"/>
    <s v="Gold Coast"/>
    <x v="4"/>
    <n v="37.809999999999995"/>
    <n v="1"/>
    <x v="0"/>
  </r>
  <r>
    <x v="115"/>
    <s v="ruby.carter@aol.com"/>
    <s v="Ruby"/>
    <s v="Carter"/>
    <s v="Sale"/>
    <x v="2"/>
    <n v="0"/>
    <n v="0"/>
    <x v="0"/>
  </r>
  <r>
    <x v="116"/>
    <s v="chloe30@gmail.com"/>
    <s v="Carla"/>
    <s v="Turner"/>
    <s v="Brisbane"/>
    <x v="4"/>
    <n v="163.29"/>
    <n v="3"/>
    <x v="1"/>
  </r>
  <r>
    <x v="117"/>
    <s v="ella.wang@outlook.com"/>
    <s v="Ellie"/>
    <s v="Wang"/>
    <s v="Torquay"/>
    <x v="2"/>
    <n v="0"/>
    <n v="0"/>
    <x v="0"/>
  </r>
  <r>
    <x v="118"/>
    <s v="parkingviolets@bigpond.com.au"/>
    <s v="Violet"/>
    <s v="Parker"/>
    <s v="Sydney"/>
    <x v="1"/>
    <n v="293.11"/>
    <n v="3"/>
    <x v="1"/>
  </r>
  <r>
    <x v="119"/>
    <s v="willnovak@optusnet.com.au"/>
    <s v="Wilhelm"/>
    <s v="Novak"/>
    <s v="Sydney"/>
    <x v="1"/>
    <n v="75.87"/>
    <n v="2"/>
    <x v="1"/>
  </r>
  <r>
    <x v="120"/>
    <s v="lucas.hall@gmail.com"/>
    <s v="Lucas"/>
    <s v="Hall"/>
    <s v="Central Coast"/>
    <x v="1"/>
    <n v="119.27"/>
    <n v="1"/>
    <x v="0"/>
  </r>
  <r>
    <x v="121"/>
    <s v="benlewis@optusnet.com.au"/>
    <s v="Benjamin"/>
    <s v="Lewis"/>
    <s v="Wollongong"/>
    <x v="1"/>
    <n v="0"/>
    <n v="0"/>
    <x v="0"/>
  </r>
  <r>
    <x v="122"/>
    <s v="willthompson@outlook.com"/>
    <s v="William"/>
    <s v="Thompson"/>
    <s v="Mount Isa"/>
    <x v="4"/>
    <n v="121.32999999999998"/>
    <n v="2"/>
    <x v="1"/>
  </r>
  <r>
    <x v="123"/>
    <s v="isla.run@gmail.com"/>
    <s v="Isla"/>
    <s v="Conti"/>
    <s v="Central Coast"/>
    <x v="1"/>
    <n v="46.84"/>
    <n v="1"/>
    <x v="0"/>
  </r>
  <r>
    <x v="124"/>
    <s v="nadams@microsoft.com"/>
    <s v="Noah"/>
    <s v="Adams"/>
    <s v="Broken Hill"/>
    <x v="1"/>
    <n v="49.540000000000006"/>
    <n v="1"/>
    <x v="0"/>
  </r>
  <r>
    <x v="125"/>
    <s v="miablue@bigpond.com.au"/>
    <s v="Mia"/>
    <s v="King"/>
    <s v="Bunbury"/>
    <x v="3"/>
    <n v="53.75"/>
    <n v="1"/>
    <x v="0"/>
  </r>
  <r>
    <x v="126"/>
    <s v="emurphy@hotmail.com"/>
    <s v="Emily"/>
    <s v="Murphy"/>
    <s v="Central Coast"/>
    <x v="1"/>
    <n v="0"/>
    <n v="0"/>
    <x v="0"/>
  </r>
  <r>
    <x v="127"/>
    <s v="violet58@outlook.com"/>
    <s v="Violet"/>
    <s v="Green"/>
    <s v="Sydney"/>
    <x v="1"/>
    <n v="0"/>
    <n v="0"/>
    <x v="0"/>
  </r>
  <r>
    <x v="128"/>
    <s v="amelia.king@microsoft.com"/>
    <s v="Amelia"/>
    <s v="King"/>
    <s v="Brisbane"/>
    <x v="4"/>
    <n v="0"/>
    <n v="0"/>
    <x v="0"/>
  </r>
  <r>
    <x v="129"/>
    <s v="charlie.r.t@hotmail.com"/>
    <s v="Charlie"/>
    <s v="Turner"/>
    <s v="Geraldton"/>
    <x v="3"/>
    <n v="172.66"/>
    <n v="2"/>
    <x v="1"/>
  </r>
  <r>
    <x v="130"/>
    <s v="tech.wen@live.au"/>
    <s v="Wen"/>
    <s v="Baker"/>
    <s v="Hervey Bay"/>
    <x v="4"/>
    <n v="288.12"/>
    <n v="2"/>
    <x v="1"/>
  </r>
  <r>
    <x v="131"/>
    <s v="lachlachlan@optusnet.com.au"/>
    <s v="Lachlan"/>
    <s v="Brown"/>
    <s v="Adelaide"/>
    <x v="5"/>
    <n v="920.59000000000015"/>
    <n v="11"/>
    <x v="1"/>
  </r>
  <r>
    <x v="132"/>
    <s v="jack.bake@optusnet.com.au"/>
    <s v="Jack"/>
    <s v="Khan"/>
    <s v="Torquay"/>
    <x v="2"/>
    <n v="631.37"/>
    <n v="7"/>
    <x v="1"/>
  </r>
  <r>
    <x v="133"/>
    <s v="bonnie2000@aol.com"/>
    <s v="Bonnie"/>
    <s v="Hall"/>
    <s v="Gold Coast"/>
    <x v="4"/>
    <n v="0"/>
    <n v="0"/>
    <x v="0"/>
  </r>
  <r>
    <x v="134"/>
    <s v="rubycoastal@gmail.com"/>
    <s v="Ruby"/>
    <s v="Park"/>
    <s v="Coffs Harbour"/>
    <x v="1"/>
    <n v="0"/>
    <n v="0"/>
    <x v="0"/>
  </r>
  <r>
    <x v="135"/>
    <s v="ella_317@live.au"/>
    <s v="Ella"/>
    <s v="Wang"/>
    <s v="Sydney"/>
    <x v="1"/>
    <n v="0"/>
    <n v="0"/>
    <x v="0"/>
  </r>
  <r>
    <x v="136"/>
    <s v="ameliacarter@yahoo.com"/>
    <s v="Amelia"/>
    <s v="Carter"/>
    <s v="Sydney"/>
    <x v="1"/>
    <n v="134.65"/>
    <n v="2"/>
    <x v="1"/>
  </r>
  <r>
    <x v="137"/>
    <s v="henrycarter@accenture.com"/>
    <s v="Henry"/>
    <s v="Carter"/>
    <s v="Launceston"/>
    <x v="6"/>
    <n v="160.75"/>
    <n v="2"/>
    <x v="1"/>
  </r>
  <r>
    <x v="138"/>
    <s v="kiran_126@bigpond.com.au"/>
    <s v="Kiran"/>
    <s v="Patel"/>
    <s v="Bendigo"/>
    <x v="2"/>
    <n v="315.22000000000003"/>
    <n v="2"/>
    <x v="1"/>
  </r>
  <r>
    <x v="139"/>
    <s v="cooper.tech@gmail.com"/>
    <s v="Cooper"/>
    <s v="Martin"/>
    <s v="Adelaide"/>
    <x v="5"/>
    <n v="0"/>
    <n v="0"/>
    <x v="0"/>
  </r>
  <r>
    <x v="140"/>
    <s v="coastalwill@bigpond.com.au"/>
    <s v="Will"/>
    <s v="Stewart"/>
    <s v="Newcastle"/>
    <x v="1"/>
    <n v="168.67000000000002"/>
    <n v="3"/>
    <x v="1"/>
  </r>
  <r>
    <x v="141"/>
    <s v="lgreen@hotmail.com"/>
    <s v="Linh"/>
    <s v="Green"/>
    <s v="Shepparton"/>
    <x v="2"/>
    <n v="154.30000000000001"/>
    <n v="2"/>
    <x v="1"/>
  </r>
  <r>
    <x v="142"/>
    <s v="petrov.miles@outlook.com"/>
    <s v="Miles"/>
    <s v="Petrovna"/>
    <s v="Townsville"/>
    <x v="4"/>
    <n v="163.13"/>
    <n v="1"/>
    <x v="0"/>
  </r>
  <r>
    <x v="143"/>
    <s v="roberts.liam@hotmail.com"/>
    <s v="Liam"/>
    <s v="Roberts"/>
    <s v="Brisbane"/>
    <x v="4"/>
    <n v="0"/>
    <n v="0"/>
    <x v="0"/>
  </r>
  <r>
    <x v="144"/>
    <s v="sophie2000@live.au"/>
    <s v="Sophia"/>
    <s v="Bianchi"/>
    <s v="Sydney"/>
    <x v="1"/>
    <n v="0"/>
    <n v="0"/>
    <x v="0"/>
  </r>
  <r>
    <x v="145"/>
    <s v="mhorvat@gmail.com"/>
    <s v="Miles"/>
    <s v="Horvat"/>
    <s v="Burnie"/>
    <x v="6"/>
    <n v="0"/>
    <n v="0"/>
    <x v="0"/>
  </r>
  <r>
    <x v="146"/>
    <s v="pereira.will@bigpond.com.au"/>
    <s v="William"/>
    <s v="Pereira"/>
    <s v="Cairns"/>
    <x v="4"/>
    <n v="156.32999999999998"/>
    <n v="2"/>
    <x v="1"/>
  </r>
  <r>
    <x v="147"/>
    <s v="sadieearly@optusnet.com.au"/>
    <s v="Sadie"/>
    <s v="Ali"/>
    <s v="Bunbury"/>
    <x v="3"/>
    <n v="0"/>
    <n v="0"/>
    <x v="0"/>
  </r>
  <r>
    <x v="148"/>
    <s v="arlo.taylor@yahoo.com"/>
    <s v="Arlo"/>
    <s v="Taylor"/>
    <s v="Geraldton"/>
    <x v="3"/>
    <n v="0"/>
    <n v="0"/>
    <x v="0"/>
  </r>
  <r>
    <x v="149"/>
    <s v="anguspetrov@aol.com"/>
    <s v="Angus"/>
    <s v="Petrov"/>
    <s v="Cairns"/>
    <x v="4"/>
    <n v="0"/>
    <n v="0"/>
    <x v="0"/>
  </r>
  <r>
    <x v="150"/>
    <s v="ravikelly@aol.com"/>
    <s v="Ravi"/>
    <s v="Kelly"/>
    <s v="Sunshine Coast"/>
    <x v="4"/>
    <n v="106.70000000000002"/>
    <n v="1"/>
    <x v="0"/>
  </r>
  <r>
    <x v="151"/>
    <s v="golf.patrick@bigpond.com.au"/>
    <s v="Patrick"/>
    <s v="Rossi"/>
    <s v="Melbourne"/>
    <x v="2"/>
    <n v="40.549999999999997"/>
    <n v="1"/>
    <x v="0"/>
  </r>
  <r>
    <x v="152"/>
    <s v="urbanharrison@gmail.com"/>
    <s v="Harrison"/>
    <s v="Ivanov"/>
    <s v="Rockhampton"/>
    <x v="4"/>
    <n v="476.09000000000003"/>
    <n v="4"/>
    <x v="1"/>
  </r>
  <r>
    <x v="153"/>
    <s v="adams.isla@gmail.com"/>
    <s v="Isla"/>
    <s v="Adams"/>
    <s v="Sydney"/>
    <x v="1"/>
    <n v="32.01"/>
    <n v="1"/>
    <x v="0"/>
  </r>
  <r>
    <x v="154"/>
    <s v="coastaltom@gmail.com"/>
    <s v="Thomas"/>
    <s v="Taylor"/>
    <s v="Sydney"/>
    <x v="1"/>
    <n v="514.72"/>
    <n v="7"/>
    <x v="1"/>
  </r>
  <r>
    <x v="155"/>
    <s v="zoe_415@yahoo.com"/>
    <s v="Zoe"/>
    <s v="Clark"/>
    <s v="Newcastle"/>
    <x v="1"/>
    <n v="88.36"/>
    <n v="1"/>
    <x v="0"/>
  </r>
  <r>
    <x v="156"/>
    <s v="jack.art@hotmail.com"/>
    <s v="Jack"/>
    <s v="Anderson"/>
    <s v="Melbourne"/>
    <x v="2"/>
    <n v="50.85"/>
    <n v="1"/>
    <x v="0"/>
  </r>
  <r>
    <x v="157"/>
    <s v="wilson.aly@optusnet.com.au"/>
    <s v="Alyssa"/>
    <s v="Wilson"/>
    <s v="Shepparton"/>
    <x v="2"/>
    <n v="200.48"/>
    <n v="2"/>
    <x v="1"/>
  </r>
  <r>
    <x v="158"/>
    <s v="walkarron@aol.com"/>
    <s v="Arron"/>
    <s v="Walker"/>
    <s v="Townsville"/>
    <x v="4"/>
    <n v="58.55"/>
    <n v="1"/>
    <x v="0"/>
  </r>
  <r>
    <x v="159"/>
    <s v="mia_635@live.au"/>
    <s v="Mia"/>
    <s v="Parker"/>
    <s v="Ballarat"/>
    <x v="2"/>
    <n v="101.47999999999999"/>
    <n v="1"/>
    <x v="0"/>
  </r>
  <r>
    <x v="160"/>
    <s v="sophie_843@gmail.com"/>
    <s v="Sophie"/>
    <s v="Baker"/>
    <s v="Brisbane"/>
    <x v="4"/>
    <n v="451.23999999999995"/>
    <n v="5"/>
    <x v="1"/>
  </r>
  <r>
    <x v="161"/>
    <s v="travel.lachlan@gmail.com"/>
    <s v="Lachlan"/>
    <s v="Costa"/>
    <s v="Rockhampton"/>
    <x v="4"/>
    <n v="0"/>
    <n v="0"/>
    <x v="0"/>
  </r>
  <r>
    <x v="162"/>
    <s v="ayoung@bigpond.com.au"/>
    <s v="Arthur"/>
    <s v="Young"/>
    <s v="Melbourne"/>
    <x v="2"/>
    <n v="0"/>
    <n v="0"/>
    <x v="0"/>
  </r>
  <r>
    <x v="163"/>
    <s v="earlyli@bigpond.com.au"/>
    <s v="Li"/>
    <s v="Parker"/>
    <s v="Bendigo"/>
    <x v="2"/>
    <n v="0"/>
    <n v="0"/>
    <x v="0"/>
  </r>
  <r>
    <x v="164"/>
    <s v="travel.olivia@gmail.com"/>
    <s v="Olivia"/>
    <s v="Taylor"/>
    <s v="Shepparton"/>
    <x v="2"/>
    <n v="588.15"/>
    <n v="7"/>
    <x v="1"/>
  </r>
  <r>
    <x v="165"/>
    <s v="benjamin.adams@live.au"/>
    <s v="Benjamin"/>
    <s v="Adams"/>
    <s v="Melbourne"/>
    <x v="2"/>
    <n v="137.32"/>
    <n v="2"/>
    <x v="1"/>
  </r>
  <r>
    <x v="166"/>
    <s v="rjohnson@gmail.com"/>
    <s v="Ruby"/>
    <s v="Johnson"/>
    <s v="Adelaide"/>
    <x v="5"/>
    <n v="37.53"/>
    <n v="1"/>
    <x v="0"/>
  </r>
  <r>
    <x v="167"/>
    <s v="james88@aol.com"/>
    <s v="James"/>
    <s v="Clark"/>
    <s v="Broken Hill"/>
    <x v="1"/>
    <n v="242.22000000000003"/>
    <n v="2"/>
    <x v="1"/>
  </r>
  <r>
    <x v="168"/>
    <s v="andy-on-a-bike@gmail.com"/>
    <s v="Andy"/>
    <s v="White"/>
    <s v="Sydney"/>
    <x v="1"/>
    <n v="0"/>
    <n v="0"/>
    <x v="0"/>
  </r>
  <r>
    <x v="169"/>
    <s v="hussain.carlos@outlook.com"/>
    <s v="Carlos"/>
    <s v="Hussain"/>
    <s v="Byron Bay"/>
    <x v="1"/>
    <n v="359.82999999999993"/>
    <n v="5"/>
    <x v="1"/>
  </r>
  <r>
    <x v="170"/>
    <s v="emilyliu@gmail.com"/>
    <s v="Emily"/>
    <s v="Liu"/>
    <s v="Mount Isa"/>
    <x v="4"/>
    <n v="307.58000000000004"/>
    <n v="1"/>
    <x v="0"/>
  </r>
  <r>
    <x v="171"/>
    <s v="agomez@bigpond.com.au"/>
    <s v="Archie"/>
    <s v="Gomez"/>
    <s v="Melbourne"/>
    <x v="2"/>
    <n v="0"/>
    <n v="0"/>
    <x v="0"/>
  </r>
  <r>
    <x v="172"/>
    <s v="jasperhappy@live.au"/>
    <s v="Jasper"/>
    <s v="Martin"/>
    <s v="Brisbane"/>
    <x v="4"/>
    <n v="0"/>
    <n v="0"/>
    <x v="0"/>
  </r>
  <r>
    <x v="173"/>
    <s v="chloe.coffee@hotmail.com"/>
    <s v="Karla"/>
    <s v="Tau"/>
    <s v="Brisbane"/>
    <x v="4"/>
    <n v="455.95"/>
    <n v="2"/>
    <x v="1"/>
  </r>
  <r>
    <x v="174"/>
    <s v="zoe.golf@hotmail.com"/>
    <s v="Zoe"/>
    <s v="Taylor"/>
    <s v="Melbourne"/>
    <x v="2"/>
    <n v="23.82"/>
    <n v="1"/>
    <x v="0"/>
  </r>
  <r>
    <x v="175"/>
    <s v="felix_555@gmail.com"/>
    <s v="Felix"/>
    <s v="Nowak"/>
    <s v="Wagga Wagga"/>
    <x v="1"/>
    <n v="0"/>
    <n v="0"/>
    <x v="0"/>
  </r>
  <r>
    <x v="176"/>
    <s v="kovac.maisie@aol.com"/>
    <s v="Maisie"/>
    <s v="Kovac"/>
    <s v="Melbourne"/>
    <x v="2"/>
    <n v="32.82"/>
    <n v="1"/>
    <x v="0"/>
  </r>
  <r>
    <x v="177"/>
    <s v="travel.jack@hotmail.com"/>
    <s v="Jack"/>
    <s v="Novak"/>
    <s v="Brisbane"/>
    <x v="4"/>
    <n v="0"/>
    <n v="0"/>
    <x v="0"/>
  </r>
  <r>
    <x v="178"/>
    <s v="poppy.golf@outlook.com"/>
    <s v="Poppy"/>
    <s v="Petrov"/>
    <s v="Byron Bay"/>
    <x v="1"/>
    <n v="141.16"/>
    <n v="1"/>
    <x v="0"/>
  </r>
  <r>
    <x v="179"/>
    <s v="nowayedway@hotmail.com"/>
    <s v="Edward"/>
    <s v="Lewis"/>
    <s v="Central Coast"/>
    <x v="1"/>
    <n v="273.23"/>
    <n v="2"/>
    <x v="1"/>
  </r>
  <r>
    <x v="180"/>
    <s v="coffee.isaac@gmail.com"/>
    <s v="Isaac"/>
    <s v="Martinez"/>
    <s v="Gold Coast"/>
    <x v="4"/>
    <n v="24.05"/>
    <n v="1"/>
    <x v="0"/>
  </r>
  <r>
    <x v="181"/>
    <s v="lucas89@outlook.com"/>
    <s v="Lucas"/>
    <s v="Green"/>
    <s v="Brisbane"/>
    <x v="4"/>
    <n v="160.83000000000001"/>
    <n v="2"/>
    <x v="1"/>
  </r>
  <r>
    <x v="182"/>
    <s v="stewart.ali@gmail.com"/>
    <s v="Ali"/>
    <s v="Stewart"/>
    <s v="Melbourne"/>
    <x v="2"/>
    <n v="79.83"/>
    <n v="2"/>
    <x v="1"/>
  </r>
  <r>
    <x v="183"/>
    <s v="yoga.alex@gmail.com"/>
    <s v="Alexander"/>
    <s v="Wright"/>
    <s v="Brisbane"/>
    <x v="4"/>
    <n v="0"/>
    <n v="0"/>
    <x v="0"/>
  </r>
  <r>
    <x v="184"/>
    <s v="urbandan@hotmail.com"/>
    <s v="Daniel"/>
    <s v="Smith"/>
    <s v="Sydney"/>
    <x v="1"/>
    <n v="0"/>
    <n v="0"/>
    <x v="0"/>
  </r>
  <r>
    <x v="185"/>
    <s v="georgia1981@yahoo.com"/>
    <s v="Georgia"/>
    <s v="Green"/>
    <s v="Torquay"/>
    <x v="2"/>
    <n v="0"/>
    <n v="0"/>
    <x v="0"/>
  </r>
  <r>
    <x v="186"/>
    <s v="wildevie@yahoo.com"/>
    <s v="Evie"/>
    <s v="Kim"/>
    <s v="Perth"/>
    <x v="3"/>
    <n v="0"/>
    <n v="0"/>
    <x v="0"/>
  </r>
  <r>
    <x v="187"/>
    <s v="georgiageorgiou@outlook.com"/>
    <s v="Georgia"/>
    <s v="Georgiou"/>
    <s v="Coffs Harbour"/>
    <x v="1"/>
    <n v="0"/>
    <n v="0"/>
    <x v="0"/>
  </r>
  <r>
    <x v="188"/>
    <s v="harper.travel@microsoft.com"/>
    <s v="Harper"/>
    <s v="Wilson"/>
    <s v="Dubbo"/>
    <x v="1"/>
    <n v="0"/>
    <n v="0"/>
    <x v="0"/>
  </r>
  <r>
    <x v="189"/>
    <s v="charlieseason@bigpond.com.au"/>
    <s v="Charlie"/>
    <s v="Tau"/>
    <s v="Broken Hill"/>
    <x v="1"/>
    <n v="306.53000000000003"/>
    <n v="3"/>
    <x v="1"/>
  </r>
  <r>
    <x v="190"/>
    <s v="billie.ngata@yahoo.com"/>
    <s v="Billie"/>
    <s v="Ngata"/>
    <s v="Byron Bay"/>
    <x v="1"/>
    <n v="446.96999999999997"/>
    <n v="3"/>
    <x v="1"/>
  </r>
  <r>
    <x v="191"/>
    <s v="theocoastal@gmail.com"/>
    <s v="Theo"/>
    <s v="Trainer"/>
    <s v="Melbourne"/>
    <x v="2"/>
    <n v="325.44000000000005"/>
    <n v="3"/>
    <x v="1"/>
  </r>
  <r>
    <x v="192"/>
    <s v="samuelrossi@microsoft.com"/>
    <s v="Samuel"/>
    <s v="Rossi"/>
    <s v="Geelong"/>
    <x v="2"/>
    <n v="177.85"/>
    <n v="3"/>
    <x v="1"/>
  </r>
  <r>
    <x v="193"/>
    <s v="george39@yahoo.com"/>
    <s v="George"/>
    <s v="Wilson"/>
    <s v="Newcastle"/>
    <x v="1"/>
    <n v="0"/>
    <n v="0"/>
    <x v="0"/>
  </r>
  <r>
    <x v="194"/>
    <s v="violet.surf@gmail.com"/>
    <s v="Violet"/>
    <s v="King"/>
    <s v="Hobart"/>
    <x v="6"/>
    <n v="32.159999999999997"/>
    <n v="1"/>
    <x v="0"/>
  </r>
  <r>
    <x v="195"/>
    <s v="bonnie81@outlook.com"/>
    <s v="Bonnie"/>
    <s v="Murphy"/>
    <s v="Wagga Wagga"/>
    <x v="1"/>
    <n v="124.82000000000001"/>
    <n v="1"/>
    <x v="0"/>
  </r>
  <r>
    <x v="196"/>
    <s v="carlosparker@live.au"/>
    <s v="Carlos"/>
    <s v="Parker"/>
    <s v="Melbourne"/>
    <x v="2"/>
    <n v="313.45999999999998"/>
    <n v="2"/>
    <x v="1"/>
  </r>
  <r>
    <x v="197"/>
    <s v="liam_264@hotmail.com"/>
    <s v="Liam"/>
    <s v="Sharma"/>
    <s v="Geraldton"/>
    <x v="3"/>
    <n v="0"/>
    <n v="0"/>
    <x v="0"/>
  </r>
  <r>
    <x v="198"/>
    <s v="lucas.art@outlook.com"/>
    <s v="Lucas"/>
    <s v="Johnson"/>
    <s v="Central Coast"/>
    <x v="1"/>
    <n v="139.63999999999999"/>
    <n v="2"/>
    <x v="1"/>
  </r>
  <r>
    <x v="199"/>
    <s v="lucas.photo@outlook.com"/>
    <s v="Lucas"/>
    <s v="Pah"/>
    <s v="Hervey Bay"/>
    <x v="4"/>
    <n v="114.44"/>
    <n v="2"/>
    <x v="1"/>
  </r>
  <r>
    <x v="200"/>
    <s v="roberts.giulia@gmail.com"/>
    <s v="Giulia"/>
    <s v="Roberts"/>
    <s v="Wagga Wagga"/>
    <x v="1"/>
    <n v="90.23"/>
    <n v="1"/>
    <x v="0"/>
  </r>
  <r>
    <x v="201"/>
    <s v="leohall@aol.com"/>
    <s v="Leo"/>
    <s v="Hall"/>
    <s v="Sydney"/>
    <x v="1"/>
    <n v="256.21000000000004"/>
    <n v="3"/>
    <x v="1"/>
  </r>
  <r>
    <x v="202"/>
    <s v="mateo.wright@gmail.com"/>
    <s v="Mateo"/>
    <s v="Wright"/>
    <s v="Sunshine Coast"/>
    <x v="4"/>
    <n v="0"/>
    <n v="0"/>
    <x v="0"/>
  </r>
  <r>
    <x v="203"/>
    <s v="aconti@aol.com"/>
    <s v="Aroha"/>
    <s v="Conti"/>
    <s v="Adelaide"/>
    <x v="5"/>
    <n v="82.96"/>
    <n v="1"/>
    <x v="0"/>
  </r>
  <r>
    <x v="204"/>
    <s v="stran@optusnet.com.au"/>
    <s v="Stella"/>
    <s v="Tran"/>
    <s v="Cairns"/>
    <x v="4"/>
    <n v="371.59000000000003"/>
    <n v="3"/>
    <x v="1"/>
  </r>
  <r>
    <x v="205"/>
    <s v="tech.charlie@gmail.com"/>
    <s v="Charlie"/>
    <s v="Smith"/>
    <s v="Sale"/>
    <x v="2"/>
    <n v="0"/>
    <n v="0"/>
    <x v="0"/>
  </r>
  <r>
    <x v="206"/>
    <s v="green.mason@yahoo.com"/>
    <s v="Mason"/>
    <s v="Green"/>
    <s v="Devonport"/>
    <x v="6"/>
    <n v="95.88000000000001"/>
    <n v="3"/>
    <x v="1"/>
  </r>
  <r>
    <x v="207"/>
    <s v="matilda.art@aol.com"/>
    <s v="Matilda"/>
    <s v="Carter"/>
    <s v="Melbourne"/>
    <x v="2"/>
    <n v="0"/>
    <n v="0"/>
    <x v="0"/>
  </r>
  <r>
    <x v="208"/>
    <s v="thesiennap@gmail.com"/>
    <s v="Sienna"/>
    <s v="Pearson"/>
    <s v="Victor Harbor"/>
    <x v="5"/>
    <n v="12.63"/>
    <n v="1"/>
    <x v="0"/>
  </r>
  <r>
    <x v="209"/>
    <s v="zoe2003@optusnet.com.au"/>
    <s v="Zoe"/>
    <s v="Johnson"/>
    <s v="Melbourne"/>
    <x v="2"/>
    <n v="0"/>
    <n v="0"/>
    <x v="0"/>
  </r>
  <r>
    <x v="210"/>
    <s v="bake.liam@aol.com"/>
    <s v="Liam"/>
    <s v="Clark"/>
    <s v="Sydney"/>
    <x v="1"/>
    <n v="0"/>
    <n v="0"/>
    <x v="0"/>
  </r>
  <r>
    <x v="211"/>
    <s v="leo.young@aol.com"/>
    <s v="Leo"/>
    <s v="Young"/>
    <s v="Brisbane"/>
    <x v="4"/>
    <n v="0"/>
    <n v="0"/>
    <x v="0"/>
  </r>
  <r>
    <x v="212"/>
    <s v="leo_75@gmail.com"/>
    <s v="Leo"/>
    <s v="Brown"/>
    <s v="Townsville"/>
    <x v="4"/>
    <n v="0"/>
    <n v="0"/>
    <x v="0"/>
  </r>
  <r>
    <x v="213"/>
    <s v="emilylate@gmail.com"/>
    <s v="Emily"/>
    <s v="Kelly"/>
    <s v="Coffs Harbour"/>
    <x v="1"/>
    <n v="0"/>
    <n v="0"/>
    <x v="0"/>
  </r>
  <r>
    <x v="214"/>
    <s v="edward_801@aol.com"/>
    <s v="Edward"/>
    <s v="Wright"/>
    <s v="Brisbane"/>
    <x v="4"/>
    <n v="0"/>
    <n v="0"/>
    <x v="0"/>
  </r>
  <r>
    <x v="215"/>
    <s v="ruby.williams@microsoft.com"/>
    <s v="Ruby"/>
    <s v="Williams"/>
    <s v="Canberra"/>
    <x v="7"/>
    <n v="217.58"/>
    <n v="3"/>
    <x v="1"/>
  </r>
  <r>
    <x v="216"/>
    <s v="amelia1981@microsoft.com"/>
    <s v="Amelia"/>
    <s v="McQueen"/>
    <s v="Shepparton"/>
    <x v="2"/>
    <n v="371.70000000000005"/>
    <n v="4"/>
    <x v="1"/>
  </r>
  <r>
    <x v="217"/>
    <s v="eloisebrown1964@gmail.com"/>
    <s v="Eloise"/>
    <s v="Brown"/>
    <s v="Newcastle"/>
    <x v="1"/>
    <n v="0"/>
    <n v="0"/>
    <x v="0"/>
  </r>
  <r>
    <x v="218"/>
    <s v="willow54@yahoo.com"/>
    <s v="Willow"/>
    <s v="Hall"/>
    <s v="Wollongong"/>
    <x v="1"/>
    <n v="169.24"/>
    <n v="2"/>
    <x v="1"/>
  </r>
  <r>
    <x v="219"/>
    <s v="marco.deluca@outlook.com"/>
    <s v="Marco"/>
    <s v="DeLuca"/>
    <s v="Sydney"/>
    <x v="1"/>
    <n v="335.5"/>
    <n v="3"/>
    <x v="1"/>
  </r>
  <r>
    <x v="220"/>
    <s v="dansato@yahoo.com"/>
    <s v="Daniel"/>
    <s v="Sato"/>
    <s v="Melbourne"/>
    <x v="2"/>
    <n v="0"/>
    <n v="0"/>
    <x v="0"/>
  </r>
  <r>
    <x v="221"/>
    <s v="emily_587@optusnet.com.au"/>
    <s v="Emily"/>
    <s v="Hussain"/>
    <s v="Byron Bay"/>
    <x v="1"/>
    <n v="423.91999999999996"/>
    <n v="3"/>
    <x v="1"/>
  </r>
  <r>
    <x v="222"/>
    <s v="johnson.bodhi@gmail.com"/>
    <s v="Bodhi"/>
    <s v="Johnson"/>
    <s v="Byron Bay"/>
    <x v="1"/>
    <n v="177.61"/>
    <n v="2"/>
    <x v="1"/>
  </r>
  <r>
    <x v="223"/>
    <s v="olivia.martin@microsoft.com"/>
    <s v="Olivia"/>
    <s v="Martin"/>
    <s v="Townsville"/>
    <x v="4"/>
    <n v="0"/>
    <n v="0"/>
    <x v="0"/>
  </r>
  <r>
    <x v="224"/>
    <s v="emily.wilson@gmail.com"/>
    <s v="Emily"/>
    <s v="Wilson"/>
    <s v="Central Coast"/>
    <x v="1"/>
    <n v="0"/>
    <n v="0"/>
    <x v="0"/>
  </r>
  <r>
    <x v="225"/>
    <s v="hussain.poppy@gmail.com"/>
    <s v="Poppy"/>
    <s v="Hussain"/>
    <s v="Sunshine Coast"/>
    <x v="4"/>
    <n v="0"/>
    <n v="0"/>
    <x v="0"/>
  </r>
  <r>
    <x v="226"/>
    <s v="sakura31@live.au"/>
    <s v="Sakura"/>
    <s v="Novak"/>
    <s v="Sale"/>
    <x v="2"/>
    <n v="324.58"/>
    <n v="3"/>
    <x v="1"/>
  </r>
  <r>
    <x v="227"/>
    <s v="olivia_479@gmail.com"/>
    <s v="Olivia"/>
    <s v="Parson"/>
    <s v="Albany"/>
    <x v="3"/>
    <n v="161.54"/>
    <n v="1"/>
    <x v="0"/>
  </r>
  <r>
    <x v="228"/>
    <s v="ejones@yahoo.com"/>
    <s v="Edward"/>
    <s v="Jones"/>
    <s v="Devonport"/>
    <x v="6"/>
    <n v="75.81"/>
    <n v="1"/>
    <x v="0"/>
  </r>
  <r>
    <x v="229"/>
    <s v="smurphy@aol.com"/>
    <s v="Sienna"/>
    <s v="Murphy"/>
    <s v="Canberra"/>
    <x v="7"/>
    <n v="89.4"/>
    <n v="3"/>
    <x v="1"/>
  </r>
  <r>
    <x v="230"/>
    <s v="eloise.golf@microsoft.com"/>
    <s v="Eloise"/>
    <s v="Choi"/>
    <s v="Toowoomba"/>
    <x v="4"/>
    <n v="0"/>
    <n v="0"/>
    <x v="0"/>
  </r>
  <r>
    <x v="231"/>
    <s v="will1986@hotmail.com"/>
    <s v="William"/>
    <s v="Brown"/>
    <s v="Adelaide"/>
    <x v="5"/>
    <n v="173.72"/>
    <n v="1"/>
    <x v="0"/>
  </r>
  <r>
    <x v="232"/>
    <s v="maisie.footy@outlook.com"/>
    <s v="Maisie"/>
    <s v="Christie"/>
    <s v="Hervey Bay"/>
    <x v="4"/>
    <n v="48.06"/>
    <n v="2"/>
    <x v="1"/>
  </r>
  <r>
    <x v="233"/>
    <s v="wildwei@aol.com"/>
    <s v="Wei"/>
    <s v="Robbertson"/>
    <s v="Cairns"/>
    <x v="4"/>
    <n v="114.82000000000001"/>
    <n v="1"/>
    <x v="0"/>
  </r>
  <r>
    <x v="234"/>
    <s v="matilda2006@optusnet.com.au"/>
    <s v="Matilda"/>
    <s v="Wilson"/>
    <s v="Brisbane"/>
    <x v="4"/>
    <n v="168.57999999999998"/>
    <n v="4"/>
    <x v="1"/>
  </r>
  <r>
    <x v="235"/>
    <s v="blueharper@live.au"/>
    <s v="Harper"/>
    <s v="Martinez"/>
    <s v="Townsville"/>
    <x v="4"/>
    <n v="0"/>
    <n v="0"/>
    <x v="0"/>
  </r>
  <r>
    <x v="236"/>
    <s v="collins.chloe@yahoo.com"/>
    <s v="Chloe"/>
    <s v="Collins"/>
    <s v="Sunshine Coast"/>
    <x v="4"/>
    <n v="86.04"/>
    <n v="2"/>
    <x v="1"/>
  </r>
  <r>
    <x v="237"/>
    <s v="manu96@aol.com"/>
    <s v="Manu"/>
    <s v="Papadopoulos"/>
    <s v="Geelong"/>
    <x v="2"/>
    <n v="114.84"/>
    <n v="2"/>
    <x v="1"/>
  </r>
  <r>
    <x v="238"/>
    <s v="mileswhite@gmail.com"/>
    <s v="Miles"/>
    <s v="White"/>
    <s v="Geelong"/>
    <x v="2"/>
    <n v="0"/>
    <n v="0"/>
    <x v="0"/>
  </r>
  <r>
    <x v="239"/>
    <s v="aurora.baker@outlook.com"/>
    <s v="Aurora"/>
    <s v="Baker"/>
    <s v="Burnie"/>
    <x v="6"/>
    <n v="329.37"/>
    <n v="4"/>
    <x v="1"/>
  </r>
  <r>
    <x v="240"/>
    <s v="olivia9@bigpond.com.au"/>
    <s v="Olivia"/>
    <s v="Turner"/>
    <s v="Adelaide"/>
    <x v="5"/>
    <n v="91.220000000000013"/>
    <n v="1"/>
    <x v="0"/>
  </r>
  <r>
    <x v="241"/>
    <s v="theocoastal@microsoft.com"/>
    <s v="Theo"/>
    <s v="Wright"/>
    <s v="Ballarat"/>
    <x v="2"/>
    <n v="74.36"/>
    <n v="2"/>
    <x v="1"/>
  </r>
  <r>
    <x v="242"/>
    <s v="samuel1992@live.au"/>
    <s v="Samuel"/>
    <s v="Stetting"/>
    <s v="Geelong"/>
    <x v="2"/>
    <n v="0"/>
    <n v="0"/>
    <x v="0"/>
  </r>
  <r>
    <x v="243"/>
    <s v="happyfatima@hotmail.com"/>
    <s v="Fatima"/>
    <s v="Stewart"/>
    <s v="Sunshine Coast"/>
    <x v="4"/>
    <n v="0"/>
    <n v="0"/>
    <x v="0"/>
  </r>
  <r>
    <x v="244"/>
    <s v="photo.scarlett@gmail.com"/>
    <s v="Scarlett"/>
    <s v="Martinez"/>
    <s v="Broome"/>
    <x v="3"/>
    <n v="39.169999999999995"/>
    <n v="1"/>
    <x v="0"/>
  </r>
  <r>
    <x v="245"/>
    <s v="george.manu@gmail.com"/>
    <s v="George"/>
    <s v="Manu"/>
    <s v="Wollongong"/>
    <x v="1"/>
    <n v="0"/>
    <n v="0"/>
    <x v="0"/>
  </r>
  <r>
    <x v="246"/>
    <s v="masoncosta@microsoft.com"/>
    <s v="Mason"/>
    <s v="Kostas"/>
    <s v="Melbourne"/>
    <x v="2"/>
    <n v="0"/>
    <n v="0"/>
    <x v="0"/>
  </r>
  <r>
    <x v="247"/>
    <s v="jackcarter@gmail.com"/>
    <s v="John"/>
    <s v="Carter"/>
    <s v="Brisbane"/>
    <x v="4"/>
    <n v="0"/>
    <n v="0"/>
    <x v="0"/>
  </r>
  <r>
    <x v="248"/>
    <s v="king.kiran@outlook.com"/>
    <s v="Kiran"/>
    <s v="King"/>
    <s v="Adelaide"/>
    <x v="5"/>
    <n v="0"/>
    <n v="0"/>
    <x v="0"/>
  </r>
  <r>
    <x v="249"/>
    <s v="happyolivia@gmail.com"/>
    <s v="Olivia"/>
    <s v="Robert"/>
    <s v="Wollongong"/>
    <x v="1"/>
    <n v="323.36"/>
    <n v="3"/>
    <x v="1"/>
  </r>
  <r>
    <x v="250"/>
    <s v="zoe_792@microsoft.com"/>
    <s v="Zack"/>
    <s v="Turner"/>
    <s v="Melbourne"/>
    <x v="2"/>
    <n v="229.98000000000002"/>
    <n v="1"/>
    <x v="0"/>
  </r>
  <r>
    <x v="251"/>
    <s v="zoekelly@outlook.com"/>
    <s v="Zachariah"/>
    <s v="Kelly"/>
    <s v="Sydney"/>
    <x v="1"/>
    <n v="0"/>
    <n v="0"/>
    <x v="0"/>
  </r>
  <r>
    <x v="252"/>
    <s v="chloe_980@gmail.com"/>
    <s v="Chloe"/>
    <s v="Li"/>
    <s v="Sydney"/>
    <x v="1"/>
    <n v="92.53"/>
    <n v="1"/>
    <x v="0"/>
  </r>
  <r>
    <x v="253"/>
    <s v="finnlate@outlook.com"/>
    <s v="Finn"/>
    <s v="Liu"/>
    <s v="Melbourne"/>
    <x v="2"/>
    <n v="0"/>
    <n v="0"/>
    <x v="0"/>
  </r>
  <r>
    <x v="254"/>
    <s v="miahappy@bigpond.com.au"/>
    <s v="Mia"/>
    <s v="Thompson"/>
    <s v="Adelaide"/>
    <x v="5"/>
    <n v="0"/>
    <n v="0"/>
    <x v="0"/>
  </r>
  <r>
    <x v="255"/>
    <s v="archiengata@aol.com"/>
    <s v="Archie"/>
    <s v="Ngata"/>
    <s v="Melbourne"/>
    <x v="2"/>
    <n v="169.72000000000003"/>
    <n v="3"/>
    <x v="1"/>
  </r>
  <r>
    <x v="256"/>
    <s v="patel.jasper@optusnet.com.au"/>
    <s v="Jasper"/>
    <s v="Patel"/>
    <s v="Geelong"/>
    <x v="2"/>
    <n v="0"/>
    <n v="0"/>
    <x v="0"/>
  </r>
  <r>
    <x v="257"/>
    <s v="leotanaka@hotmail.com"/>
    <s v="Leo"/>
    <s v="Trent"/>
    <s v="Sunshine Coast"/>
    <x v="4"/>
    <n v="120.87"/>
    <n v="1"/>
    <x v="0"/>
  </r>
  <r>
    <x v="258"/>
    <s v="earlyhenry@gmail.com"/>
    <s v="Henry"/>
    <s v="Novak"/>
    <s v="Torquay"/>
    <x v="2"/>
    <n v="0"/>
    <n v="0"/>
    <x v="0"/>
  </r>
  <r>
    <x v="259"/>
    <s v="fliu@microsoft.com"/>
    <s v="Freya"/>
    <s v="Liu"/>
    <s v="Adelaide"/>
    <x v="5"/>
    <n v="46.85"/>
    <n v="1"/>
    <x v="0"/>
  </r>
  <r>
    <x v="260"/>
    <s v="wei_191@gmail.com"/>
    <s v="Wei"/>
    <s v="Thompson"/>
    <s v="Torquay"/>
    <x v="2"/>
    <n v="0"/>
    <n v="0"/>
    <x v="0"/>
  </r>
  <r>
    <x v="261"/>
    <s v="lucas_626@gmail.com"/>
    <s v="Liam"/>
    <s v="Landry"/>
    <s v="Adelaide"/>
    <x v="5"/>
    <n v="0"/>
    <n v="0"/>
    <x v="0"/>
  </r>
  <r>
    <x v="262"/>
    <s v="ava29@hotmail.com"/>
    <s v="Ava"/>
    <s v="Horvat"/>
    <s v="Canberra"/>
    <x v="7"/>
    <n v="49.69"/>
    <n v="2"/>
    <x v="1"/>
  </r>
  <r>
    <x v="263"/>
    <s v="eviesunny@gmail.com"/>
    <s v="Evie"/>
    <s v="Sun"/>
    <s v="Melbourne"/>
    <x v="2"/>
    <n v="164.82"/>
    <n v="2"/>
    <x v="1"/>
  </r>
  <r>
    <x v="264"/>
    <s v="oliver2@gmail.com"/>
    <s v="Oliver"/>
    <s v="Young"/>
    <s v="Sydney"/>
    <x v="1"/>
    <n v="173.54999999999998"/>
    <n v="2"/>
    <x v="1"/>
  </r>
  <r>
    <x v="265"/>
    <s v="alex1980@gmail.com"/>
    <s v="Adriana"/>
    <s v="Young"/>
    <s v="Brisbane"/>
    <x v="4"/>
    <n v="0"/>
    <n v="0"/>
    <x v="0"/>
  </r>
  <r>
    <x v="266"/>
    <s v="lucaslate@live.au"/>
    <s v="Lucas"/>
    <s v="Silva"/>
    <s v="Perth"/>
    <x v="3"/>
    <n v="230.51000000000002"/>
    <n v="2"/>
    <x v="1"/>
  </r>
  <r>
    <x v="267"/>
    <s v="sadie74@outlook.com"/>
    <s v="Sadie"/>
    <s v="Jones"/>
    <s v="Townsville"/>
    <x v="4"/>
    <n v="31.94"/>
    <n v="1"/>
    <x v="0"/>
  </r>
  <r>
    <x v="268"/>
    <s v="fred5@gmail.com"/>
    <s v="Fred"/>
    <s v="Andersen"/>
    <s v="Darwin"/>
    <x v="0"/>
    <n v="110.75"/>
    <n v="1"/>
    <x v="0"/>
  </r>
  <r>
    <x v="269"/>
    <s v="willsingh@gmail.com"/>
    <s v="Ravi"/>
    <s v="Singh"/>
    <s v="Brisbane"/>
    <x v="4"/>
    <n v="453.88000000000005"/>
    <n v="3"/>
    <x v="1"/>
  </r>
  <r>
    <x v="270"/>
    <s v="isla_451@optusnet.com.au"/>
    <s v="Jessie"/>
    <s v="Turner"/>
    <s v="Brisbane"/>
    <x v="4"/>
    <n v="0"/>
    <n v="0"/>
    <x v="0"/>
  </r>
  <r>
    <x v="271"/>
    <s v="apereira@yahoo.com"/>
    <s v="Ava"/>
    <s v="Pereira"/>
    <s v="Sydney"/>
    <x v="1"/>
    <n v="0"/>
    <n v="0"/>
    <x v="0"/>
  </r>
  <r>
    <x v="272"/>
    <s v="bondingwithharper@live.au"/>
    <s v="Harper"/>
    <s v="Bond"/>
    <s v="Warrnambool"/>
    <x v="2"/>
    <n v="0"/>
    <n v="0"/>
    <x v="0"/>
  </r>
  <r>
    <x v="273"/>
    <s v="oliver1983@microsoft.com"/>
    <s v="Oliver"/>
    <s v="Nonnington"/>
    <s v="Melbourne"/>
    <x v="2"/>
    <n v="0"/>
    <n v="0"/>
    <x v="0"/>
  </r>
  <r>
    <x v="274"/>
    <s v="surfer-girl-chlo@live.au"/>
    <s v="Chloe"/>
    <s v="Faatua"/>
    <s v="Cairns"/>
    <x v="4"/>
    <n v="0"/>
    <n v="0"/>
    <x v="0"/>
  </r>
  <r>
    <x v="275"/>
    <s v="omar13@outlook.com"/>
    <s v="Omar"/>
    <s v="Jones"/>
    <s v="Burnie"/>
    <x v="6"/>
    <n v="148.36000000000001"/>
    <n v="2"/>
    <x v="1"/>
  </r>
  <r>
    <x v="276"/>
    <s v="lucas40@yahoo.com"/>
    <s v="Lukas"/>
    <s v="Hall"/>
    <s v="Adelaide"/>
    <x v="5"/>
    <n v="0"/>
    <n v="0"/>
    <x v="0"/>
  </r>
  <r>
    <x v="277"/>
    <s v="samuelpark@optusnet.com.au"/>
    <s v="Samuel"/>
    <s v="Peters"/>
    <s v="Newcastle"/>
    <x v="1"/>
    <n v="0"/>
    <n v="0"/>
    <x v="0"/>
  </r>
  <r>
    <x v="278"/>
    <s v="hudsonsurf@live.au"/>
    <s v="Hudson"/>
    <s v="Waters"/>
    <s v="Hervey Bay"/>
    <x v="4"/>
    <n v="0"/>
    <n v="0"/>
    <x v="0"/>
  </r>
  <r>
    <x v="279"/>
    <s v="wan.mason@live.au"/>
    <s v="Mason"/>
    <s v="Wan"/>
    <s v="Ballarat"/>
    <x v="2"/>
    <n v="0"/>
    <n v="0"/>
    <x v="0"/>
  </r>
  <r>
    <x v="280"/>
    <s v="kaur.isla@microsoft.com"/>
    <s v="Isla"/>
    <s v="Kaur"/>
    <s v="Townsville"/>
    <x v="4"/>
    <n v="0"/>
    <n v="0"/>
    <x v="0"/>
  </r>
  <r>
    <x v="281"/>
    <s v="minh54@hotmail.com"/>
    <s v="Minh"/>
    <s v="Walker"/>
    <s v="Mandurah"/>
    <x v="3"/>
    <n v="0"/>
    <n v="0"/>
    <x v="0"/>
  </r>
  <r>
    <x v="282"/>
    <s v="isla51@hotmail.com"/>
    <s v="Isla"/>
    <s v="Johnson"/>
    <s v="Torquay"/>
    <x v="2"/>
    <n v="0"/>
    <n v="0"/>
    <x v="0"/>
  </r>
  <r>
    <x v="283"/>
    <s v="tane1994@generation.au"/>
    <s v="Tane"/>
    <s v="Chen"/>
    <s v="Ballarat"/>
    <x v="2"/>
    <n v="0"/>
    <n v="0"/>
    <x v="0"/>
  </r>
  <r>
    <x v="284"/>
    <s v="ella_216@gmail.com"/>
    <s v="Ella"/>
    <s v="Kelly"/>
    <s v="Geelong"/>
    <x v="2"/>
    <n v="0"/>
    <n v="0"/>
    <x v="0"/>
  </r>
  <r>
    <x v="285"/>
    <s v="anderson.arjun@outlook.com"/>
    <s v="Arjun"/>
    <s v="Anderson"/>
    <s v="Broken Hill"/>
    <x v="1"/>
    <n v="0"/>
    <n v="0"/>
    <x v="0"/>
  </r>
  <r>
    <x v="286"/>
    <s v="sebastian_479@gmail.com"/>
    <s v="Sebastian"/>
    <s v="Brown"/>
    <s v="Perth"/>
    <x v="3"/>
    <n v="0"/>
    <n v="0"/>
    <x v="0"/>
  </r>
  <r>
    <x v="287"/>
    <s v="mohammed1996@yahoo.com"/>
    <s v="Mohammed"/>
    <s v="Johnson"/>
    <s v="Geelong"/>
    <x v="2"/>
    <n v="245.21000000000004"/>
    <n v="2"/>
    <x v="1"/>
  </r>
  <r>
    <x v="288"/>
    <s v="georgia_957@yahoo.com"/>
    <s v="Georgia"/>
    <s v="Carter"/>
    <s v="Perth"/>
    <x v="3"/>
    <n v="0"/>
    <n v="0"/>
    <x v="0"/>
  </r>
  <r>
    <x v="289"/>
    <s v="photo.ethan@live.au"/>
    <s v="Ethan"/>
    <s v="Lewis"/>
    <s v="Newcastle"/>
    <x v="1"/>
    <n v="26.810000000000002"/>
    <n v="1"/>
    <x v="0"/>
  </r>
  <r>
    <x v="290"/>
    <s v="art.mohammed@gmail.com"/>
    <s v="Mohammed"/>
    <s v="El-Fayad"/>
    <s v="Broken Hill"/>
    <x v="1"/>
    <n v="276.56"/>
    <n v="2"/>
    <x v="1"/>
  </r>
  <r>
    <x v="291"/>
    <s v="yusufjohnson@bigpond.com.au"/>
    <s v="Yessi"/>
    <s v="Johnson"/>
    <s v="Torquay"/>
    <x v="2"/>
    <n v="0"/>
    <n v="0"/>
    <x v="0"/>
  </r>
  <r>
    <x v="292"/>
    <s v="willowsingh@live.au"/>
    <s v="Willow"/>
    <s v="Singh"/>
    <s v="Wagga Wagga"/>
    <x v="1"/>
    <n v="0"/>
    <n v="0"/>
    <x v="0"/>
  </r>
  <r>
    <x v="293"/>
    <s v="earlytom@aol.com"/>
    <s v="Thomas"/>
    <s v="Liu"/>
    <s v="Sydney"/>
    <x v="1"/>
    <n v="0"/>
    <n v="0"/>
    <x v="0"/>
  </r>
  <r>
    <x v="294"/>
    <s v="music.max@aol.com"/>
    <s v="Max"/>
    <s v="Stewart"/>
    <s v="Dubbo"/>
    <x v="1"/>
    <n v="0"/>
    <n v="0"/>
    <x v="0"/>
  </r>
  <r>
    <x v="295"/>
    <s v="lucas.art@optusnet.com.au"/>
    <s v="Lucas"/>
    <s v="Wilson"/>
    <s v="Dubbo"/>
    <x v="1"/>
    <n v="0"/>
    <n v="0"/>
    <x v="0"/>
  </r>
  <r>
    <x v="296"/>
    <s v="willow.pereira@gmail.com"/>
    <s v="Olivia"/>
    <s v="Pereira"/>
    <s v="Torquay"/>
    <x v="2"/>
    <n v="0"/>
    <n v="0"/>
    <x v="0"/>
  </r>
  <r>
    <x v="297"/>
    <s v="bgreen@outlook.com"/>
    <s v="Benjamin"/>
    <s v="Green"/>
    <s v="Perth"/>
    <x v="3"/>
    <n v="0"/>
    <n v="0"/>
    <x v="0"/>
  </r>
  <r>
    <x v="298"/>
    <s v="mason.photo@gmail.com"/>
    <s v="Mason"/>
    <s v="King"/>
    <s v="Albany"/>
    <x v="3"/>
    <n v="0"/>
    <n v="0"/>
    <x v="0"/>
  </r>
  <r>
    <x v="299"/>
    <s v="benbi@hotmail.com"/>
    <s v="Ben"/>
    <s v="Bianchi"/>
    <s v="Brisbane"/>
    <x v="4"/>
    <n v="0"/>
    <n v="0"/>
    <x v="0"/>
  </r>
  <r>
    <x v="300"/>
    <s v="willarchiedoit@aol.com"/>
    <s v="Archie"/>
    <s v="Williams"/>
    <s v="Mount Isa"/>
    <x v="4"/>
    <n v="0"/>
    <n v="0"/>
    <x v="0"/>
  </r>
  <r>
    <x v="301"/>
    <s v="tom_191@yahoo.com"/>
    <s v="Timi"/>
    <s v="Patel"/>
    <s v="Central Coast"/>
    <x v="1"/>
    <n v="244.87"/>
    <n v="2"/>
    <x v="1"/>
  </r>
  <r>
    <x v="302"/>
    <s v="ilovepriya@live.au"/>
    <s v="Priya"/>
    <s v="Brown"/>
    <s v="Coffs Harbour"/>
    <x v="1"/>
    <n v="30.51"/>
    <n v="1"/>
    <x v="0"/>
  </r>
  <r>
    <x v="303"/>
    <s v="happyemily@microsoft.com"/>
    <s v="Emily"/>
    <s v="Khan"/>
    <s v="Warrnambool"/>
    <x v="2"/>
    <n v="0"/>
    <n v="0"/>
    <x v="0"/>
  </r>
  <r>
    <x v="304"/>
    <s v="blueriley@hotmail.com"/>
    <s v="Riley"/>
    <s v="Hussain"/>
    <s v="Central Coast"/>
    <x v="1"/>
    <n v="14.89"/>
    <n v="1"/>
    <x v="0"/>
  </r>
  <r>
    <x v="305"/>
    <s v="samuel.travel@live.au"/>
    <s v="Samuel"/>
    <s v="Costa"/>
    <s v="Central Coast"/>
    <x v="1"/>
    <n v="0"/>
    <n v="0"/>
    <x v="0"/>
  </r>
  <r>
    <x v="306"/>
    <s v="darcykim@live.au"/>
    <s v="Denis"/>
    <s v="Kim"/>
    <s v="Central Coast"/>
    <x v="1"/>
    <n v="0"/>
    <n v="0"/>
    <x v="0"/>
  </r>
  <r>
    <x v="307"/>
    <s v="zoe_703@aol.com"/>
    <s v="Zoe"/>
    <s v="Walker"/>
    <s v="Wagga Wagga"/>
    <x v="1"/>
    <n v="0"/>
    <n v="0"/>
    <x v="0"/>
  </r>
  <r>
    <x v="308"/>
    <s v="king.tom@yahoo.com"/>
    <s v="Thomas"/>
    <s v="King"/>
    <s v="Sunshine Coast"/>
    <x v="4"/>
    <n v="0"/>
    <n v="0"/>
    <x v="0"/>
  </r>
  <r>
    <x v="309"/>
    <s v="coopst@hotmail.com"/>
    <s v="Cooper"/>
    <s v="Tran"/>
    <s v="Albany"/>
    <x v="3"/>
    <n v="0"/>
    <n v="0"/>
    <x v="0"/>
  </r>
  <r>
    <x v="310"/>
    <s v="tech.ruby@microsoft.com"/>
    <s v="Ruby"/>
    <s v="Manu"/>
    <s v="Melbourne"/>
    <x v="2"/>
    <n v="0"/>
    <n v="0"/>
    <x v="0"/>
  </r>
  <r>
    <x v="311"/>
    <s v="mateo.tech@gmail.com"/>
    <s v="Mateo"/>
    <s v="Clark"/>
    <s v="Wagga Wagga"/>
    <x v="1"/>
    <n v="0"/>
    <n v="0"/>
    <x v="0"/>
  </r>
  <r>
    <x v="312"/>
    <s v="urbanisaac@optusnet.com.au"/>
    <s v="Isaac"/>
    <s v="Ali"/>
    <s v="Devonport"/>
    <x v="6"/>
    <n v="0"/>
    <n v="0"/>
    <x v="0"/>
  </r>
  <r>
    <x v="313"/>
    <s v="athompson@gmail.com"/>
    <s v="Arthur"/>
    <s v="Thompson"/>
    <s v="Wollongong"/>
    <x v="1"/>
    <n v="0"/>
    <n v="0"/>
    <x v="0"/>
  </r>
  <r>
    <x v="314"/>
    <s v="happylucas@gmail.com"/>
    <s v="Lucas"/>
    <s v="Tui"/>
    <s v="Torquay"/>
    <x v="2"/>
    <n v="0"/>
    <n v="0"/>
    <x v="0"/>
  </r>
  <r>
    <x v="315"/>
    <s v="oliver2000@hotmail.com"/>
    <s v="Oliver"/>
    <s v="Taylor"/>
    <s v="Townsville"/>
    <x v="4"/>
    <n v="111.09"/>
    <n v="2"/>
    <x v="1"/>
  </r>
  <r>
    <x v="316"/>
    <s v="music.henry@aol.com"/>
    <s v="Henry"/>
    <s v="Horvat"/>
    <s v="Sunshine Coast"/>
    <x v="4"/>
    <n v="36.04"/>
    <n v="1"/>
    <x v="0"/>
  </r>
  <r>
    <x v="317"/>
    <s v="urbanemily@flip.au"/>
    <s v="Emily"/>
    <s v="Carter"/>
    <s v="Mandurah"/>
    <x v="3"/>
    <n v="0"/>
    <n v="0"/>
    <x v="0"/>
  </r>
  <r>
    <x v="318"/>
    <s v="benwalker@yahoo.com"/>
    <s v="Benjamin"/>
    <s v="Walker"/>
    <s v="Central Coast"/>
    <x v="1"/>
    <n v="62.92"/>
    <n v="1"/>
    <x v="0"/>
  </r>
  <r>
    <x v="319"/>
    <s v="bluezoe@outlook.com"/>
    <s v="Zoe"/>
    <s v="King"/>
    <s v="Perth"/>
    <x v="3"/>
    <n v="0"/>
    <n v="0"/>
    <x v="0"/>
  </r>
  <r>
    <x v="320"/>
    <s v="rocchjia@gmail.com"/>
    <s v="Jia"/>
    <s v="Rocchi"/>
    <s v="Bunbury"/>
    <x v="3"/>
    <n v="192.98999999999998"/>
    <n v="2"/>
    <x v="1"/>
  </r>
  <r>
    <x v="321"/>
    <s v="tom2001@gmail.com"/>
    <s v="Thomas"/>
    <s v="Green"/>
    <s v="Rockhampton"/>
    <x v="4"/>
    <n v="0"/>
    <n v="0"/>
    <x v="0"/>
  </r>
  <r>
    <x v="322"/>
    <s v="amelia1986@hotmail.com"/>
    <s v="Antonella"/>
    <s v="Johnson"/>
    <s v="Victor Harbor"/>
    <x v="5"/>
    <n v="0"/>
    <n v="0"/>
    <x v="0"/>
  </r>
  <r>
    <x v="323"/>
    <s v="henry.lewis@outlook.com"/>
    <s v="Henry"/>
    <s v="Lewis"/>
    <s v="Central Coast"/>
    <x v="1"/>
    <n v="104.03"/>
    <n v="1"/>
    <x v="0"/>
  </r>
  <r>
    <x v="324"/>
    <s v="edwardwild@live.au"/>
    <s v="Edward"/>
    <s v="Wright"/>
    <s v="Central Coast"/>
    <x v="1"/>
    <n v="0"/>
    <n v="0"/>
    <x v="0"/>
  </r>
  <r>
    <x v="325"/>
    <s v="gtanaka@microsoft.com"/>
    <s v="Giulia"/>
    <s v="Tanaka"/>
    <s v="Brisbane"/>
    <x v="4"/>
    <n v="55.94"/>
    <n v="1"/>
    <x v="0"/>
  </r>
  <r>
    <x v="326"/>
    <s v="harrisonaddam@gmail.com"/>
    <s v="Harrison"/>
    <s v="Addam"/>
    <s v="Byron Bay"/>
    <x v="1"/>
    <n v="0"/>
    <n v="0"/>
    <x v="0"/>
  </r>
  <r>
    <x v="327"/>
    <s v="blueleilani@gmail.com"/>
    <s v="Leilani"/>
    <s v="Kim"/>
    <s v="Geraldton"/>
    <x v="3"/>
    <n v="0"/>
    <n v="0"/>
    <x v="0"/>
  </r>
  <r>
    <x v="328"/>
    <s v="oliver94@hotmail.com"/>
    <s v="Oliver"/>
    <s v="Franks"/>
    <s v="Central Coast"/>
    <x v="1"/>
    <n v="112.41000000000001"/>
    <n v="2"/>
    <x v="1"/>
  </r>
  <r>
    <x v="329"/>
    <s v="music.olivia@aol.com"/>
    <s v="Olivia"/>
    <s v="Wilson"/>
    <s v="Albany"/>
    <x v="3"/>
    <n v="189.74"/>
    <n v="2"/>
    <x v="1"/>
  </r>
  <r>
    <x v="330"/>
    <s v="coastalhenry@outlook.com"/>
    <s v="Henry"/>
    <s v="Martin"/>
    <s v="Sydney"/>
    <x v="1"/>
    <n v="0"/>
    <n v="0"/>
    <x v="0"/>
  </r>
  <r>
    <x v="331"/>
    <s v="mia.white@live.au"/>
    <s v="Mia"/>
    <s v="White"/>
    <s v="Gold Coast"/>
    <x v="4"/>
    <n v="0"/>
    <n v="0"/>
    <x v="0"/>
  </r>
  <r>
    <x v="332"/>
    <s v="alex_761@optusnet.com.au"/>
    <s v="Alex"/>
    <s v="Flams"/>
    <s v="Newcastle"/>
    <x v="1"/>
    <n v="0"/>
    <n v="0"/>
    <x v="0"/>
  </r>
  <r>
    <x v="333"/>
    <s v="johnson.hudson@microsoft.com"/>
    <s v="Hudson"/>
    <s v="Johnson"/>
    <s v="Sunshine Coast"/>
    <x v="4"/>
    <n v="0"/>
    <n v="0"/>
    <x v="0"/>
  </r>
  <r>
    <x v="334"/>
    <s v="diego.baker@microsoft.com"/>
    <s v="Diego"/>
    <s v="Baker"/>
    <s v="Brisbane"/>
    <x v="4"/>
    <n v="64.47"/>
    <n v="2"/>
    <x v="1"/>
  </r>
  <r>
    <x v="335"/>
    <s v="bake.sienna@outlook.com"/>
    <s v="Sienna"/>
    <s v="Liu"/>
    <s v="Ballarat"/>
    <x v="2"/>
    <n v="121.58000000000001"/>
    <n v="2"/>
    <x v="1"/>
  </r>
  <r>
    <x v="336"/>
    <s v="coastaljack@bigpond.com.au"/>
    <s v="Jack"/>
    <s v="Hussain"/>
    <s v="Central Coast"/>
    <x v="1"/>
    <n v="0"/>
    <n v="0"/>
    <x v="0"/>
  </r>
  <r>
    <x v="337"/>
    <s v="singh.leo@optusnet.com.au"/>
    <s v="Leo"/>
    <s v="Singh"/>
    <s v="Sunshine Coast"/>
    <x v="4"/>
    <n v="138.14999999999998"/>
    <n v="2"/>
    <x v="1"/>
  </r>
  <r>
    <x v="338"/>
    <s v="oliviaez@gmail.com"/>
    <s v="Olivia"/>
    <s v="Martinez"/>
    <s v="Sydney"/>
    <x v="1"/>
    <n v="0"/>
    <n v="0"/>
    <x v="0"/>
  </r>
  <r>
    <x v="339"/>
    <s v="grace_yoga@optusnet_com_au"/>
    <s v="Grace"/>
    <s v="Green"/>
    <s v="Shepparton"/>
    <x v="2"/>
    <n v="110.06"/>
    <n v="2"/>
    <x v="1"/>
  </r>
  <r>
    <x v="340"/>
    <s v="maxwild@live.au"/>
    <s v="Max"/>
    <s v="Murphy"/>
    <s v="Brisbane"/>
    <x v="4"/>
    <n v="318.7"/>
    <n v="2"/>
    <x v="1"/>
  </r>
  <r>
    <x v="341"/>
    <s v="bluecharlie@optusnet.com.au"/>
    <s v="Charlotte"/>
    <s v="Martin"/>
    <s v="Melbourne"/>
    <x v="2"/>
    <n v="14.29"/>
    <n v="1"/>
    <x v="0"/>
  </r>
  <r>
    <x v="342"/>
    <s v="kovac.jack@aol.com"/>
    <s v="Jack"/>
    <s v="Kovac"/>
    <s v="Sydney"/>
    <x v="1"/>
    <n v="0"/>
    <n v="0"/>
    <x v="0"/>
  </r>
  <r>
    <x v="343"/>
    <s v="anhloop@live.au"/>
    <s v="Anh"/>
    <s v="Kim"/>
    <s v="Hobart"/>
    <x v="6"/>
    <n v="0"/>
    <n v="0"/>
    <x v="0"/>
  </r>
  <r>
    <x v="344"/>
    <s v="freya.kim@live.au"/>
    <s v="Freya"/>
    <s v="Kim"/>
    <s v="Perth"/>
    <x v="3"/>
    <n v="0"/>
    <n v="0"/>
    <x v="0"/>
  </r>
  <r>
    <x v="345"/>
    <s v="arlo38@optusnet.com.au"/>
    <s v="Arlo"/>
    <s v="Collins"/>
    <s v="Melbourne"/>
    <x v="2"/>
    <n v="156.32000000000002"/>
    <n v="2"/>
    <x v="1"/>
  </r>
  <r>
    <x v="346"/>
    <s v="phoebewild@aol.com"/>
    <s v="Phoebe"/>
    <s v="Turner"/>
    <s v="Geelong"/>
    <x v="2"/>
    <n v="0"/>
    <n v="0"/>
    <x v="0"/>
  </r>
  <r>
    <x v="347"/>
    <s v="henry1988@microsoft.com"/>
    <s v="Henry"/>
    <s v="Nowak"/>
    <s v="Darwin"/>
    <x v="0"/>
    <n v="0"/>
    <n v="0"/>
    <x v="0"/>
  </r>
  <r>
    <x v="348"/>
    <s v="georgiamail@hotmail.com"/>
    <s v="Georgia"/>
    <s v="Georgiou"/>
    <s v="Wollongong"/>
    <x v="1"/>
    <n v="92.77"/>
    <n v="1"/>
    <x v="0"/>
  </r>
  <r>
    <x v="349"/>
    <s v="hassan2000@hotmail.com"/>
    <s v="Hassan"/>
    <s v="Ali"/>
    <s v="Mandurah"/>
    <x v="3"/>
    <n v="0"/>
    <n v="0"/>
    <x v="0"/>
  </r>
  <r>
    <x v="350"/>
    <s v="willowivanova@bigpond.com.au"/>
    <s v="Willow"/>
    <s v="Ivanova"/>
    <s v="Wollongong"/>
    <x v="1"/>
    <n v="51.56"/>
    <n v="1"/>
    <x v="0"/>
  </r>
  <r>
    <x v="351"/>
    <s v="willow79@live.au"/>
    <s v="Willow"/>
    <s v="Silva"/>
    <s v="Port Lincoln"/>
    <x v="5"/>
    <n v="177.75"/>
    <n v="2"/>
    <x v="1"/>
  </r>
  <r>
    <x v="352"/>
    <s v="willow.smith@gmail.com"/>
    <s v="Willow"/>
    <s v="Smith"/>
    <s v="Wollongong"/>
    <x v="1"/>
    <n v="0"/>
    <n v="0"/>
    <x v="0"/>
  </r>
  <r>
    <x v="353"/>
    <s v="ali.mia@aol.com"/>
    <s v="Mia"/>
    <s v="Ali"/>
    <s v="Toowoomba"/>
    <x v="4"/>
    <n v="0"/>
    <n v="0"/>
    <x v="0"/>
  </r>
  <r>
    <x v="354"/>
    <s v="henryhot@bigpond.com.au"/>
    <s v="Henry"/>
    <s v="Baker"/>
    <s v="Melbourne"/>
    <x v="2"/>
    <n v="201.84"/>
    <n v="2"/>
    <x v="1"/>
  </r>
  <r>
    <x v="355"/>
    <s v="ruby_162@hotmail.com"/>
    <s v="Ruby"/>
    <s v="Green"/>
    <s v="Melbourne"/>
    <x v="2"/>
    <n v="0"/>
    <n v="0"/>
    <x v="0"/>
  </r>
  <r>
    <x v="356"/>
    <s v="mileslate@hotmail.com"/>
    <s v="Miles"/>
    <s v="Park"/>
    <s v="Melbourne"/>
    <x v="2"/>
    <n v="0"/>
    <n v="0"/>
    <x v="0"/>
  </r>
  <r>
    <x v="357"/>
    <s v="bake.lucas@live.au"/>
    <s v="Lucas"/>
    <s v="Patel"/>
    <s v="Perth"/>
    <x v="3"/>
    <n v="0"/>
    <n v="0"/>
    <x v="0"/>
  </r>
  <r>
    <x v="358"/>
    <s v="noah7@outlook.com"/>
    <s v="Noah"/>
    <s v="Collins"/>
    <s v="Central Coast"/>
    <x v="1"/>
    <n v="0"/>
    <n v="0"/>
    <x v="0"/>
  </r>
  <r>
    <x v="359"/>
    <s v="alexanderearly@gmail.com"/>
    <s v="Aleks"/>
    <s v="Martin"/>
    <s v="Sydney"/>
    <x v="1"/>
    <n v="0"/>
    <n v="0"/>
    <x v="0"/>
  </r>
  <r>
    <x v="360"/>
    <s v="jsilva@microsoft.com"/>
    <s v="James"/>
    <s v="Silva"/>
    <s v="Torquay"/>
    <x v="2"/>
    <n v="358.21000000000004"/>
    <n v="2"/>
    <x v="1"/>
  </r>
  <r>
    <x v="361"/>
    <s v="z.harrison@live.au"/>
    <s v="Harrison"/>
    <s v="Zan"/>
    <s v="Byron Bay"/>
    <x v="1"/>
    <n v="0"/>
    <n v="0"/>
    <x v="0"/>
  </r>
  <r>
    <x v="362"/>
    <s v="masonpapadopoulos@optusnet.com.au"/>
    <s v="Mason"/>
    <s v="Kiriatidis"/>
    <s v="Victor Harbor"/>
    <x v="5"/>
    <n v="206.39"/>
    <n v="2"/>
    <x v="1"/>
  </r>
  <r>
    <x v="363"/>
    <s v="earlytom@aol.com"/>
    <s v="Thomas"/>
    <s v="Smith"/>
    <s v="Dubbo"/>
    <x v="1"/>
    <n v="111.09"/>
    <n v="1"/>
    <x v="0"/>
  </r>
  <r>
    <x v="364"/>
    <s v="cooper.conti@gmail.com"/>
    <s v="Cooper"/>
    <s v="Conti"/>
    <s v="Sydney"/>
    <x v="1"/>
    <n v="0"/>
    <n v="0"/>
    <x v="0"/>
  </r>
  <r>
    <x v="365"/>
    <s v="lunasilva@gmail.com"/>
    <s v="Luna"/>
    <s v="DeSilva"/>
    <s v="Dubbo"/>
    <x v="1"/>
    <n v="0"/>
    <n v="0"/>
    <x v="0"/>
  </r>
  <r>
    <x v="366"/>
    <s v="grace90@live.au"/>
    <s v="Grace"/>
    <s v="Bianchi"/>
    <s v="Launceston"/>
    <x v="6"/>
    <n v="16.8"/>
    <n v="1"/>
    <x v="0"/>
  </r>
  <r>
    <x v="367"/>
    <s v="noah.star@outlook.com"/>
    <s v="Noah"/>
    <s v="Turner"/>
    <s v="Dubbo"/>
    <x v="1"/>
    <n v="0"/>
    <n v="0"/>
    <x v="0"/>
  </r>
  <r>
    <x v="368"/>
    <s v="daniel.horvat@outlook.com"/>
    <s v="Daniel"/>
    <s v="Horvat"/>
    <s v="Geelong"/>
    <x v="2"/>
    <n v="0"/>
    <n v="0"/>
    <x v="0"/>
  </r>
  <r>
    <x v="369"/>
    <s v="gracenor@bigpond.com.au"/>
    <s v="Grace"/>
    <s v="Norton"/>
    <s v="Darwin"/>
    <x v="0"/>
    <n v="0"/>
    <n v="0"/>
    <x v="0"/>
  </r>
  <r>
    <x v="370"/>
    <s v="yuki.green@gmail.com"/>
    <s v="Yuki"/>
    <s v="Green"/>
    <s v="Bunbury"/>
    <x v="3"/>
    <n v="0"/>
    <n v="0"/>
    <x v="0"/>
  </r>
  <r>
    <x v="371"/>
    <s v="will_809@gmail.com"/>
    <s v="Will"/>
    <s v="Carter"/>
    <s v="Central Coast"/>
    <x v="1"/>
    <n v="0"/>
    <n v="0"/>
    <x v="0"/>
  </r>
  <r>
    <x v="372"/>
    <s v="lewis.noah@outlook.com"/>
    <s v="Noah"/>
    <s v="Fillip"/>
    <s v="Sydney"/>
    <x v="1"/>
    <n v="132.11000000000001"/>
    <n v="3"/>
    <x v="1"/>
  </r>
  <r>
    <x v="373"/>
    <s v="willowtaylor@microsoft.com"/>
    <s v="Moana"/>
    <s v="Tailor"/>
    <s v="Ballarat"/>
    <x v="2"/>
    <n v="0"/>
    <n v="0"/>
    <x v="0"/>
  </r>
  <r>
    <x v="374"/>
    <s v="travel.angus@bigpond.com.au"/>
    <s v="Angus"/>
    <s v="Kelly"/>
    <s v="Melbourne"/>
    <x v="2"/>
    <n v="0"/>
    <n v="0"/>
    <x v="0"/>
  </r>
  <r>
    <x v="375"/>
    <s v="olivia.footy@outlook.com"/>
    <s v="Olivia"/>
    <s v="Murphy"/>
    <s v="Sydney"/>
    <x v="1"/>
    <n v="0"/>
    <n v="0"/>
    <x v="0"/>
  </r>
  <r>
    <x v="376"/>
    <s v="wildolivia@bigpond.com.au"/>
    <s v="Olivia"/>
    <s v="Murphy"/>
    <s v="Mount Gambier"/>
    <x v="5"/>
    <n v="90.89"/>
    <n v="1"/>
    <x v="0"/>
  </r>
  <r>
    <x v="377"/>
    <s v="lucascollins@bigpond.com.au"/>
    <s v="Lilly"/>
    <s v="Collins"/>
    <s v="Perth"/>
    <x v="3"/>
    <n v="54.07"/>
    <n v="1"/>
    <x v="0"/>
  </r>
  <r>
    <x v="378"/>
    <s v="art.matilda@bigpond.com.au"/>
    <s v="Matilda"/>
    <s v="Rossi"/>
    <s v="Central Coast"/>
    <x v="1"/>
    <n v="0"/>
    <n v="0"/>
    <x v="0"/>
  </r>
  <r>
    <x v="379"/>
    <s v="scarlett2005@gmail.com"/>
    <s v="Scarlett"/>
    <s v="Brown"/>
    <s v="Byron Bay"/>
    <x v="1"/>
    <n v="0"/>
    <n v="0"/>
    <x v="0"/>
  </r>
  <r>
    <x v="380"/>
    <s v="green.ali@optusnet.com.au"/>
    <s v="Ali"/>
    <s v="Jones"/>
    <s v="Cairns"/>
    <x v="4"/>
    <n v="0"/>
    <n v="0"/>
    <x v="0"/>
  </r>
  <r>
    <x v="381"/>
    <s v="benjamin.conti@gmail.com"/>
    <s v="Benji"/>
    <s v="Carlson"/>
    <s v="Gold Coast"/>
    <x v="4"/>
    <n v="0"/>
    <n v="0"/>
    <x v="0"/>
  </r>
  <r>
    <x v="382"/>
    <s v="happyeloise@microsoft.com"/>
    <s v="Eloise"/>
    <s v="Collins"/>
    <s v="Brisbane"/>
    <x v="4"/>
    <n v="0"/>
    <n v="0"/>
    <x v="0"/>
  </r>
  <r>
    <x v="383"/>
    <s v="lcarter@optusnet.com.au"/>
    <s v="Leo"/>
    <s v="Carter"/>
    <s v="Devonport"/>
    <x v="6"/>
    <n v="0"/>
    <n v="0"/>
    <x v="0"/>
  </r>
  <r>
    <x v="384"/>
    <s v="evie.kim@aol.com"/>
    <s v="Evie"/>
    <s v="Kim"/>
    <s v="Byron Bay"/>
    <x v="1"/>
    <n v="117.44"/>
    <n v="1"/>
    <x v="0"/>
  </r>
  <r>
    <x v="385"/>
    <s v="happylayla@gmail.com"/>
    <s v="Layla"/>
    <s v="Johnson"/>
    <s v="Byron Bay"/>
    <x v="1"/>
    <n v="0"/>
    <n v="0"/>
    <x v="0"/>
  </r>
  <r>
    <x v="386"/>
    <s v="phoebe.tech@aol.com"/>
    <s v="Phoebe"/>
    <s v="Williams"/>
    <s v="Sale"/>
    <x v="2"/>
    <n v="0"/>
    <n v="0"/>
    <x v="0"/>
  </r>
  <r>
    <x v="387"/>
    <s v="morris.ananya@live.au"/>
    <s v="Ananya"/>
    <s v="Morris"/>
    <s v="Torquay"/>
    <x v="2"/>
    <n v="0"/>
    <n v="0"/>
    <x v="0"/>
  </r>
  <r>
    <x v="388"/>
    <s v="sebastian1992@bigpond.com.au"/>
    <s v="Sebastian"/>
    <s v="Parker"/>
    <s v="Sunshine Coast"/>
    <x v="4"/>
    <n v="0"/>
    <n v="0"/>
    <x v="0"/>
  </r>
  <r>
    <x v="389"/>
    <s v="yusuf.smith@bigpond.com.au"/>
    <s v="Raisah"/>
    <s v="Yusuf"/>
    <s v="Torquay"/>
    <x v="2"/>
    <n v="228.7"/>
    <n v="1"/>
    <x v="0"/>
  </r>
  <r>
    <x v="390"/>
    <s v="bodhihall@yahoo.com"/>
    <s v="Bodhi"/>
    <s v="Hall"/>
    <s v="Central Coast"/>
    <x v="1"/>
    <n v="121.43"/>
    <n v="1"/>
    <x v="0"/>
  </r>
  <r>
    <x v="391"/>
    <s v="tau.amelia@yahoo.com"/>
    <s v="Amelia"/>
    <s v="Tau"/>
    <s v="Bendigo"/>
    <x v="2"/>
    <n v="85.93"/>
    <n v="2"/>
    <x v="1"/>
  </r>
  <r>
    <x v="392"/>
    <s v="lhall@bigpond.com.au"/>
    <s v="Luna"/>
    <s v="Hall"/>
    <s v="Perth"/>
    <x v="3"/>
    <n v="0"/>
    <n v="0"/>
    <x v="0"/>
  </r>
  <r>
    <x v="393"/>
    <s v="riseandshine@optusnet.com.au"/>
    <s v="Charlotte"/>
    <s v="DeAngelo"/>
    <s v="Melbourne"/>
    <x v="2"/>
    <n v="0"/>
    <n v="0"/>
    <x v="0"/>
  </r>
  <r>
    <x v="394"/>
    <s v="ella28@aol.com"/>
    <s v="Florence"/>
    <s v="Wang"/>
    <s v="Central Coast"/>
    <x v="1"/>
    <n v="0"/>
    <n v="0"/>
    <x v="0"/>
  </r>
  <r>
    <x v="395"/>
    <s v="blueluca@gmail.com"/>
    <s v="Luca"/>
    <s v="Choi"/>
    <s v="Wollongong"/>
    <x v="1"/>
    <n v="6.88"/>
    <n v="1"/>
    <x v="0"/>
  </r>
  <r>
    <x v="396"/>
    <s v="homebrew.ana@outlook.com"/>
    <s v="Aviana"/>
    <s v="Chen"/>
    <s v="Central Coast"/>
    <x v="1"/>
    <n v="27.11"/>
    <n v="2"/>
    <x v="1"/>
  </r>
  <r>
    <x v="397"/>
    <s v="amelialate@bigpond.com.au"/>
    <s v="Amelia"/>
    <s v="Li"/>
    <s v="Melbourne"/>
    <x v="2"/>
    <n v="126.88"/>
    <n v="2"/>
    <x v="1"/>
  </r>
  <r>
    <x v="398"/>
    <s v="eloise63@gmail.com"/>
    <s v="Eloise"/>
    <s v="Walker"/>
    <s v="Sydney"/>
    <x v="1"/>
    <n v="72.28"/>
    <n v="1"/>
    <x v="0"/>
  </r>
  <r>
    <x v="399"/>
    <s v="mateo.mail@aol.com"/>
    <s v="Mateo"/>
    <s v="Pham"/>
    <s v="Perth"/>
    <x v="3"/>
    <n v="53.96"/>
    <n v="1"/>
    <x v="0"/>
  </r>
  <r>
    <x v="400"/>
    <s v="sadieeeeee@microsoft.com"/>
    <s v="Sadie"/>
    <s v="Aroha"/>
    <s v="Brisbane"/>
    <x v="4"/>
    <n v="0"/>
    <n v="0"/>
    <x v="0"/>
  </r>
  <r>
    <x v="401"/>
    <s v="supethan@microsoft.com"/>
    <s v="Ethan"/>
    <s v="DeLuca"/>
    <s v="Bunbury"/>
    <x v="3"/>
    <n v="0"/>
    <n v="0"/>
    <x v="0"/>
  </r>
  <r>
    <x v="402"/>
    <s v="ali20@live.au"/>
    <s v="Ali"/>
    <s v="Tanaka"/>
    <s v="Ballarat"/>
    <x v="2"/>
    <n v="60.86"/>
    <n v="1"/>
    <x v="0"/>
  </r>
  <r>
    <x v="403"/>
    <s v="music.thuy@bigpond.com.au"/>
    <s v="Thuy"/>
    <s v="Johnson"/>
    <s v="Ballarat"/>
    <x v="2"/>
    <n v="0"/>
    <n v="0"/>
    <x v="0"/>
  </r>
  <r>
    <x v="404"/>
    <s v="hamish.pereira@outlook.com"/>
    <s v="Hamish"/>
    <s v="Pereira"/>
    <s v="Geelong"/>
    <x v="2"/>
    <n v="134.74"/>
    <n v="2"/>
    <x v="1"/>
  </r>
  <r>
    <x v="405"/>
    <s v="sebastian_666@hotmail.com"/>
    <s v="Sebastian"/>
    <s v="Papadopoulos"/>
    <s v="Geelong"/>
    <x v="2"/>
    <n v="0"/>
    <n v="0"/>
    <x v="0"/>
  </r>
  <r>
    <x v="406"/>
    <s v="nowmail@hotmail.com"/>
    <s v="Wei"/>
    <s v="Nowak"/>
    <s v="Kalgoorlie"/>
    <x v="3"/>
    <n v="0"/>
    <n v="0"/>
    <x v="0"/>
  </r>
  <r>
    <x v="407"/>
    <s v="coastaldan@bigpond.com.au"/>
    <s v="Daniel"/>
    <s v="Jones"/>
    <s v="Canberra"/>
    <x v="7"/>
    <n v="0"/>
    <n v="0"/>
    <x v="0"/>
  </r>
  <r>
    <x v="408"/>
    <s v="turner.willow@aol.com"/>
    <s v="Willow"/>
    <s v="Trainor"/>
    <s v="Geelong"/>
    <x v="2"/>
    <n v="0"/>
    <n v="0"/>
    <x v="0"/>
  </r>
  <r>
    <x v="409"/>
    <s v="costa.scarlett@aol.com"/>
    <s v="Scarlett"/>
    <s v="Costas"/>
    <s v="Albany"/>
    <x v="3"/>
    <n v="0"/>
    <n v="0"/>
    <x v="0"/>
  </r>
  <r>
    <x v="410"/>
    <s v="horvat.charlie@microsoft.com"/>
    <s v="Charlotte"/>
    <s v="Horvat"/>
    <s v="Toowoomba"/>
    <x v="4"/>
    <n v="0"/>
    <n v="0"/>
    <x v="0"/>
  </r>
  <r>
    <x v="411"/>
    <s v="coastalomar@yahoo.com"/>
    <s v="Omar"/>
    <s v="Horvat"/>
    <s v="Geelong"/>
    <x v="2"/>
    <n v="38.11"/>
    <n v="1"/>
    <x v="0"/>
  </r>
  <r>
    <x v="412"/>
    <s v="kingofthecoop@microsoft.com"/>
    <s v="Cooper"/>
    <s v="King"/>
    <s v="Adelaide"/>
    <x v="5"/>
    <n v="0"/>
    <n v="0"/>
    <x v="0"/>
  </r>
  <r>
    <x v="413"/>
    <s v="avablue@hotmail.com"/>
    <s v="Ava"/>
    <s v="Ali"/>
    <s v="Central Coast"/>
    <x v="1"/>
    <n v="0"/>
    <n v="0"/>
    <x v="0"/>
  </r>
  <r>
    <x v="414"/>
    <s v="luna.coffee@bigpond.com.au"/>
    <s v="Luna"/>
    <s v="Williams"/>
    <s v="Adelaide"/>
    <x v="5"/>
    <n v="0"/>
    <n v="0"/>
    <x v="0"/>
  </r>
  <r>
    <x v="415"/>
    <s v="will93@outlook.com"/>
    <s v="Bill"/>
    <s v="Brown"/>
    <s v="Gold Coast"/>
    <x v="4"/>
    <n v="150.78"/>
    <n v="2"/>
    <x v="1"/>
  </r>
  <r>
    <x v="416"/>
    <s v="evieturner@gmail.com"/>
    <s v="Evie"/>
    <s v="Trader"/>
    <s v="Byron Bay"/>
    <x v="1"/>
    <n v="85.71"/>
    <n v="1"/>
    <x v="0"/>
  </r>
  <r>
    <x v="417"/>
    <s v="willowraven@outlook.com"/>
    <s v="Maia"/>
    <s v="Roberts"/>
    <s v="Melbourne"/>
    <x v="2"/>
    <n v="0"/>
    <n v="0"/>
    <x v="0"/>
  </r>
  <r>
    <x v="418"/>
    <s v="happyamelia@outlook.com"/>
    <s v="Amelia"/>
    <s v="Smith"/>
    <s v="Sale"/>
    <x v="2"/>
    <n v="0"/>
    <n v="0"/>
    <x v="0"/>
  </r>
  <r>
    <x v="419"/>
    <s v="avaurban@yahoo.com"/>
    <s v="Ava"/>
    <s v="Clark"/>
    <s v="Brisbane"/>
    <x v="4"/>
    <n v="0"/>
    <n v="0"/>
    <x v="0"/>
  </r>
  <r>
    <x v="420"/>
    <s v="alex1991@live.au"/>
    <s v="Alexander"/>
    <s v="White"/>
    <s v="Cairns"/>
    <x v="4"/>
    <n v="0"/>
    <n v="0"/>
    <x v="0"/>
  </r>
  <r>
    <x v="421"/>
    <s v="isla.coffee@microsoft.com"/>
    <s v="Isla"/>
    <s v="Aroha"/>
    <s v="Gold Coast"/>
    <x v="4"/>
    <n v="0"/>
    <n v="0"/>
    <x v="0"/>
  </r>
  <r>
    <x v="422"/>
    <s v="sharma.sophie@microsoft.com"/>
    <s v="Sophie"/>
    <s v="Sharma"/>
    <s v="Mount Gambier"/>
    <x v="5"/>
    <n v="0"/>
    <n v="0"/>
    <x v="0"/>
  </r>
  <r>
    <x v="423"/>
    <s v="william.horvat@gmail.com"/>
    <s v="William"/>
    <s v="Horvat"/>
    <s v="Newcastle"/>
    <x v="1"/>
    <n v="0"/>
    <n v="0"/>
    <x v="0"/>
  </r>
  <r>
    <x v="424"/>
    <s v="graceconti@gmail.com"/>
    <s v="Grace"/>
    <s v="Conti"/>
    <s v="Melbourne"/>
    <x v="2"/>
    <n v="0"/>
    <n v="0"/>
    <x v="0"/>
  </r>
  <r>
    <x v="425"/>
    <s v="white.willow@microsoft.com"/>
    <s v="Willow"/>
    <s v="White"/>
    <s v="Geelong"/>
    <x v="2"/>
    <n v="11.92"/>
    <n v="1"/>
    <x v="0"/>
  </r>
  <r>
    <x v="426"/>
    <s v="mcooper_20@microsoft.com"/>
    <s v="Cooper"/>
    <s v="Martin"/>
    <s v="Gold Coast"/>
    <x v="4"/>
    <n v="0"/>
    <n v="0"/>
    <x v="0"/>
  </r>
  <r>
    <x v="427"/>
    <s v="sophie1985@gmail.com"/>
    <s v="Sophie"/>
    <s v="Tardy"/>
    <s v="Melbourne"/>
    <x v="2"/>
    <n v="24.270000000000003"/>
    <n v="1"/>
    <x v="0"/>
  </r>
  <r>
    <x v="428"/>
    <s v="bonnie.roberts@bigpond.com.au"/>
    <s v="Bonnie"/>
    <s v="Roberts"/>
    <s v="Sydney"/>
    <x v="1"/>
    <n v="0"/>
    <n v="0"/>
    <x v="0"/>
  </r>
  <r>
    <x v="429"/>
    <s v="amelia.bake@aol.com"/>
    <s v="Amelia"/>
    <s v="Horvat"/>
    <s v="Perth"/>
    <x v="3"/>
    <n v="0"/>
    <n v="0"/>
    <x v="0"/>
  </r>
  <r>
    <x v="430"/>
    <s v="phoebeurban@hotmail.com"/>
    <s v="Phoebe"/>
    <s v="Silva"/>
    <s v="Brisbane"/>
    <x v="4"/>
    <n v="0"/>
    <n v="0"/>
    <x v="0"/>
  </r>
  <r>
    <x v="431"/>
    <s v="latewill@gmail.com"/>
    <s v="William"/>
    <s v="Brown"/>
    <s v="Sydney"/>
    <x v="1"/>
    <n v="0"/>
    <n v="0"/>
    <x v="0"/>
  </r>
  <r>
    <x v="432"/>
    <s v="cpereira@aol.com"/>
    <s v="Charlotte"/>
    <s v="Pereira"/>
    <s v="Perth"/>
    <x v="3"/>
    <n v="0"/>
    <n v="0"/>
    <x v="0"/>
  </r>
  <r>
    <x v="433"/>
    <s v="mgeorgiou@hotmail.com"/>
    <s v="Mia"/>
    <s v="Georgiou"/>
    <s v="Ballarat"/>
    <x v="2"/>
    <n v="0"/>
    <n v="0"/>
    <x v="0"/>
  </r>
  <r>
    <x v="434"/>
    <s v="isla_508@bigpond.com.au"/>
    <s v="Isla"/>
    <s v="Clarke"/>
    <s v="Newcastle"/>
    <x v="1"/>
    <n v="0"/>
    <n v="0"/>
    <x v="0"/>
  </r>
  <r>
    <x v="435"/>
    <s v="wilson.felix@gmail.com"/>
    <s v="Felix"/>
    <s v="Wilson"/>
    <s v="Victor Harbor"/>
    <x v="5"/>
    <n v="0"/>
    <n v="0"/>
    <x v="0"/>
  </r>
  <r>
    <x v="436"/>
    <s v="maisie_171@aol.com"/>
    <s v="Maisie"/>
    <s v="Kovac"/>
    <s v="Sale"/>
    <x v="2"/>
    <n v="0"/>
    <n v="0"/>
    <x v="0"/>
  </r>
  <r>
    <x v="437"/>
    <s v="ella92@hotmail.com"/>
    <s v="Ella"/>
    <s v="McGuinness"/>
    <s v="Kalgoorlie"/>
    <x v="3"/>
    <n v="0"/>
    <n v="0"/>
    <x v="0"/>
  </r>
  <r>
    <x v="438"/>
    <s v="wildolivia@aol.com"/>
    <s v="Olivia"/>
    <s v="Collins"/>
    <s v="Geraldton"/>
    <x v="3"/>
    <n v="0"/>
    <n v="0"/>
    <x v="0"/>
  </r>
  <r>
    <x v="439"/>
    <s v="wen1980@optusnet.com.au"/>
    <s v="Wen"/>
    <s v="Young"/>
    <s v="Wollongong"/>
    <x v="1"/>
    <n v="0"/>
    <n v="0"/>
    <x v="0"/>
  </r>
  <r>
    <x v="440"/>
    <s v="art.ella@bigpond.com.au"/>
    <s v="Ella"/>
    <s v="Nowak"/>
    <s v="Toowoomba"/>
    <x v="4"/>
    <n v="0"/>
    <n v="0"/>
    <x v="0"/>
  </r>
  <r>
    <x v="441"/>
    <m/>
    <m/>
    <m/>
    <m/>
    <x v="8"/>
    <m/>
    <m/>
    <x v="2"/>
  </r>
  <r>
    <x v="441"/>
    <m/>
    <m/>
    <m/>
    <m/>
    <x v="8"/>
    <m/>
    <m/>
    <x v="2"/>
  </r>
  <r>
    <x v="441"/>
    <m/>
    <m/>
    <m/>
    <m/>
    <x v="8"/>
    <m/>
    <m/>
    <x v="2"/>
  </r>
  <r>
    <x v="441"/>
    <m/>
    <m/>
    <m/>
    <m/>
    <x v="8"/>
    <m/>
    <m/>
    <x v="2"/>
  </r>
  <r>
    <x v="441"/>
    <m/>
    <m/>
    <m/>
    <m/>
    <x v="8"/>
    <m/>
    <m/>
    <x v="2"/>
  </r>
  <r>
    <x v="441"/>
    <m/>
    <m/>
    <m/>
    <m/>
    <x v="8"/>
    <m/>
    <m/>
    <x v="2"/>
  </r>
  <r>
    <x v="441"/>
    <m/>
    <m/>
    <m/>
    <m/>
    <x v="8"/>
    <m/>
    <m/>
    <x v="2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0">
  <r>
    <s v="ORD000001"/>
    <s v="PROD00077"/>
    <n v="1"/>
    <x v="0"/>
    <n v="26.76"/>
    <n v="26.76"/>
  </r>
  <r>
    <s v="ORD000002"/>
    <s v="PROD00191"/>
    <n v="1"/>
    <x v="1"/>
    <n v="47.32"/>
    <n v="47.32"/>
  </r>
  <r>
    <s v="ORD000003"/>
    <s v="PROD00230"/>
    <n v="1"/>
    <x v="2"/>
    <n v="25"/>
    <n v="25"/>
  </r>
  <r>
    <s v="ORD000004"/>
    <s v="PROD00204"/>
    <n v="1"/>
    <x v="3"/>
    <n v="38.56"/>
    <n v="38.56"/>
  </r>
  <r>
    <s v="ORD000005"/>
    <s v="PROD00452"/>
    <n v="1"/>
    <x v="4"/>
    <n v="7.32"/>
    <n v="7.32"/>
  </r>
  <r>
    <s v="ORD000006"/>
    <s v="PROD00084"/>
    <n v="1"/>
    <x v="0"/>
    <n v="46.55"/>
    <n v="46.55"/>
  </r>
  <r>
    <s v="ORD000007"/>
    <s v="PROD00283"/>
    <n v="1"/>
    <x v="5"/>
    <n v="32.76"/>
    <n v="32.76"/>
  </r>
  <r>
    <s v="ORD000008"/>
    <s v="PROD00081"/>
    <n v="1"/>
    <x v="1"/>
    <n v="20.59"/>
    <n v="20.59"/>
  </r>
  <r>
    <s v="ORD000009"/>
    <s v="PROD00171"/>
    <n v="1"/>
    <x v="5"/>
    <n v="40.28"/>
    <n v="40.28"/>
  </r>
  <r>
    <s v="ORD000010"/>
    <s v="PROD00240"/>
    <n v="1"/>
    <x v="6"/>
    <n v="51.74"/>
    <n v="51.74"/>
  </r>
  <r>
    <s v="ORD000011"/>
    <s v="PROD00019"/>
    <n v="2"/>
    <x v="2"/>
    <n v="10.94"/>
    <n v="21.88"/>
  </r>
  <r>
    <s v="ORD000011"/>
    <s v="PROD00240"/>
    <n v="1"/>
    <x v="6"/>
    <n v="51.74"/>
    <n v="51.74"/>
  </r>
  <r>
    <s v="ORD000011"/>
    <s v="PROD00409"/>
    <n v="1"/>
    <x v="5"/>
    <n v="64.84"/>
    <n v="64.84"/>
  </r>
  <r>
    <s v="ORD000012"/>
    <s v="PROD00059"/>
    <n v="1"/>
    <x v="2"/>
    <n v="15.04"/>
    <n v="15.04"/>
  </r>
  <r>
    <s v="ORD000012"/>
    <s v="PROD00324"/>
    <n v="1"/>
    <x v="7"/>
    <n v="33.89"/>
    <n v="33.89"/>
  </r>
  <r>
    <s v="ORD000013"/>
    <s v="PROD00007"/>
    <n v="1"/>
    <x v="8"/>
    <n v="38.25"/>
    <n v="38.25"/>
  </r>
  <r>
    <s v="ORD000014"/>
    <s v="PROD00108"/>
    <n v="2"/>
    <x v="0"/>
    <n v="91.41"/>
    <n v="182.82"/>
  </r>
  <r>
    <s v="ORD000014"/>
    <s v="PROD00120"/>
    <n v="1"/>
    <x v="5"/>
    <n v="25.48"/>
    <n v="25.48"/>
  </r>
  <r>
    <s v="ORD000014"/>
    <s v="PROD00159"/>
    <n v="1"/>
    <x v="8"/>
    <n v="13.7"/>
    <n v="13.7"/>
  </r>
  <r>
    <s v="ORD000015"/>
    <s v="PROD00200"/>
    <n v="1"/>
    <x v="6"/>
    <n v="30.95"/>
    <n v="30.95"/>
  </r>
  <r>
    <s v="ORD000016"/>
    <s v="PROD00172"/>
    <n v="1"/>
    <x v="7"/>
    <n v="29.98"/>
    <n v="29.98"/>
  </r>
  <r>
    <s v="ORD000016"/>
    <s v="PROD00228"/>
    <n v="1"/>
    <x v="0"/>
    <n v="64.55"/>
    <n v="64.55"/>
  </r>
  <r>
    <s v="ORD000017"/>
    <s v="PROD00422"/>
    <n v="1"/>
    <x v="6"/>
    <n v="50.15"/>
    <n v="50.15"/>
  </r>
  <r>
    <s v="ORD000018"/>
    <s v="PROD00360"/>
    <n v="1"/>
    <x v="0"/>
    <n v="20.79"/>
    <n v="20.79"/>
  </r>
  <r>
    <s v="ORD000019"/>
    <s v="PROD00084"/>
    <n v="2"/>
    <x v="0"/>
    <n v="46.55"/>
    <n v="93.1"/>
  </r>
  <r>
    <s v="ORD000020"/>
    <s v="PROD00142"/>
    <n v="1"/>
    <x v="3"/>
    <n v="62.17"/>
    <n v="62.17"/>
  </r>
  <r>
    <s v="ORD000021"/>
    <s v="PROD00196"/>
    <n v="1"/>
    <x v="8"/>
    <n v="37.9"/>
    <n v="37.9"/>
  </r>
  <r>
    <s v="ORD000022"/>
    <s v="PROD00198"/>
    <n v="1"/>
    <x v="8"/>
    <n v="24.19"/>
    <n v="24.19"/>
  </r>
  <r>
    <s v="ORD000023"/>
    <s v="PROD00362"/>
    <n v="1"/>
    <x v="0"/>
    <n v="115.49"/>
    <n v="115.49"/>
  </r>
  <r>
    <s v="ORD000024"/>
    <s v="PROD00197"/>
    <n v="1"/>
    <x v="9"/>
    <n v="40.75"/>
    <n v="40.75"/>
  </r>
  <r>
    <s v="ORD000025"/>
    <s v="PROD00211"/>
    <n v="1"/>
    <x v="0"/>
    <n v="14.98"/>
    <n v="14.98"/>
  </r>
  <r>
    <s v="ORD000025"/>
    <s v="PROD00315"/>
    <n v="2"/>
    <x v="3"/>
    <n v="36.57"/>
    <n v="73.14"/>
  </r>
  <r>
    <s v="ORD000025"/>
    <s v="PROD00404"/>
    <n v="1"/>
    <x v="6"/>
    <n v="81.02"/>
    <n v="81.02"/>
  </r>
  <r>
    <s v="ORD000026"/>
    <s v="PROD00087"/>
    <n v="2"/>
    <x v="0"/>
    <n v="82.88"/>
    <n v="165.76"/>
  </r>
  <r>
    <s v="ORD000027"/>
    <s v="PROD00215"/>
    <n v="2"/>
    <x v="0"/>
    <n v="19.989999999999998"/>
    <n v="39.979999999999997"/>
  </r>
  <r>
    <s v="ORD000028"/>
    <s v="PROD00276"/>
    <n v="1"/>
    <x v="5"/>
    <n v="44.13"/>
    <n v="44.13"/>
  </r>
  <r>
    <s v="ORD000029"/>
    <s v="PROD00234"/>
    <n v="1"/>
    <x v="5"/>
    <n v="20.75"/>
    <n v="20.75"/>
  </r>
  <r>
    <s v="ORD000029"/>
    <s v="PROD00425"/>
    <n v="1"/>
    <x v="6"/>
    <n v="26.98"/>
    <n v="26.98"/>
  </r>
  <r>
    <s v="ORD000030"/>
    <s v="PROD00101"/>
    <n v="1"/>
    <x v="7"/>
    <n v="32.44"/>
    <n v="32.44"/>
  </r>
  <r>
    <s v="ORD000031"/>
    <s v="PROD00137"/>
    <n v="1"/>
    <x v="4"/>
    <n v="7.57"/>
    <n v="7.57"/>
  </r>
  <r>
    <s v="ORD000032"/>
    <s v="PROD00401"/>
    <n v="1"/>
    <x v="1"/>
    <n v="39.04"/>
    <n v="39.04"/>
  </r>
  <r>
    <s v="ORD000032"/>
    <s v="PROD00457"/>
    <n v="1"/>
    <x v="8"/>
    <n v="24.92"/>
    <n v="24.92"/>
  </r>
  <r>
    <s v="ORD000033"/>
    <s v="PROD00050"/>
    <n v="1"/>
    <x v="0"/>
    <n v="29.36"/>
    <n v="29.36"/>
  </r>
  <r>
    <s v="ORD000033"/>
    <s v="PROD00187"/>
    <n v="1"/>
    <x v="1"/>
    <n v="24.7"/>
    <n v="24.7"/>
  </r>
  <r>
    <s v="ORD000034"/>
    <s v="PROD00236"/>
    <n v="1"/>
    <x v="5"/>
    <n v="34.22"/>
    <n v="34.22"/>
  </r>
  <r>
    <s v="ORD000035"/>
    <s v="PROD00090"/>
    <n v="2"/>
    <x v="0"/>
    <n v="42.24"/>
    <n v="84.48"/>
  </r>
  <r>
    <s v="ORD000035"/>
    <s v="PROD00119"/>
    <n v="1"/>
    <x v="6"/>
    <n v="51.49"/>
    <n v="51.49"/>
  </r>
  <r>
    <s v="ORD000035"/>
    <s v="PROD00240"/>
    <n v="1"/>
    <x v="6"/>
    <n v="51.74"/>
    <n v="51.74"/>
  </r>
  <r>
    <s v="ORD000035"/>
    <s v="PROD00379"/>
    <n v="1"/>
    <x v="0"/>
    <n v="22.63"/>
    <n v="22.63"/>
  </r>
  <r>
    <s v="ORD000036"/>
    <s v="PROD00250"/>
    <n v="1"/>
    <x v="4"/>
    <n v="6.18"/>
    <n v="6.18"/>
  </r>
  <r>
    <s v="ORD000037"/>
    <s v="PROD00115"/>
    <n v="1"/>
    <x v="3"/>
    <n v="112.5"/>
    <n v="112.5"/>
  </r>
  <r>
    <s v="ORD000038"/>
    <s v="PROD00323"/>
    <n v="1"/>
    <x v="7"/>
    <n v="21.81"/>
    <n v="21.81"/>
  </r>
  <r>
    <s v="ORD000039"/>
    <s v="PROD00276"/>
    <n v="1"/>
    <x v="5"/>
    <n v="44.13"/>
    <n v="44.13"/>
  </r>
  <r>
    <s v="ORD000039"/>
    <s v="PROD00290"/>
    <n v="2"/>
    <x v="5"/>
    <n v="53.17"/>
    <n v="106.34"/>
  </r>
  <r>
    <s v="ORD000039"/>
    <s v="PROD00428"/>
    <n v="1"/>
    <x v="6"/>
    <n v="114.11"/>
    <n v="114.11"/>
  </r>
  <r>
    <s v="ORD000040"/>
    <s v="PROD00315"/>
    <n v="1"/>
    <x v="3"/>
    <n v="36.57"/>
    <n v="36.57"/>
  </r>
  <r>
    <s v="ORD000041"/>
    <s v="PROD00056"/>
    <n v="1"/>
    <x v="9"/>
    <n v="58.23"/>
    <n v="58.23"/>
  </r>
  <r>
    <s v="ORD000041"/>
    <s v="PROD00093"/>
    <n v="1"/>
    <x v="4"/>
    <n v="12.88"/>
    <n v="12.88"/>
  </r>
  <r>
    <s v="ORD000042"/>
    <s v="PROD00363"/>
    <n v="2"/>
    <x v="0"/>
    <n v="46.25"/>
    <n v="92.5"/>
  </r>
  <r>
    <s v="ORD000043"/>
    <s v="PROD00096"/>
    <n v="1"/>
    <x v="8"/>
    <n v="7.88"/>
    <n v="7.88"/>
  </r>
  <r>
    <s v="ORD000043"/>
    <s v="PROD00426"/>
    <n v="1"/>
    <x v="6"/>
    <n v="27.32"/>
    <n v="27.32"/>
  </r>
  <r>
    <s v="ORD000044"/>
    <s v="PROD00090"/>
    <n v="1"/>
    <x v="0"/>
    <n v="42.24"/>
    <n v="42.24"/>
  </r>
  <r>
    <s v="ORD000045"/>
    <s v="PROD00197"/>
    <n v="1"/>
    <x v="9"/>
    <n v="40.75"/>
    <n v="40.75"/>
  </r>
  <r>
    <s v="ORD000045"/>
    <s v="PROD00264"/>
    <n v="1"/>
    <x v="2"/>
    <n v="32.26"/>
    <n v="32.26"/>
  </r>
  <r>
    <s v="ORD000046"/>
    <s v="PROD00336"/>
    <n v="1"/>
    <x v="9"/>
    <n v="70.97"/>
    <n v="70.97"/>
  </r>
  <r>
    <s v="ORD000047"/>
    <s v="PROD00277"/>
    <n v="1"/>
    <x v="5"/>
    <n v="37.99"/>
    <n v="37.99"/>
  </r>
  <r>
    <s v="ORD000048"/>
    <s v="PROD00381"/>
    <n v="1"/>
    <x v="0"/>
    <n v="71.349999999999994"/>
    <n v="71.349999999999994"/>
  </r>
  <r>
    <s v="ORD000049"/>
    <s v="PROD00407"/>
    <n v="1"/>
    <x v="6"/>
    <n v="10.07"/>
    <n v="10.07"/>
  </r>
  <r>
    <s v="ORD000050"/>
    <s v="PROD00111"/>
    <n v="1"/>
    <x v="5"/>
    <n v="37.79"/>
    <n v="37.79"/>
  </r>
  <r>
    <s v="ORD000051"/>
    <s v="PROD00192"/>
    <n v="1"/>
    <x v="3"/>
    <n v="40.97"/>
    <n v="40.97"/>
  </r>
  <r>
    <s v="ORD000051"/>
    <s v="PROD00239"/>
    <n v="1"/>
    <x v="9"/>
    <n v="79.16"/>
    <n v="79.16"/>
  </r>
  <r>
    <s v="ORD000052"/>
    <s v="PROD00155"/>
    <n v="1"/>
    <x v="8"/>
    <n v="16.22"/>
    <n v="16.22"/>
  </r>
  <r>
    <s v="ORD000053"/>
    <s v="PROD00327"/>
    <n v="2"/>
    <x v="7"/>
    <n v="24.26"/>
    <n v="48.52"/>
  </r>
  <r>
    <s v="ORD000054"/>
    <s v="PROD00448"/>
    <n v="1"/>
    <x v="4"/>
    <n v="5.1100000000000003"/>
    <n v="5.1100000000000003"/>
  </r>
  <r>
    <s v="ORD000055"/>
    <s v="PROD00313"/>
    <n v="2"/>
    <x v="3"/>
    <n v="63.84"/>
    <n v="127.68"/>
  </r>
  <r>
    <s v="ORD000056"/>
    <s v="PROD00263"/>
    <n v="1"/>
    <x v="0"/>
    <n v="119.3"/>
    <n v="119.3"/>
  </r>
  <r>
    <s v="ORD000056"/>
    <s v="PROD00397"/>
    <n v="1"/>
    <x v="1"/>
    <n v="37.76"/>
    <n v="37.76"/>
  </r>
  <r>
    <s v="ORD000057"/>
    <s v="PROD00102"/>
    <n v="1"/>
    <x v="8"/>
    <n v="17.66"/>
    <n v="17.66"/>
  </r>
  <r>
    <s v="ORD000057"/>
    <s v="PROD00342"/>
    <n v="1"/>
    <x v="9"/>
    <n v="60.86"/>
    <n v="60.86"/>
  </r>
  <r>
    <s v="ORD000057"/>
    <s v="PROD00458"/>
    <n v="2"/>
    <x v="8"/>
    <n v="21.04"/>
    <n v="42.08"/>
  </r>
  <r>
    <s v="ORD000058"/>
    <s v="PROD00253"/>
    <n v="1"/>
    <x v="7"/>
    <n v="19.09"/>
    <n v="19.09"/>
  </r>
  <r>
    <s v="ORD000059"/>
    <s v="PROD00147"/>
    <n v="1"/>
    <x v="6"/>
    <n v="88.21"/>
    <n v="88.21"/>
  </r>
  <r>
    <s v="ORD000060"/>
    <s v="PROD00128"/>
    <n v="1"/>
    <x v="7"/>
    <n v="37.340000000000003"/>
    <n v="37.340000000000003"/>
  </r>
  <r>
    <s v="ORD000060"/>
    <s v="PROD00296"/>
    <n v="1"/>
    <x v="3"/>
    <n v="49.85"/>
    <n v="49.85"/>
  </r>
  <r>
    <s v="ORD000061"/>
    <s v="PROD00131"/>
    <n v="1"/>
    <x v="8"/>
    <n v="37.72"/>
    <n v="37.72"/>
  </r>
  <r>
    <s v="ORD000062"/>
    <s v="PROD00346"/>
    <n v="1"/>
    <x v="9"/>
    <n v="32.93"/>
    <n v="32.93"/>
  </r>
  <r>
    <s v="ORD000062"/>
    <s v="PROD00418"/>
    <n v="1"/>
    <x v="8"/>
    <n v="28.3"/>
    <n v="28.3"/>
  </r>
  <r>
    <s v="ORD000063"/>
    <s v="PROD00199"/>
    <n v="1"/>
    <x v="5"/>
    <n v="32.42"/>
    <n v="32.42"/>
  </r>
  <r>
    <s v="ORD000063"/>
    <s v="PROD00214"/>
    <n v="2"/>
    <x v="6"/>
    <n v="32.67"/>
    <n v="65.34"/>
  </r>
  <r>
    <s v="ORD000064"/>
    <s v="PROD00115"/>
    <n v="1"/>
    <x v="3"/>
    <n v="112.5"/>
    <n v="112.5"/>
  </r>
  <r>
    <s v="ORD000064"/>
    <s v="PROD00215"/>
    <n v="1"/>
    <x v="0"/>
    <n v="19.989999999999998"/>
    <n v="19.989999999999998"/>
  </r>
  <r>
    <s v="ORD000065"/>
    <s v="PROD00010"/>
    <n v="1"/>
    <x v="5"/>
    <n v="30.71"/>
    <n v="30.71"/>
  </r>
  <r>
    <s v="ORD000065"/>
    <s v="PROD00212"/>
    <n v="1"/>
    <x v="8"/>
    <n v="32.44"/>
    <n v="32.44"/>
  </r>
  <r>
    <s v="ORD000065"/>
    <s v="PROD00304"/>
    <n v="1"/>
    <x v="3"/>
    <n v="115.55"/>
    <n v="115.55"/>
  </r>
  <r>
    <s v="ORD000066"/>
    <s v="PROD00158"/>
    <n v="1"/>
    <x v="3"/>
    <n v="88.29"/>
    <n v="88.29"/>
  </r>
  <r>
    <s v="ORD000067"/>
    <s v="PROD00015"/>
    <n v="1"/>
    <x v="6"/>
    <n v="48.06"/>
    <n v="48.06"/>
  </r>
  <r>
    <s v="ORD000067"/>
    <s v="PROD00265"/>
    <n v="2"/>
    <x v="2"/>
    <n v="22.24"/>
    <n v="44.48"/>
  </r>
  <r>
    <s v="ORD000068"/>
    <s v="PROD00321"/>
    <n v="1"/>
    <x v="7"/>
    <n v="32.33"/>
    <n v="32.33"/>
  </r>
  <r>
    <s v="ORD000069"/>
    <s v="PROD00053"/>
    <n v="1"/>
    <x v="3"/>
    <n v="27.42"/>
    <n v="27.42"/>
  </r>
  <r>
    <s v="ORD000070"/>
    <s v="PROD00052"/>
    <n v="1"/>
    <x v="4"/>
    <n v="7.72"/>
    <n v="7.72"/>
  </r>
  <r>
    <s v="ORD000070"/>
    <s v="PROD00140"/>
    <n v="1"/>
    <x v="3"/>
    <n v="81.81"/>
    <n v="81.81"/>
  </r>
  <r>
    <s v="ORD000071"/>
    <s v="PROD00198"/>
    <n v="1"/>
    <x v="8"/>
    <n v="24.19"/>
    <n v="24.19"/>
  </r>
  <r>
    <s v="ORD000072"/>
    <s v="PROD00028"/>
    <n v="1"/>
    <x v="4"/>
    <n v="8.39"/>
    <n v="8.39"/>
  </r>
  <r>
    <s v="ORD000072"/>
    <s v="PROD00057"/>
    <n v="1"/>
    <x v="3"/>
    <n v="26.58"/>
    <n v="26.58"/>
  </r>
  <r>
    <s v="ORD000072"/>
    <s v="PROD00428"/>
    <n v="1"/>
    <x v="6"/>
    <n v="114.11"/>
    <n v="114.11"/>
  </r>
  <r>
    <s v="ORD000073"/>
    <s v="PROD00159"/>
    <n v="1"/>
    <x v="8"/>
    <n v="13.7"/>
    <n v="13.7"/>
  </r>
  <r>
    <s v="ORD000074"/>
    <s v="PROD00056"/>
    <n v="1"/>
    <x v="9"/>
    <n v="58.23"/>
    <n v="58.23"/>
  </r>
  <r>
    <s v="ORD000074"/>
    <s v="PROD00269"/>
    <n v="1"/>
    <x v="2"/>
    <n v="26.2"/>
    <n v="26.2"/>
  </r>
  <r>
    <s v="ORD000074"/>
    <s v="PROD00286"/>
    <n v="2"/>
    <x v="5"/>
    <n v="54.51"/>
    <n v="109.02"/>
  </r>
  <r>
    <s v="ORD000075"/>
    <s v="PROD00263"/>
    <n v="1"/>
    <x v="0"/>
    <n v="119.3"/>
    <n v="119.3"/>
  </r>
  <r>
    <s v="ORD000076"/>
    <s v="PROD00358"/>
    <n v="1"/>
    <x v="9"/>
    <n v="29.59"/>
    <n v="29.59"/>
  </r>
  <r>
    <s v="ORD000076"/>
    <s v="PROD00416"/>
    <n v="2"/>
    <x v="6"/>
    <n v="63.89"/>
    <n v="127.78"/>
  </r>
  <r>
    <s v="ORD000077"/>
    <s v="PROD00156"/>
    <n v="1"/>
    <x v="5"/>
    <n v="37.99"/>
    <n v="37.99"/>
  </r>
  <r>
    <s v="ORD000078"/>
    <s v="PROD00077"/>
    <n v="2"/>
    <x v="0"/>
    <n v="26.76"/>
    <n v="53.52"/>
  </r>
  <r>
    <s v="ORD000078"/>
    <s v="PROD00373"/>
    <n v="1"/>
    <x v="0"/>
    <n v="115.35"/>
    <n v="115.35"/>
  </r>
  <r>
    <s v="ORD000079"/>
    <s v="PROD00195"/>
    <n v="1"/>
    <x v="2"/>
    <n v="25.78"/>
    <n v="25.78"/>
  </r>
  <r>
    <s v="ORD000080"/>
    <s v="PROD00017"/>
    <n v="3"/>
    <x v="6"/>
    <n v="13.71"/>
    <n v="41.13"/>
  </r>
  <r>
    <s v="ORD000080"/>
    <s v="PROD00044"/>
    <n v="1"/>
    <x v="5"/>
    <n v="54.17"/>
    <n v="54.17"/>
  </r>
  <r>
    <s v="ORD000081"/>
    <s v="PROD00032"/>
    <n v="1"/>
    <x v="6"/>
    <n v="115.39"/>
    <n v="115.39"/>
  </r>
  <r>
    <s v="ORD000081"/>
    <s v="PROD00224"/>
    <n v="1"/>
    <x v="6"/>
    <n v="26.98"/>
    <n v="26.98"/>
  </r>
  <r>
    <s v="ORD000081"/>
    <s v="PROD00424"/>
    <n v="1"/>
    <x v="6"/>
    <n v="25.41"/>
    <n v="25.41"/>
  </r>
  <r>
    <s v="ORD000082"/>
    <s v="PROD00061"/>
    <n v="2"/>
    <x v="0"/>
    <n v="53.38"/>
    <n v="106.76"/>
  </r>
  <r>
    <s v="ORD000082"/>
    <s v="PROD00066"/>
    <n v="1"/>
    <x v="6"/>
    <n v="21.37"/>
    <n v="21.37"/>
  </r>
  <r>
    <s v="ORD000082"/>
    <s v="PROD00135"/>
    <n v="1"/>
    <x v="6"/>
    <n v="48.81"/>
    <n v="48.81"/>
  </r>
  <r>
    <s v="ORD000082"/>
    <s v="PROD00400"/>
    <n v="1"/>
    <x v="1"/>
    <n v="41.73"/>
    <n v="41.73"/>
  </r>
  <r>
    <s v="ORD000083"/>
    <s v="PROD00042"/>
    <n v="2"/>
    <x v="6"/>
    <n v="38.39"/>
    <n v="76.78"/>
  </r>
  <r>
    <s v="ORD000084"/>
    <s v="PROD00024"/>
    <n v="1"/>
    <x v="6"/>
    <n v="23.99"/>
    <n v="23.99"/>
  </r>
  <r>
    <s v="ORD000085"/>
    <s v="PROD00374"/>
    <n v="1"/>
    <x v="0"/>
    <n v="100.7"/>
    <n v="100.7"/>
  </r>
  <r>
    <s v="ORD000085"/>
    <s v="PROD00442"/>
    <n v="1"/>
    <x v="6"/>
    <n v="44.92"/>
    <n v="44.92"/>
  </r>
  <r>
    <s v="ORD000086"/>
    <s v="PROD00332"/>
    <n v="1"/>
    <x v="7"/>
    <n v="32.99"/>
    <n v="32.99"/>
  </r>
  <r>
    <s v="ORD000087"/>
    <s v="PROD00038"/>
    <n v="2"/>
    <x v="6"/>
    <n v="45.46"/>
    <n v="90.92"/>
  </r>
  <r>
    <s v="ORD000088"/>
    <s v="PROD00232"/>
    <n v="1"/>
    <x v="6"/>
    <n v="75.099999999999994"/>
    <n v="75.099999999999994"/>
  </r>
  <r>
    <s v="ORD000088"/>
    <s v="PROD00444"/>
    <n v="1"/>
    <x v="6"/>
    <n v="20.55"/>
    <n v="20.55"/>
  </r>
  <r>
    <s v="ORD000089"/>
    <s v="PROD00444"/>
    <n v="1"/>
    <x v="6"/>
    <n v="20.55"/>
    <n v="20.55"/>
  </r>
  <r>
    <s v="ORD000090"/>
    <s v="PROD00374"/>
    <n v="2"/>
    <x v="0"/>
    <n v="100.7"/>
    <n v="201.4"/>
  </r>
  <r>
    <s v="ORD000090"/>
    <s v="PROD00404"/>
    <n v="1"/>
    <x v="6"/>
    <n v="81.02"/>
    <n v="81.02"/>
  </r>
  <r>
    <s v="ORD000091"/>
    <s v="PROD00041"/>
    <n v="1"/>
    <x v="2"/>
    <n v="14.11"/>
    <n v="14.11"/>
  </r>
  <r>
    <s v="ORD000091"/>
    <s v="PROD00426"/>
    <n v="1"/>
    <x v="6"/>
    <n v="27.32"/>
    <n v="27.32"/>
  </r>
  <r>
    <s v="ORD000092"/>
    <s v="PROD00202"/>
    <n v="2"/>
    <x v="2"/>
    <n v="27.55"/>
    <n v="55.1"/>
  </r>
  <r>
    <s v="ORD000092"/>
    <s v="PROD00255"/>
    <n v="1"/>
    <x v="6"/>
    <n v="31.66"/>
    <n v="31.66"/>
  </r>
  <r>
    <s v="ORD000092"/>
    <s v="PROD00351"/>
    <n v="1"/>
    <x v="2"/>
    <n v="17.829999999999998"/>
    <n v="17.829999999999998"/>
  </r>
  <r>
    <s v="ORD000093"/>
    <s v="PROD00018"/>
    <n v="1"/>
    <x v="6"/>
    <n v="40.119999999999997"/>
    <n v="40.119999999999997"/>
  </r>
  <r>
    <s v="ORD000093"/>
    <s v="PROD00407"/>
    <n v="2"/>
    <x v="6"/>
    <n v="10.07"/>
    <n v="20.14"/>
  </r>
  <r>
    <s v="ORD000094"/>
    <s v="PROD00017"/>
    <n v="1"/>
    <x v="6"/>
    <n v="13.71"/>
    <n v="13.71"/>
  </r>
  <r>
    <s v="ORD000094"/>
    <s v="PROD00122"/>
    <n v="1"/>
    <x v="2"/>
    <n v="9.81"/>
    <n v="9.81"/>
  </r>
  <r>
    <s v="ORD000094"/>
    <s v="PROD00307"/>
    <n v="1"/>
    <x v="3"/>
    <n v="63.84"/>
    <n v="63.84"/>
  </r>
  <r>
    <s v="ORD000095"/>
    <s v="PROD00037"/>
    <n v="1"/>
    <x v="6"/>
    <n v="24.22"/>
    <n v="24.22"/>
  </r>
  <r>
    <s v="ORD000096"/>
    <s v="PROD00234"/>
    <n v="1"/>
    <x v="5"/>
    <n v="20.75"/>
    <n v="20.75"/>
  </r>
  <r>
    <s v="ORD000097"/>
    <s v="PROD00042"/>
    <n v="1"/>
    <x v="6"/>
    <n v="38.39"/>
    <n v="38.39"/>
  </r>
  <r>
    <s v="ORD000098"/>
    <s v="PROD00104"/>
    <n v="1"/>
    <x v="6"/>
    <n v="44.42"/>
    <n v="44.42"/>
  </r>
  <r>
    <s v="ORD000099"/>
    <s v="PROD00070"/>
    <n v="2"/>
    <x v="6"/>
    <n v="117.79"/>
    <n v="235.58"/>
  </r>
  <r>
    <s v="ORD000100"/>
    <s v="PROD00015"/>
    <n v="1"/>
    <x v="6"/>
    <n v="48.06"/>
    <n v="48.06"/>
  </r>
  <r>
    <s v="ORD000101"/>
    <s v="PROD00072"/>
    <n v="2"/>
    <x v="6"/>
    <n v="36.24"/>
    <n v="72.48"/>
  </r>
  <r>
    <s v="ORD000102"/>
    <s v="PROD00169"/>
    <n v="1"/>
    <x v="1"/>
    <n v="31.11"/>
    <n v="31.11"/>
  </r>
  <r>
    <s v="ORD000103"/>
    <s v="PROD00066"/>
    <n v="1"/>
    <x v="6"/>
    <n v="21.37"/>
    <n v="21.37"/>
  </r>
  <r>
    <s v="ORD000103"/>
    <s v="PROD00385"/>
    <n v="1"/>
    <x v="0"/>
    <n v="64.709999999999994"/>
    <n v="64.709999999999994"/>
  </r>
  <r>
    <s v="ORD000104"/>
    <s v="PROD00305"/>
    <n v="1"/>
    <x v="3"/>
    <n v="29.36"/>
    <n v="29.36"/>
  </r>
  <r>
    <s v="ORD000104"/>
    <s v="PROD00307"/>
    <n v="1"/>
    <x v="3"/>
    <n v="63.84"/>
    <n v="63.84"/>
  </r>
  <r>
    <s v="ORD000105"/>
    <s v="PROD00047"/>
    <n v="1"/>
    <x v="3"/>
    <n v="89.8"/>
    <n v="89.8"/>
  </r>
  <r>
    <s v="ORD000105"/>
    <s v="PROD00055"/>
    <n v="1"/>
    <x v="8"/>
    <n v="30.74"/>
    <n v="30.74"/>
  </r>
  <r>
    <s v="ORD000106"/>
    <s v="PROD00242"/>
    <n v="1"/>
    <x v="1"/>
    <n v="16.899999999999999"/>
    <n v="16.899999999999999"/>
  </r>
  <r>
    <s v="ORD000107"/>
    <s v="PROD00214"/>
    <n v="1"/>
    <x v="6"/>
    <n v="32.67"/>
    <n v="32.67"/>
  </r>
  <r>
    <s v="ORD000107"/>
    <s v="PROD00230"/>
    <n v="1"/>
    <x v="2"/>
    <n v="25"/>
    <n v="25"/>
  </r>
  <r>
    <s v="ORD000107"/>
    <s v="PROD00416"/>
    <n v="1"/>
    <x v="6"/>
    <n v="63.89"/>
    <n v="63.89"/>
  </r>
  <r>
    <s v="ORD000108"/>
    <s v="PROD00201"/>
    <n v="2"/>
    <x v="6"/>
    <n v="72.790000000000006"/>
    <n v="145.58000000000001"/>
  </r>
  <r>
    <s v="ORD000108"/>
    <s v="PROD00250"/>
    <n v="2"/>
    <x v="4"/>
    <n v="6.18"/>
    <n v="12.36"/>
  </r>
  <r>
    <s v="ORD000109"/>
    <s v="PROD00016"/>
    <n v="1"/>
    <x v="6"/>
    <n v="73.55"/>
    <n v="73.55"/>
  </r>
  <r>
    <s v="ORD000109"/>
    <s v="PROD00306"/>
    <n v="1"/>
    <x v="3"/>
    <n v="92.77"/>
    <n v="92.77"/>
  </r>
  <r>
    <s v="ORD000110"/>
    <s v="PROD00040"/>
    <n v="1"/>
    <x v="2"/>
    <n v="25.82"/>
    <n v="25.82"/>
  </r>
  <r>
    <s v="ORD000110"/>
    <s v="PROD00402"/>
    <n v="1"/>
    <x v="1"/>
    <n v="21.1"/>
    <n v="21.1"/>
  </r>
  <r>
    <s v="ORD000111"/>
    <s v="PROD00159"/>
    <n v="2"/>
    <x v="8"/>
    <n v="13.7"/>
    <n v="27.4"/>
  </r>
  <r>
    <s v="ORD000111"/>
    <s v="PROD00305"/>
    <n v="1"/>
    <x v="3"/>
    <n v="29.36"/>
    <n v="29.36"/>
  </r>
  <r>
    <s v="ORD000112"/>
    <s v="PROD00424"/>
    <n v="1"/>
    <x v="6"/>
    <n v="25.41"/>
    <n v="25.41"/>
  </r>
  <r>
    <s v="ORD000113"/>
    <s v="PROD00037"/>
    <n v="2"/>
    <x v="6"/>
    <n v="24.22"/>
    <n v="48.44"/>
  </r>
  <r>
    <s v="ORD000114"/>
    <s v="PROD00032"/>
    <n v="1"/>
    <x v="6"/>
    <n v="115.39"/>
    <n v="115.39"/>
  </r>
  <r>
    <s v="ORD000114"/>
    <s v="PROD00389"/>
    <n v="1"/>
    <x v="0"/>
    <n v="21.89"/>
    <n v="21.89"/>
  </r>
  <r>
    <s v="ORD000115"/>
    <s v="PROD00017"/>
    <n v="3"/>
    <x v="6"/>
    <n v="13.71"/>
    <n v="41.13"/>
  </r>
  <r>
    <s v="ORD000116"/>
    <s v="PROD00124"/>
    <n v="1"/>
    <x v="0"/>
    <n v="84.85"/>
    <n v="84.85"/>
  </r>
  <r>
    <s v="ORD000116"/>
    <s v="PROD00240"/>
    <n v="1"/>
    <x v="6"/>
    <n v="51.74"/>
    <n v="51.74"/>
  </r>
  <r>
    <s v="ORD000117"/>
    <s v="PROD00094"/>
    <n v="1"/>
    <x v="6"/>
    <n v="40.83"/>
    <n v="40.83"/>
  </r>
  <r>
    <s v="ORD000117"/>
    <s v="PROD00137"/>
    <n v="1"/>
    <x v="4"/>
    <n v="7.57"/>
    <n v="7.57"/>
  </r>
  <r>
    <s v="ORD000118"/>
    <s v="PROD00037"/>
    <n v="1"/>
    <x v="6"/>
    <n v="24.22"/>
    <n v="24.22"/>
  </r>
  <r>
    <s v="ORD000118"/>
    <s v="PROD00444"/>
    <n v="2"/>
    <x v="6"/>
    <n v="20.55"/>
    <n v="41.1"/>
  </r>
  <r>
    <s v="ORD000119"/>
    <s v="PROD00018"/>
    <n v="1"/>
    <x v="6"/>
    <n v="40.119999999999997"/>
    <n v="40.119999999999997"/>
  </r>
  <r>
    <s v="ORD000119"/>
    <s v="PROD00407"/>
    <n v="1"/>
    <x v="6"/>
    <n v="10.07"/>
    <n v="10.07"/>
  </r>
  <r>
    <s v="ORD000120"/>
    <s v="PROD00407"/>
    <n v="1"/>
    <x v="6"/>
    <n v="10.07"/>
    <n v="10.07"/>
  </r>
  <r>
    <s v="ORD000120"/>
    <s v="PROD00416"/>
    <n v="1"/>
    <x v="6"/>
    <n v="63.89"/>
    <n v="63.89"/>
  </r>
  <r>
    <s v="ORD000121"/>
    <s v="PROD00020"/>
    <n v="2"/>
    <x v="6"/>
    <n v="15.05"/>
    <n v="30.1"/>
  </r>
  <r>
    <s v="ORD000121"/>
    <s v="PROD00042"/>
    <n v="3"/>
    <x v="6"/>
    <n v="38.39"/>
    <n v="115.17"/>
  </r>
  <r>
    <s v="ORD000122"/>
    <s v="PROD00188"/>
    <n v="1"/>
    <x v="6"/>
    <n v="110.01"/>
    <n v="110.01"/>
  </r>
  <r>
    <s v="ORD000123"/>
    <s v="PROD00014"/>
    <n v="1"/>
    <x v="6"/>
    <n v="46.45"/>
    <n v="46.45"/>
  </r>
  <r>
    <s v="ORD000124"/>
    <s v="PROD00022"/>
    <n v="1"/>
    <x v="6"/>
    <n v="27.05"/>
    <n v="27.05"/>
  </r>
  <r>
    <s v="ORD000124"/>
    <s v="PROD00030"/>
    <n v="2"/>
    <x v="1"/>
    <n v="49.31"/>
    <n v="98.62"/>
  </r>
  <r>
    <s v="ORD000124"/>
    <s v="PROD00083"/>
    <n v="1"/>
    <x v="4"/>
    <n v="6.78"/>
    <n v="6.78"/>
  </r>
  <r>
    <s v="ORD000124"/>
    <s v="PROD00214"/>
    <n v="1"/>
    <x v="6"/>
    <n v="32.67"/>
    <n v="32.67"/>
  </r>
  <r>
    <s v="ORD000125"/>
    <s v="PROD00182"/>
    <n v="1"/>
    <x v="5"/>
    <n v="39.99"/>
    <n v="39.99"/>
  </r>
  <r>
    <s v="ORD000126"/>
    <s v="PROD00066"/>
    <n v="1"/>
    <x v="6"/>
    <n v="21.37"/>
    <n v="21.37"/>
  </r>
  <r>
    <s v="ORD000126"/>
    <s v="PROD00358"/>
    <n v="2"/>
    <x v="9"/>
    <n v="29.59"/>
    <n v="59.18"/>
  </r>
  <r>
    <s v="ORD000127"/>
    <s v="PROD00407"/>
    <n v="1"/>
    <x v="6"/>
    <n v="10.07"/>
    <n v="10.07"/>
  </r>
  <r>
    <s v="ORD000127"/>
    <s v="PROD00442"/>
    <n v="1"/>
    <x v="6"/>
    <n v="44.92"/>
    <n v="44.92"/>
  </r>
  <r>
    <s v="ORD000128"/>
    <s v="PROD00407"/>
    <n v="1"/>
    <x v="6"/>
    <n v="10.07"/>
    <n v="10.07"/>
  </r>
  <r>
    <s v="ORD000129"/>
    <s v="PROD00006"/>
    <n v="2"/>
    <x v="4"/>
    <n v="4.47"/>
    <n v="8.94"/>
  </r>
  <r>
    <s v="ORD000129"/>
    <s v="PROD00237"/>
    <n v="2"/>
    <x v="4"/>
    <n v="2.1800000000000002"/>
    <n v="4.3600000000000003"/>
  </r>
  <r>
    <s v="ORD000130"/>
    <s v="PROD00425"/>
    <n v="1"/>
    <x v="6"/>
    <n v="26.98"/>
    <n v="26.98"/>
  </r>
  <r>
    <s v="ORD000131"/>
    <s v="PROD00429"/>
    <n v="2"/>
    <x v="6"/>
    <n v="87.51"/>
    <n v="175.02"/>
  </r>
  <r>
    <s v="ORD000132"/>
    <s v="PROD00072"/>
    <n v="1"/>
    <x v="6"/>
    <n v="36.24"/>
    <n v="36.24"/>
  </r>
  <r>
    <s v="ORD000133"/>
    <s v="PROD00406"/>
    <n v="1"/>
    <x v="6"/>
    <n v="23.33"/>
    <n v="23.33"/>
  </r>
  <r>
    <s v="ORD000134"/>
    <s v="PROD00275"/>
    <n v="1"/>
    <x v="5"/>
    <n v="27.32"/>
    <n v="27.32"/>
  </r>
  <r>
    <s v="ORD000134"/>
    <s v="PROD00443"/>
    <n v="1"/>
    <x v="6"/>
    <n v="80.069999999999993"/>
    <n v="80.069999999999993"/>
  </r>
  <r>
    <s v="ORD000135"/>
    <s v="PROD00212"/>
    <n v="1"/>
    <x v="8"/>
    <n v="32.44"/>
    <n v="32.44"/>
  </r>
  <r>
    <s v="ORD000135"/>
    <s v="PROD00229"/>
    <n v="1"/>
    <x v="2"/>
    <n v="32.19"/>
    <n v="32.19"/>
  </r>
  <r>
    <s v="ORD000136"/>
    <s v="PROD00017"/>
    <n v="1"/>
    <x v="6"/>
    <n v="13.71"/>
    <n v="13.71"/>
  </r>
  <r>
    <s v="ORD000136"/>
    <s v="PROD00443"/>
    <n v="2"/>
    <x v="6"/>
    <n v="80.069999999999993"/>
    <n v="160.13999999999999"/>
  </r>
  <r>
    <s v="ORD000137"/>
    <s v="PROD00429"/>
    <n v="1"/>
    <x v="6"/>
    <n v="87.51"/>
    <n v="87.51"/>
  </r>
  <r>
    <s v="ORD000138"/>
    <s v="PROD00215"/>
    <n v="2"/>
    <x v="0"/>
    <n v="19.989999999999998"/>
    <n v="39.979999999999997"/>
  </r>
  <r>
    <s v="ORD000138"/>
    <s v="PROD00392"/>
    <n v="1"/>
    <x v="1"/>
    <n v="59.61"/>
    <n v="59.61"/>
  </r>
  <r>
    <s v="ORD000139"/>
    <s v="PROD00275"/>
    <n v="1"/>
    <x v="5"/>
    <n v="27.32"/>
    <n v="27.32"/>
  </r>
  <r>
    <s v="ORD000140"/>
    <s v="PROD00421"/>
    <n v="1"/>
    <x v="6"/>
    <n v="66.94"/>
    <n v="66.94"/>
  </r>
  <r>
    <s v="ORD000140"/>
    <s v="PROD00424"/>
    <n v="1"/>
    <x v="6"/>
    <n v="25.41"/>
    <n v="25.41"/>
  </r>
  <r>
    <s v="ORD000141"/>
    <s v="PROD00438"/>
    <n v="1"/>
    <x v="6"/>
    <n v="54.41"/>
    <n v="54.41"/>
  </r>
  <r>
    <s v="ORD000142"/>
    <s v="PROD00209"/>
    <n v="1"/>
    <x v="6"/>
    <n v="50.7"/>
    <n v="50.7"/>
  </r>
  <r>
    <s v="ORD000143"/>
    <s v="PROD00320"/>
    <n v="1"/>
    <x v="7"/>
    <n v="33.89"/>
    <n v="33.89"/>
  </r>
  <r>
    <s v="ORD000143"/>
    <s v="PROD00387"/>
    <n v="1"/>
    <x v="0"/>
    <n v="21.89"/>
    <n v="21.89"/>
  </r>
  <r>
    <s v="ORD000143"/>
    <s v="PROD00406"/>
    <n v="1"/>
    <x v="6"/>
    <n v="23.33"/>
    <n v="23.33"/>
  </r>
  <r>
    <s v="ORD000144"/>
    <s v="PROD00017"/>
    <n v="1"/>
    <x v="6"/>
    <n v="13.71"/>
    <n v="13.71"/>
  </r>
  <r>
    <s v="ORD000144"/>
    <s v="PROD00388"/>
    <n v="2"/>
    <x v="0"/>
    <n v="110.1"/>
    <n v="220.2"/>
  </r>
  <r>
    <s v="ORD000145"/>
    <s v="PROD00072"/>
    <n v="2"/>
    <x v="6"/>
    <n v="36.24"/>
    <n v="72.48"/>
  </r>
  <r>
    <s v="ORD000145"/>
    <s v="PROD00164"/>
    <n v="1"/>
    <x v="0"/>
    <n v="89.07"/>
    <n v="89.07"/>
  </r>
  <r>
    <s v="ORD000146"/>
    <s v="PROD00089"/>
    <n v="1"/>
    <x v="6"/>
    <n v="43.42"/>
    <n v="43.42"/>
  </r>
  <r>
    <s v="ORD000146"/>
    <s v="PROD00272"/>
    <n v="2"/>
    <x v="2"/>
    <n v="13.25"/>
    <n v="26.5"/>
  </r>
  <r>
    <s v="ORD000147"/>
    <s v="PROD00176"/>
    <n v="1"/>
    <x v="6"/>
    <n v="34.86"/>
    <n v="34.86"/>
  </r>
  <r>
    <s v="ORD000147"/>
    <s v="PROD00176"/>
    <n v="2"/>
    <x v="6"/>
    <n v="34.86"/>
    <n v="69.72"/>
  </r>
  <r>
    <s v="ORD000148"/>
    <s v="PROD00222"/>
    <n v="2"/>
    <x v="6"/>
    <n v="93.44"/>
    <n v="186.88"/>
  </r>
  <r>
    <s v="ORD000149"/>
    <s v="PROD00240"/>
    <n v="1"/>
    <x v="6"/>
    <n v="51.74"/>
    <n v="51.74"/>
  </r>
  <r>
    <s v="ORD000149"/>
    <s v="PROD00416"/>
    <n v="2"/>
    <x v="6"/>
    <n v="63.89"/>
    <n v="127.78"/>
  </r>
  <r>
    <s v="ORD000150"/>
    <s v="PROD00017"/>
    <n v="1"/>
    <x v="6"/>
    <n v="13.71"/>
    <n v="13.71"/>
  </r>
  <r>
    <s v="ORD000150"/>
    <s v="PROD00104"/>
    <n v="1"/>
    <x v="6"/>
    <n v="44.42"/>
    <n v="44.42"/>
  </r>
  <r>
    <s v="ORD000150"/>
    <s v="PROD00170"/>
    <n v="2"/>
    <x v="6"/>
    <n v="75.239999999999995"/>
    <n v="150.47999999999999"/>
  </r>
  <r>
    <s v="ORD000150"/>
    <s v="PROD00340"/>
    <n v="1"/>
    <x v="9"/>
    <n v="23.35"/>
    <n v="23.35"/>
  </r>
  <r>
    <s v="ORD000151"/>
    <s v="PROD00020"/>
    <n v="1"/>
    <x v="6"/>
    <n v="15.05"/>
    <n v="15.05"/>
  </r>
  <r>
    <s v="ORD000152"/>
    <s v="PROD00016"/>
    <n v="1"/>
    <x v="6"/>
    <n v="73.55"/>
    <n v="73.55"/>
  </r>
  <r>
    <s v="ORD000152"/>
    <s v="PROD00402"/>
    <n v="1"/>
    <x v="1"/>
    <n v="21.1"/>
    <n v="21.1"/>
  </r>
  <r>
    <s v="ORD000153"/>
    <s v="PROD00028"/>
    <n v="1"/>
    <x v="4"/>
    <n v="8.39"/>
    <n v="8.39"/>
  </r>
  <r>
    <s v="ORD000153"/>
    <s v="PROD00443"/>
    <n v="1"/>
    <x v="6"/>
    <n v="80.069999999999993"/>
    <n v="80.069999999999993"/>
  </r>
  <r>
    <s v="ORD000154"/>
    <s v="PROD00038"/>
    <n v="1"/>
    <x v="6"/>
    <n v="45.46"/>
    <n v="45.46"/>
  </r>
  <r>
    <s v="ORD000154"/>
    <s v="PROD00170"/>
    <n v="1"/>
    <x v="6"/>
    <n v="75.239999999999995"/>
    <n v="75.239999999999995"/>
  </r>
  <r>
    <s v="ORD000155"/>
    <s v="PROD00098"/>
    <n v="1"/>
    <x v="6"/>
    <n v="115.39"/>
    <n v="115.39"/>
  </r>
  <r>
    <s v="ORD000155"/>
    <s v="PROD00414"/>
    <n v="1"/>
    <x v="6"/>
    <n v="67.33"/>
    <n v="67.33"/>
  </r>
  <r>
    <s v="ORD000156"/>
    <s v="PROD00126"/>
    <n v="1"/>
    <x v="4"/>
    <n v="5.49"/>
    <n v="5.49"/>
  </r>
  <r>
    <s v="ORD000157"/>
    <s v="PROD00167"/>
    <n v="1"/>
    <x v="4"/>
    <n v="12.82"/>
    <n v="12.82"/>
  </r>
  <r>
    <s v="ORD000157"/>
    <s v="PROD00394"/>
    <n v="1"/>
    <x v="1"/>
    <n v="32.96"/>
    <n v="32.96"/>
  </r>
  <r>
    <s v="ORD000157"/>
    <s v="PROD00416"/>
    <n v="1"/>
    <x v="6"/>
    <n v="63.89"/>
    <n v="63.89"/>
  </r>
  <r>
    <s v="ORD000158"/>
    <s v="PROD00014"/>
    <n v="1"/>
    <x v="6"/>
    <n v="46.45"/>
    <n v="46.45"/>
  </r>
  <r>
    <s v="ORD000158"/>
    <s v="PROD00176"/>
    <n v="1"/>
    <x v="6"/>
    <n v="34.86"/>
    <n v="34.86"/>
  </r>
  <r>
    <s v="ORD000158"/>
    <s v="PROD00354"/>
    <n v="1"/>
    <x v="9"/>
    <n v="43.01"/>
    <n v="43.01"/>
  </r>
  <r>
    <s v="ORD000158"/>
    <s v="PROD00424"/>
    <n v="1"/>
    <x v="6"/>
    <n v="25.41"/>
    <n v="25.41"/>
  </r>
  <r>
    <s v="ORD000159"/>
    <s v="PROD00017"/>
    <n v="1"/>
    <x v="6"/>
    <n v="13.71"/>
    <n v="13.71"/>
  </r>
  <r>
    <s v="ORD000160"/>
    <s v="PROD00406"/>
    <n v="1"/>
    <x v="6"/>
    <n v="23.33"/>
    <n v="23.33"/>
  </r>
  <r>
    <s v="ORD000161"/>
    <s v="PROD00407"/>
    <n v="1"/>
    <x v="6"/>
    <n v="10.07"/>
    <n v="10.07"/>
  </r>
  <r>
    <s v="ORD000162"/>
    <s v="PROD00029"/>
    <n v="1"/>
    <x v="4"/>
    <n v="10.39"/>
    <n v="10.39"/>
  </r>
  <r>
    <s v="ORD000163"/>
    <s v="PROD00136"/>
    <n v="2"/>
    <x v="8"/>
    <n v="20.309999999999999"/>
    <n v="40.619999999999997"/>
  </r>
  <r>
    <s v="ORD000164"/>
    <s v="PROD00443"/>
    <n v="1"/>
    <x v="6"/>
    <n v="80.069999999999993"/>
    <n v="80.069999999999993"/>
  </r>
  <r>
    <s v="ORD000165"/>
    <s v="PROD00201"/>
    <n v="1"/>
    <x v="6"/>
    <n v="72.790000000000006"/>
    <n v="72.790000000000006"/>
  </r>
  <r>
    <s v="ORD000165"/>
    <s v="PROD00369"/>
    <n v="1"/>
    <x v="0"/>
    <n v="107.11"/>
    <n v="107.11"/>
  </r>
  <r>
    <s v="ORD000166"/>
    <s v="PROD00250"/>
    <n v="1"/>
    <x v="4"/>
    <n v="6.18"/>
    <n v="6.18"/>
  </r>
  <r>
    <s v="ORD000166"/>
    <s v="PROD00435"/>
    <n v="1"/>
    <x v="9"/>
    <n v="28.76"/>
    <n v="28.76"/>
  </r>
  <r>
    <s v="ORD000167"/>
    <s v="PROD00020"/>
    <n v="1"/>
    <x v="6"/>
    <n v="15.05"/>
    <n v="15.05"/>
  </r>
  <r>
    <s v="ORD000168"/>
    <s v="PROD00214"/>
    <n v="1"/>
    <x v="6"/>
    <n v="32.67"/>
    <n v="32.67"/>
  </r>
  <r>
    <s v="ORD000169"/>
    <s v="PROD00460"/>
    <n v="1"/>
    <x v="8"/>
    <n v="13.7"/>
    <n v="13.7"/>
  </r>
  <r>
    <s v="ORD000170"/>
    <s v="PROD00014"/>
    <n v="1"/>
    <x v="6"/>
    <n v="46.45"/>
    <n v="46.45"/>
  </r>
  <r>
    <s v="ORD000170"/>
    <s v="PROD00331"/>
    <n v="1"/>
    <x v="7"/>
    <n v="32.89"/>
    <n v="32.89"/>
  </r>
  <r>
    <s v="ORD000171"/>
    <s v="PROD00070"/>
    <n v="1"/>
    <x v="6"/>
    <n v="117.79"/>
    <n v="117.79"/>
  </r>
  <r>
    <s v="ORD000172"/>
    <s v="PROD00158"/>
    <n v="1"/>
    <x v="3"/>
    <n v="88.29"/>
    <n v="88.29"/>
  </r>
  <r>
    <s v="ORD000173"/>
    <s v="PROD00092"/>
    <n v="1"/>
    <x v="7"/>
    <n v="37.630000000000003"/>
    <n v="37.630000000000003"/>
  </r>
  <r>
    <s v="ORD000173"/>
    <s v="PROD00340"/>
    <n v="2"/>
    <x v="9"/>
    <n v="23.35"/>
    <n v="46.7"/>
  </r>
  <r>
    <s v="ORD000173"/>
    <s v="PROD00364"/>
    <n v="6"/>
    <x v="0"/>
    <n v="34.11"/>
    <n v="204.66"/>
  </r>
  <r>
    <s v="ORD000174"/>
    <s v="PROD00321"/>
    <n v="1"/>
    <x v="7"/>
    <n v="32.33"/>
    <n v="32.33"/>
  </r>
  <r>
    <s v="ORD000175"/>
    <s v="PROD00196"/>
    <n v="1"/>
    <x v="8"/>
    <n v="37.9"/>
    <n v="37.9"/>
  </r>
  <r>
    <s v="ORD000175"/>
    <s v="PROD00324"/>
    <n v="1"/>
    <x v="7"/>
    <n v="33.89"/>
    <n v="33.89"/>
  </r>
  <r>
    <s v="ORD000176"/>
    <s v="PROD00035"/>
    <n v="1"/>
    <x v="8"/>
    <n v="17.940000000000001"/>
    <n v="17.940000000000001"/>
  </r>
  <r>
    <s v="ORD000176"/>
    <s v="PROD00192"/>
    <n v="1"/>
    <x v="3"/>
    <n v="40.97"/>
    <n v="40.97"/>
  </r>
  <r>
    <s v="ORD000177"/>
    <s v="PROD00028"/>
    <n v="1"/>
    <x v="4"/>
    <n v="8.39"/>
    <n v="8.39"/>
  </r>
  <r>
    <s v="ORD000177"/>
    <s v="PROD00147"/>
    <n v="1"/>
    <x v="6"/>
    <n v="88.21"/>
    <n v="88.21"/>
  </r>
  <r>
    <s v="ORD000178"/>
    <s v="PROD00302"/>
    <n v="1"/>
    <x v="5"/>
    <n v="53.17"/>
    <n v="53.17"/>
  </r>
  <r>
    <s v="ORD000178"/>
    <s v="PROD00448"/>
    <n v="1"/>
    <x v="4"/>
    <n v="5.1100000000000003"/>
    <n v="5.1100000000000003"/>
  </r>
  <r>
    <s v="ORD000179"/>
    <s v="PROD00118"/>
    <n v="1"/>
    <x v="5"/>
    <n v="53.17"/>
    <n v="53.17"/>
  </r>
  <r>
    <s v="ORD000179"/>
    <s v="PROD00127"/>
    <n v="1"/>
    <x v="6"/>
    <n v="92.15"/>
    <n v="92.15"/>
  </r>
  <r>
    <s v="ORD000179"/>
    <s v="PROD00256"/>
    <n v="5"/>
    <x v="6"/>
    <n v="48.14"/>
    <n v="240.7"/>
  </r>
  <r>
    <s v="ORD000180"/>
    <s v="PROD00045"/>
    <n v="1"/>
    <x v="3"/>
    <n v="62.94"/>
    <n v="62.94"/>
  </r>
  <r>
    <s v="ORD000180"/>
    <s v="PROD00113"/>
    <n v="1"/>
    <x v="5"/>
    <n v="53.5"/>
    <n v="53.5"/>
  </r>
  <r>
    <s v="ORD000180"/>
    <s v="PROD00237"/>
    <n v="1"/>
    <x v="4"/>
    <n v="2.1800000000000002"/>
    <n v="2.1800000000000002"/>
  </r>
  <r>
    <s v="ORD000181"/>
    <s v="PROD00235"/>
    <n v="1"/>
    <x v="5"/>
    <n v="20.75"/>
    <n v="20.75"/>
  </r>
  <r>
    <s v="ORD000182"/>
    <s v="PROD00148"/>
    <n v="1"/>
    <x v="1"/>
    <n v="35.020000000000003"/>
    <n v="35.020000000000003"/>
  </r>
  <r>
    <s v="ORD000182"/>
    <s v="PROD00458"/>
    <n v="1"/>
    <x v="8"/>
    <n v="21.04"/>
    <n v="21.04"/>
  </r>
  <r>
    <s v="ORD000183"/>
    <s v="PROD00122"/>
    <n v="1"/>
    <x v="2"/>
    <n v="9.81"/>
    <n v="9.81"/>
  </r>
  <r>
    <s v="ORD000183"/>
    <s v="PROD00319"/>
    <n v="1"/>
    <x v="7"/>
    <n v="24.92"/>
    <n v="24.92"/>
  </r>
  <r>
    <s v="ORD000184"/>
    <s v="PROD00428"/>
    <n v="1"/>
    <x v="6"/>
    <n v="114.11"/>
    <n v="114.11"/>
  </r>
  <r>
    <s v="ORD000185"/>
    <s v="PROD00071"/>
    <n v="1"/>
    <x v="7"/>
    <n v="39.85"/>
    <n v="39.85"/>
  </r>
  <r>
    <s v="ORD000186"/>
    <s v="PROD00238"/>
    <n v="1"/>
    <x v="8"/>
    <n v="26.73"/>
    <n v="26.73"/>
  </r>
  <r>
    <s v="ORD000186"/>
    <s v="PROD00455"/>
    <n v="1"/>
    <x v="8"/>
    <n v="38.72"/>
    <n v="38.72"/>
  </r>
  <r>
    <s v="ORD000187"/>
    <s v="PROD00032"/>
    <n v="1"/>
    <x v="6"/>
    <n v="115.39"/>
    <n v="115.39"/>
  </r>
  <r>
    <s v="ORD000188"/>
    <s v="PROD00379"/>
    <n v="1"/>
    <x v="0"/>
    <n v="22.63"/>
    <n v="22.63"/>
  </r>
  <r>
    <s v="ORD000189"/>
    <s v="PROD00149"/>
    <n v="1"/>
    <x v="7"/>
    <n v="14.62"/>
    <n v="14.62"/>
  </r>
  <r>
    <s v="ORD000190"/>
    <s v="PROD00439"/>
    <n v="1"/>
    <x v="6"/>
    <n v="60.6"/>
    <n v="60.6"/>
  </r>
  <r>
    <s v="ORD000191"/>
    <s v="PROD00050"/>
    <n v="1"/>
    <x v="0"/>
    <n v="29.36"/>
    <n v="29.36"/>
  </r>
  <r>
    <s v="ORD000191"/>
    <s v="PROD00312"/>
    <n v="1"/>
    <x v="3"/>
    <n v="63.84"/>
    <n v="63.84"/>
  </r>
  <r>
    <s v="ORD000192"/>
    <s v="PROD00051"/>
    <n v="1"/>
    <x v="0"/>
    <n v="30.81"/>
    <n v="30.81"/>
  </r>
  <r>
    <s v="ORD000193"/>
    <s v="PROD00211"/>
    <n v="1"/>
    <x v="0"/>
    <n v="14.98"/>
    <n v="14.98"/>
  </r>
  <r>
    <s v="ORD000194"/>
    <s v="PROD00008"/>
    <n v="1"/>
    <x v="8"/>
    <n v="38.25"/>
    <n v="38.25"/>
  </r>
  <r>
    <s v="ORD000195"/>
    <s v="PROD00059"/>
    <n v="1"/>
    <x v="2"/>
    <n v="15.04"/>
    <n v="15.04"/>
  </r>
  <r>
    <s v="ORD000196"/>
    <s v="PROD00197"/>
    <n v="1"/>
    <x v="9"/>
    <n v="40.75"/>
    <n v="40.75"/>
  </r>
  <r>
    <s v="ORD000197"/>
    <s v="PROD00155"/>
    <n v="1"/>
    <x v="8"/>
    <n v="16.22"/>
    <n v="16.22"/>
  </r>
  <r>
    <s v="ORD000198"/>
    <s v="PROD00080"/>
    <n v="1"/>
    <x v="7"/>
    <n v="39.36"/>
    <n v="39.36"/>
  </r>
  <r>
    <s v="ORD000199"/>
    <s v="PROD00398"/>
    <n v="2"/>
    <x v="1"/>
    <n v="35.5"/>
    <n v="71"/>
  </r>
  <r>
    <s v="ORD000200"/>
    <s v="PROD00175"/>
    <n v="1"/>
    <x v="1"/>
    <n v="36.35"/>
    <n v="36.35"/>
  </r>
  <r>
    <s v="ORD000201"/>
    <s v="PROD00168"/>
    <n v="1"/>
    <x v="1"/>
    <n v="33.36"/>
    <n v="33.36"/>
  </r>
  <r>
    <s v="ORD000202"/>
    <s v="PROD00271"/>
    <n v="2"/>
    <x v="2"/>
    <n v="19.37"/>
    <n v="38.74"/>
  </r>
  <r>
    <s v="ORD000203"/>
    <s v="PROD00048"/>
    <n v="1"/>
    <x v="0"/>
    <n v="34.869999999999997"/>
    <n v="34.869999999999997"/>
  </r>
  <r>
    <s v="ORD000203"/>
    <s v="PROD00297"/>
    <n v="1"/>
    <x v="3"/>
    <n v="97.88"/>
    <n v="97.88"/>
  </r>
  <r>
    <s v="ORD000203"/>
    <s v="PROD00435"/>
    <n v="1"/>
    <x v="9"/>
    <n v="28.76"/>
    <n v="28.76"/>
  </r>
  <r>
    <s v="ORD000204"/>
    <s v="PROD00073"/>
    <n v="1"/>
    <x v="6"/>
    <n v="31.66"/>
    <n v="31.66"/>
  </r>
  <r>
    <s v="ORD000204"/>
    <s v="PROD00212"/>
    <n v="1"/>
    <x v="8"/>
    <n v="32.44"/>
    <n v="32.44"/>
  </r>
  <r>
    <s v="ORD000205"/>
    <s v="PROD00408"/>
    <n v="1"/>
    <x v="6"/>
    <n v="73.400000000000006"/>
    <n v="73.400000000000006"/>
  </r>
  <r>
    <s v="ORD000206"/>
    <s v="PROD00086"/>
    <n v="1"/>
    <x v="7"/>
    <n v="37.840000000000003"/>
    <n v="37.840000000000003"/>
  </r>
  <r>
    <s v="ORD000206"/>
    <s v="PROD00276"/>
    <n v="1"/>
    <x v="5"/>
    <n v="44.13"/>
    <n v="44.13"/>
  </r>
  <r>
    <s v="ORD000206"/>
    <s v="PROD00426"/>
    <n v="1"/>
    <x v="6"/>
    <n v="27.32"/>
    <n v="27.32"/>
  </r>
  <r>
    <s v="ORD000207"/>
    <s v="PROD00286"/>
    <n v="2"/>
    <x v="5"/>
    <n v="54.51"/>
    <n v="109.02"/>
  </r>
  <r>
    <s v="ORD000208"/>
    <s v="PROD00037"/>
    <n v="1"/>
    <x v="6"/>
    <n v="24.22"/>
    <n v="24.22"/>
  </r>
  <r>
    <s v="ORD000208"/>
    <s v="PROD00125"/>
    <n v="1"/>
    <x v="1"/>
    <n v="13.79"/>
    <n v="13.79"/>
  </r>
  <r>
    <s v="ORD000208"/>
    <s v="PROD00360"/>
    <n v="1"/>
    <x v="0"/>
    <n v="20.79"/>
    <n v="20.79"/>
  </r>
  <r>
    <s v="ORD000209"/>
    <s v="PROD00264"/>
    <n v="1"/>
    <x v="2"/>
    <n v="32.26"/>
    <n v="32.26"/>
  </r>
  <r>
    <s v="ORD000209"/>
    <s v="PROD00370"/>
    <n v="1"/>
    <x v="0"/>
    <n v="24.23"/>
    <n v="24.23"/>
  </r>
  <r>
    <s v="ORD000210"/>
    <s v="PROD00036"/>
    <n v="1"/>
    <x v="8"/>
    <n v="38.630000000000003"/>
    <n v="38.630000000000003"/>
  </r>
  <r>
    <s v="ORD000211"/>
    <s v="PROD00173"/>
    <n v="1"/>
    <x v="1"/>
    <n v="29"/>
    <n v="29"/>
  </r>
  <r>
    <s v="ORD000211"/>
    <s v="PROD00204"/>
    <n v="1"/>
    <x v="3"/>
    <n v="38.56"/>
    <n v="38.56"/>
  </r>
  <r>
    <s v="ORD000212"/>
    <s v="PROD00064"/>
    <n v="1"/>
    <x v="9"/>
    <n v="55.35"/>
    <n v="55.35"/>
  </r>
  <r>
    <s v="ORD000212"/>
    <s v="PROD00199"/>
    <n v="1"/>
    <x v="5"/>
    <n v="32.42"/>
    <n v="32.42"/>
  </r>
  <r>
    <s v="ORD000212"/>
    <s v="PROD00394"/>
    <n v="1"/>
    <x v="1"/>
    <n v="32.96"/>
    <n v="32.96"/>
  </r>
  <r>
    <s v="ORD000213"/>
    <s v="PROD00046"/>
    <n v="1"/>
    <x v="5"/>
    <n v="54.17"/>
    <n v="54.17"/>
  </r>
  <r>
    <s v="ORD000213"/>
    <s v="PROD00086"/>
    <n v="1"/>
    <x v="7"/>
    <n v="37.840000000000003"/>
    <n v="37.840000000000003"/>
  </r>
  <r>
    <s v="ORD000213"/>
    <s v="PROD00265"/>
    <n v="1"/>
    <x v="2"/>
    <n v="22.24"/>
    <n v="22.24"/>
  </r>
  <r>
    <s v="ORD000213"/>
    <s v="PROD00311"/>
    <n v="1"/>
    <x v="3"/>
    <n v="113.45"/>
    <n v="113.45"/>
  </r>
  <r>
    <s v="ORD000214"/>
    <s v="PROD00052"/>
    <n v="3"/>
    <x v="4"/>
    <n v="7.72"/>
    <n v="23.16"/>
  </r>
  <r>
    <s v="ORD000214"/>
    <s v="PROD00390"/>
    <n v="1"/>
    <x v="0"/>
    <n v="66.88"/>
    <n v="66.88"/>
  </r>
  <r>
    <s v="ORD000215"/>
    <s v="PROD00194"/>
    <n v="1"/>
    <x v="8"/>
    <n v="29.09"/>
    <n v="29.09"/>
  </r>
  <r>
    <s v="ORD000215"/>
    <s v="PROD00225"/>
    <n v="1"/>
    <x v="3"/>
    <n v="23.36"/>
    <n v="23.36"/>
  </r>
  <r>
    <s v="ORD000216"/>
    <s v="PROD00043"/>
    <n v="1"/>
    <x v="6"/>
    <n v="55.89"/>
    <n v="55.89"/>
  </r>
  <r>
    <s v="ORD000216"/>
    <s v="PROD00117"/>
    <n v="1"/>
    <x v="1"/>
    <n v="13.95"/>
    <n v="13.95"/>
  </r>
  <r>
    <s v="ORD000216"/>
    <s v="PROD00368"/>
    <n v="1"/>
    <x v="0"/>
    <n v="101.55"/>
    <n v="101.55"/>
  </r>
  <r>
    <s v="ORD000217"/>
    <s v="PROD00012"/>
    <n v="2"/>
    <x v="4"/>
    <n v="7.06"/>
    <n v="14.12"/>
  </r>
  <r>
    <s v="ORD000217"/>
    <s v="PROD00219"/>
    <n v="1"/>
    <x v="6"/>
    <n v="74.39"/>
    <n v="74.39"/>
  </r>
  <r>
    <s v="ORD000217"/>
    <s v="PROD00392"/>
    <n v="1"/>
    <x v="1"/>
    <n v="59.61"/>
    <n v="59.61"/>
  </r>
  <r>
    <s v="ORD000217"/>
    <s v="PROD00408"/>
    <n v="1"/>
    <x v="6"/>
    <n v="73.400000000000006"/>
    <n v="73.400000000000006"/>
  </r>
  <r>
    <s v="ORD000218"/>
    <s v="PROD00202"/>
    <n v="1"/>
    <x v="2"/>
    <n v="27.55"/>
    <n v="27.55"/>
  </r>
  <r>
    <s v="ORD000218"/>
    <s v="PROD00419"/>
    <n v="1"/>
    <x v="8"/>
    <n v="26.9"/>
    <n v="26.9"/>
  </r>
  <r>
    <s v="ORD000219"/>
    <s v="PROD00380"/>
    <n v="1"/>
    <x v="0"/>
    <n v="18.559999999999999"/>
    <n v="18.559999999999999"/>
  </r>
  <r>
    <s v="ORD000220"/>
    <s v="PROD00094"/>
    <n v="1"/>
    <x v="6"/>
    <n v="40.83"/>
    <n v="40.83"/>
  </r>
  <r>
    <s v="ORD000220"/>
    <s v="PROD00263"/>
    <n v="1"/>
    <x v="0"/>
    <n v="119.3"/>
    <n v="119.3"/>
  </r>
  <r>
    <s v="ORD000220"/>
    <s v="PROD00292"/>
    <n v="1"/>
    <x v="3"/>
    <n v="47.75"/>
    <n v="47.75"/>
  </r>
  <r>
    <s v="ORD000221"/>
    <s v="PROD00086"/>
    <n v="1"/>
    <x v="7"/>
    <n v="37.840000000000003"/>
    <n v="37.840000000000003"/>
  </r>
  <r>
    <s v="ORD000222"/>
    <s v="PROD00085"/>
    <n v="2"/>
    <x v="7"/>
    <n v="22.33"/>
    <n v="44.66"/>
  </r>
  <r>
    <s v="ORD000222"/>
    <s v="PROD00147"/>
    <n v="1"/>
    <x v="6"/>
    <n v="88.21"/>
    <n v="88.21"/>
  </r>
  <r>
    <s v="ORD000223"/>
    <s v="PROD00088"/>
    <n v="1"/>
    <x v="5"/>
    <n v="27.88"/>
    <n v="27.88"/>
  </r>
  <r>
    <s v="ORD000224"/>
    <s v="PROD00211"/>
    <n v="1"/>
    <x v="0"/>
    <n v="14.98"/>
    <n v="14.98"/>
  </r>
  <r>
    <s v="ORD000225"/>
    <s v="PROD00386"/>
    <n v="1"/>
    <x v="0"/>
    <n v="65.459999999999994"/>
    <n v="65.459999999999994"/>
  </r>
  <r>
    <s v="ORD000225"/>
    <s v="PROD00414"/>
    <n v="1"/>
    <x v="6"/>
    <n v="67.33"/>
    <n v="67.33"/>
  </r>
  <r>
    <s v="ORD000226"/>
    <s v="PROD00051"/>
    <n v="1"/>
    <x v="0"/>
    <n v="30.81"/>
    <n v="30.81"/>
  </r>
  <r>
    <s v="ORD000227"/>
    <s v="PROD00257"/>
    <n v="1"/>
    <x v="2"/>
    <n v="17.28"/>
    <n v="17.28"/>
  </r>
  <r>
    <s v="ORD000227"/>
    <s v="PROD00330"/>
    <n v="1"/>
    <x v="0"/>
    <n v="49.8"/>
    <n v="49.8"/>
  </r>
  <r>
    <s v="ORD000228"/>
    <s v="PROD00345"/>
    <n v="1"/>
    <x v="9"/>
    <n v="32.81"/>
    <n v="32.81"/>
  </r>
  <r>
    <s v="ORD000228"/>
    <s v="PROD00384"/>
    <n v="1"/>
    <x v="0"/>
    <n v="116.81"/>
    <n v="116.81"/>
  </r>
  <r>
    <s v="ORD000229"/>
    <s v="PROD00305"/>
    <n v="1"/>
    <x v="3"/>
    <n v="29.36"/>
    <n v="29.36"/>
  </r>
  <r>
    <s v="ORD000229"/>
    <s v="PROD00309"/>
    <n v="1"/>
    <x v="3"/>
    <n v="63.84"/>
    <n v="63.84"/>
  </r>
  <r>
    <s v="ORD000230"/>
    <s v="PROD00359"/>
    <n v="1"/>
    <x v="0"/>
    <n v="86.5"/>
    <n v="86.5"/>
  </r>
  <r>
    <s v="ORD000231"/>
    <s v="PROD00050"/>
    <n v="1"/>
    <x v="0"/>
    <n v="29.36"/>
    <n v="29.36"/>
  </r>
  <r>
    <s v="ORD000231"/>
    <s v="PROD00133"/>
    <n v="1"/>
    <x v="8"/>
    <n v="35.11"/>
    <n v="35.11"/>
  </r>
  <r>
    <s v="ORD000232"/>
    <s v="PROD00308"/>
    <n v="1"/>
    <x v="3"/>
    <n v="63.84"/>
    <n v="63.84"/>
  </r>
  <r>
    <s v="ORD000232"/>
    <s v="PROD00376"/>
    <n v="1"/>
    <x v="0"/>
    <n v="75.400000000000006"/>
    <n v="75.400000000000006"/>
  </r>
  <r>
    <s v="ORD000233"/>
    <s v="PROD00261"/>
    <n v="1"/>
    <x v="2"/>
    <n v="6.91"/>
    <n v="6.91"/>
  </r>
  <r>
    <s v="ORD000234"/>
    <s v="PROD00297"/>
    <n v="1"/>
    <x v="3"/>
    <n v="97.88"/>
    <n v="97.88"/>
  </r>
  <r>
    <s v="ORD000234"/>
    <s v="PROD00350"/>
    <n v="1"/>
    <x v="2"/>
    <n v="13.58"/>
    <n v="13.58"/>
  </r>
  <r>
    <s v="ORD000235"/>
    <s v="PROD00213"/>
    <n v="1"/>
    <x v="1"/>
    <n v="52.35"/>
    <n v="52.35"/>
  </r>
  <r>
    <s v="ORD000236"/>
    <s v="PROD00423"/>
    <n v="1"/>
    <x v="6"/>
    <n v="97.17"/>
    <n v="97.17"/>
  </r>
  <r>
    <s v="ORD000237"/>
    <s v="PROD00404"/>
    <n v="1"/>
    <x v="6"/>
    <n v="81.02"/>
    <n v="81.02"/>
  </r>
  <r>
    <s v="ORD000238"/>
    <s v="PROD00263"/>
    <n v="1"/>
    <x v="0"/>
    <n v="119.3"/>
    <n v="119.3"/>
  </r>
  <r>
    <s v="ORD000238"/>
    <s v="PROD00387"/>
    <n v="1"/>
    <x v="0"/>
    <n v="21.89"/>
    <n v="21.89"/>
  </r>
  <r>
    <s v="ORD000238"/>
    <s v="PROD00409"/>
    <n v="1"/>
    <x v="5"/>
    <n v="64.84"/>
    <n v="64.84"/>
  </r>
  <r>
    <s v="ORD000239"/>
    <s v="PROD00103"/>
    <n v="1"/>
    <x v="5"/>
    <n v="39.99"/>
    <n v="39.99"/>
  </r>
  <r>
    <s v="ORD000240"/>
    <s v="PROD00082"/>
    <n v="1"/>
    <x v="7"/>
    <n v="19.89"/>
    <n v="19.89"/>
  </r>
  <r>
    <s v="ORD000241"/>
    <s v="PROD00109"/>
    <n v="1"/>
    <x v="1"/>
    <n v="13.16"/>
    <n v="13.16"/>
  </r>
  <r>
    <s v="ORD000242"/>
    <s v="PROD00453"/>
    <n v="1"/>
    <x v="4"/>
    <n v="14.36"/>
    <n v="14.36"/>
  </r>
  <r>
    <s v="ORD000243"/>
    <s v="PROD00067"/>
    <n v="1"/>
    <x v="8"/>
    <n v="23.3"/>
    <n v="23.3"/>
  </r>
  <r>
    <s v="ORD000243"/>
    <s v="PROD00083"/>
    <n v="1"/>
    <x v="4"/>
    <n v="6.78"/>
    <n v="6.78"/>
  </r>
  <r>
    <s v="ORD000244"/>
    <s v="PROD00125"/>
    <n v="2"/>
    <x v="1"/>
    <n v="13.79"/>
    <n v="27.58"/>
  </r>
  <r>
    <s v="ORD000244"/>
    <s v="PROD00154"/>
    <n v="1"/>
    <x v="2"/>
    <n v="23.68"/>
    <n v="23.68"/>
  </r>
  <r>
    <s v="ORD000245"/>
    <s v="PROD00390"/>
    <n v="2"/>
    <x v="0"/>
    <n v="66.88"/>
    <n v="133.76"/>
  </r>
  <r>
    <s v="ORD000246"/>
    <s v="PROD00080"/>
    <n v="1"/>
    <x v="7"/>
    <n v="39.36"/>
    <n v="39.36"/>
  </r>
  <r>
    <s v="ORD000246"/>
    <s v="PROD00130"/>
    <n v="1"/>
    <x v="8"/>
    <n v="12.31"/>
    <n v="12.31"/>
  </r>
  <r>
    <s v="ORD000247"/>
    <s v="PROD00107"/>
    <n v="1"/>
    <x v="5"/>
    <n v="41.73"/>
    <n v="41.73"/>
  </r>
  <r>
    <s v="ORD000248"/>
    <s v="PROD00063"/>
    <n v="1"/>
    <x v="3"/>
    <n v="109.54"/>
    <n v="109.54"/>
  </r>
  <r>
    <s v="ORD000248"/>
    <s v="PROD00118"/>
    <n v="1"/>
    <x v="5"/>
    <n v="53.17"/>
    <n v="53.17"/>
  </r>
  <r>
    <s v="ORD000249"/>
    <s v="PROD00198"/>
    <n v="1"/>
    <x v="8"/>
    <n v="24.19"/>
    <n v="24.19"/>
  </r>
  <r>
    <s v="ORD000249"/>
    <s v="PROD00439"/>
    <n v="1"/>
    <x v="6"/>
    <n v="60.6"/>
    <n v="60.6"/>
  </r>
  <r>
    <s v="ORD000250"/>
    <s v="PROD00402"/>
    <n v="1"/>
    <x v="1"/>
    <n v="21.1"/>
    <n v="21.1"/>
  </r>
  <r>
    <s v="ORD000251"/>
    <s v="PROD00074"/>
    <n v="1"/>
    <x v="6"/>
    <n v="49.99"/>
    <n v="49.99"/>
  </r>
  <r>
    <s v="ORD000252"/>
    <s v="PROD00187"/>
    <n v="1"/>
    <x v="1"/>
    <n v="24.7"/>
    <n v="24.7"/>
  </r>
  <r>
    <s v="ORD000253"/>
    <s v="PROD00018"/>
    <n v="1"/>
    <x v="6"/>
    <n v="40.119999999999997"/>
    <n v="40.119999999999997"/>
  </r>
  <r>
    <s v="ORD000253"/>
    <s v="PROD00201"/>
    <n v="1"/>
    <x v="6"/>
    <n v="72.790000000000006"/>
    <n v="72.790000000000006"/>
  </r>
  <r>
    <s v="ORD000254"/>
    <s v="PROD00378"/>
    <n v="1"/>
    <x v="0"/>
    <n v="15.21"/>
    <n v="15.21"/>
  </r>
  <r>
    <s v="ORD000255"/>
    <s v="PROD00111"/>
    <n v="1"/>
    <x v="5"/>
    <n v="37.79"/>
    <n v="37.79"/>
  </r>
  <r>
    <s v="ORD000255"/>
    <s v="PROD00130"/>
    <n v="1"/>
    <x v="8"/>
    <n v="12.31"/>
    <n v="12.31"/>
  </r>
  <r>
    <s v="ORD000255"/>
    <s v="PROD00388"/>
    <n v="1"/>
    <x v="0"/>
    <n v="110.1"/>
    <n v="110.1"/>
  </r>
  <r>
    <s v="ORD000256"/>
    <s v="PROD00136"/>
    <n v="1"/>
    <x v="8"/>
    <n v="20.309999999999999"/>
    <n v="20.309999999999999"/>
  </r>
  <r>
    <s v="ORD000256"/>
    <s v="PROD00175"/>
    <n v="1"/>
    <x v="1"/>
    <n v="36.35"/>
    <n v="36.35"/>
  </r>
  <r>
    <s v="ORD000257"/>
    <s v="PROD00227"/>
    <n v="1"/>
    <x v="7"/>
    <n v="19.03"/>
    <n v="19.03"/>
  </r>
  <r>
    <s v="ORD000258"/>
    <s v="PROD00035"/>
    <n v="1"/>
    <x v="8"/>
    <n v="17.940000000000001"/>
    <n v="17.940000000000001"/>
  </r>
  <r>
    <s v="ORD000258"/>
    <s v="PROD00063"/>
    <n v="1"/>
    <x v="3"/>
    <n v="109.54"/>
    <n v="109.54"/>
  </r>
  <r>
    <s v="ORD000258"/>
    <s v="PROD00236"/>
    <n v="1"/>
    <x v="5"/>
    <n v="34.22"/>
    <n v="34.22"/>
  </r>
  <r>
    <s v="ORD000259"/>
    <s v="PROD00064"/>
    <n v="2"/>
    <x v="9"/>
    <n v="55.35"/>
    <n v="110.7"/>
  </r>
  <r>
    <s v="ORD000259"/>
    <s v="PROD00421"/>
    <n v="1"/>
    <x v="6"/>
    <n v="66.94"/>
    <n v="66.94"/>
  </r>
  <r>
    <s v="ORD000260"/>
    <s v="PROD00069"/>
    <n v="1"/>
    <x v="0"/>
    <n v="11.91"/>
    <n v="11.91"/>
  </r>
  <r>
    <s v="ORD000261"/>
    <s v="PROD00322"/>
    <n v="1"/>
    <x v="7"/>
    <n v="13.54"/>
    <n v="13.54"/>
  </r>
  <r>
    <s v="ORD000261"/>
    <s v="PROD00409"/>
    <n v="1"/>
    <x v="5"/>
    <n v="64.84"/>
    <n v="64.84"/>
  </r>
  <r>
    <s v="ORD000262"/>
    <s v="PROD00093"/>
    <n v="1"/>
    <x v="4"/>
    <n v="12.88"/>
    <n v="12.88"/>
  </r>
  <r>
    <s v="ORD000262"/>
    <s v="PROD00349"/>
    <n v="1"/>
    <x v="2"/>
    <n v="15.83"/>
    <n v="15.83"/>
  </r>
  <r>
    <s v="ORD000262"/>
    <s v="PROD00365"/>
    <n v="1"/>
    <x v="0"/>
    <n v="29.46"/>
    <n v="29.46"/>
  </r>
  <r>
    <s v="ORD000263"/>
    <s v="PROD00130"/>
    <n v="1"/>
    <x v="8"/>
    <n v="12.31"/>
    <n v="12.31"/>
  </r>
  <r>
    <s v="ORD000263"/>
    <s v="PROD00344"/>
    <n v="1"/>
    <x v="9"/>
    <n v="60.93"/>
    <n v="60.93"/>
  </r>
  <r>
    <s v="ORD000264"/>
    <s v="PROD00088"/>
    <n v="1"/>
    <x v="5"/>
    <n v="27.88"/>
    <n v="27.88"/>
  </r>
  <r>
    <s v="ORD000265"/>
    <s v="PROD00239"/>
    <n v="1"/>
    <x v="9"/>
    <n v="79.16"/>
    <n v="79.16"/>
  </r>
  <r>
    <s v="ORD000266"/>
    <s v="PROD00128"/>
    <n v="1"/>
    <x v="7"/>
    <n v="37.340000000000003"/>
    <n v="37.340000000000003"/>
  </r>
  <r>
    <s v="ORD000267"/>
    <s v="PROD00028"/>
    <n v="1"/>
    <x v="4"/>
    <n v="8.39"/>
    <n v="8.39"/>
  </r>
  <r>
    <s v="ORD000267"/>
    <s v="PROD00126"/>
    <n v="1"/>
    <x v="4"/>
    <n v="5.49"/>
    <n v="5.49"/>
  </r>
  <r>
    <s v="ORD000268"/>
    <s v="PROD00001"/>
    <n v="1"/>
    <x v="2"/>
    <n v="33.08"/>
    <n v="33.08"/>
  </r>
  <r>
    <s v="ORD000268"/>
    <s v="PROD00128"/>
    <n v="1"/>
    <x v="7"/>
    <n v="37.340000000000003"/>
    <n v="37.340000000000003"/>
  </r>
  <r>
    <s v="ORD000269"/>
    <s v="PROD00228"/>
    <n v="1"/>
    <x v="0"/>
    <n v="64.55"/>
    <n v="64.55"/>
  </r>
  <r>
    <s v="ORD000269"/>
    <s v="PROD00327"/>
    <n v="1"/>
    <x v="7"/>
    <n v="24.26"/>
    <n v="24.26"/>
  </r>
  <r>
    <s v="ORD000269"/>
    <s v="PROD00340"/>
    <n v="1"/>
    <x v="9"/>
    <n v="23.35"/>
    <n v="23.35"/>
  </r>
  <r>
    <s v="ORD000270"/>
    <s v="PROD00153"/>
    <n v="1"/>
    <x v="9"/>
    <n v="48.8"/>
    <n v="48.8"/>
  </r>
  <r>
    <s v="ORD000271"/>
    <s v="PROD00012"/>
    <n v="2"/>
    <x v="4"/>
    <n v="7.06"/>
    <n v="14.12"/>
  </r>
  <r>
    <s v="ORD000272"/>
    <s v="PROD00169"/>
    <n v="1"/>
    <x v="1"/>
    <n v="31.11"/>
    <n v="31.11"/>
  </r>
  <r>
    <s v="ORD000272"/>
    <s v="PROD00313"/>
    <n v="1"/>
    <x v="3"/>
    <n v="63.84"/>
    <n v="63.84"/>
  </r>
  <r>
    <s v="ORD000272"/>
    <s v="PROD00339"/>
    <n v="2"/>
    <x v="9"/>
    <n v="77.56"/>
    <n v="155.12"/>
  </r>
  <r>
    <s v="ORD000273"/>
    <s v="PROD00257"/>
    <n v="1"/>
    <x v="2"/>
    <n v="17.28"/>
    <n v="17.28"/>
  </r>
  <r>
    <s v="ORD000273"/>
    <s v="PROD00377"/>
    <n v="2"/>
    <x v="0"/>
    <n v="85.94"/>
    <n v="171.88"/>
  </r>
  <r>
    <s v="ORD000273"/>
    <s v="PROD00398"/>
    <n v="1"/>
    <x v="1"/>
    <n v="35.5"/>
    <n v="35.5"/>
  </r>
  <r>
    <s v="ORD000275"/>
    <s v="PROD00259"/>
    <n v="2"/>
    <x v="2"/>
    <n v="22.28"/>
    <n v="44.56"/>
  </r>
  <r>
    <s v="ORD000276"/>
    <s v="PROD00058"/>
    <n v="1"/>
    <x v="8"/>
    <n v="36.26"/>
    <n v="36.26"/>
  </r>
  <r>
    <s v="ORD000276"/>
    <s v="PROD00434"/>
    <n v="2"/>
    <x v="9"/>
    <n v="24.44"/>
    <n v="48.88"/>
  </r>
  <r>
    <s v="ORD000277"/>
    <s v="PROD00240"/>
    <n v="1"/>
    <x v="6"/>
    <n v="51.74"/>
    <n v="51.74"/>
  </r>
  <r>
    <s v="ORD000278"/>
    <s v="PROD00158"/>
    <n v="1"/>
    <x v="3"/>
    <n v="88.29"/>
    <n v="88.29"/>
  </r>
  <r>
    <s v="ORD000278"/>
    <s v="PROD00340"/>
    <n v="1"/>
    <x v="9"/>
    <n v="23.35"/>
    <n v="23.35"/>
  </r>
  <r>
    <s v="ORD000279"/>
    <s v="PROD00277"/>
    <n v="2"/>
    <x v="5"/>
    <n v="37.99"/>
    <n v="75.98"/>
  </r>
  <r>
    <s v="ORD000280"/>
    <s v="PROD00348"/>
    <n v="1"/>
    <x v="9"/>
    <n v="34.46"/>
    <n v="34.46"/>
  </r>
  <r>
    <s v="ORD000281"/>
    <s v="PROD00108"/>
    <n v="1"/>
    <x v="0"/>
    <n v="91.41"/>
    <n v="91.41"/>
  </r>
  <r>
    <s v="ORD000281"/>
    <s v="PROD00334"/>
    <n v="1"/>
    <x v="9"/>
    <n v="75.05"/>
    <n v="75.05"/>
  </r>
  <r>
    <s v="ORD000282"/>
    <s v="PROD00100"/>
    <n v="1"/>
    <x v="1"/>
    <n v="58.45"/>
    <n v="58.45"/>
  </r>
  <r>
    <s v="ORD000282"/>
    <s v="PROD00101"/>
    <n v="1"/>
    <x v="7"/>
    <n v="32.44"/>
    <n v="32.44"/>
  </r>
  <r>
    <s v="ORD000283"/>
    <s v="PROD00103"/>
    <n v="2"/>
    <x v="5"/>
    <n v="39.99"/>
    <n v="79.98"/>
  </r>
  <r>
    <s v="ORD000283"/>
    <s v="PROD00229"/>
    <n v="1"/>
    <x v="2"/>
    <n v="32.19"/>
    <n v="32.19"/>
  </r>
  <r>
    <s v="ORD000284"/>
    <s v="PROD00015"/>
    <n v="1"/>
    <x v="6"/>
    <n v="48.06"/>
    <n v="48.06"/>
  </r>
  <r>
    <s v="ORD000285"/>
    <s v="PROD00377"/>
    <n v="1"/>
    <x v="0"/>
    <n v="85.94"/>
    <n v="85.94"/>
  </r>
  <r>
    <s v="ORD000286"/>
    <s v="PROD00047"/>
    <n v="1"/>
    <x v="3"/>
    <n v="89.8"/>
    <n v="89.8"/>
  </r>
  <r>
    <s v="ORD000286"/>
    <s v="PROD00091"/>
    <n v="1"/>
    <x v="5"/>
    <n v="27.76"/>
    <n v="27.76"/>
  </r>
  <r>
    <s v="ORD000286"/>
    <s v="PROD00264"/>
    <n v="2"/>
    <x v="2"/>
    <n v="32.26"/>
    <n v="64.52"/>
  </r>
  <r>
    <s v="ORD000287"/>
    <s v="PROD00113"/>
    <n v="1"/>
    <x v="5"/>
    <n v="53.5"/>
    <n v="53.5"/>
  </r>
  <r>
    <s v="ORD000287"/>
    <s v="PROD00190"/>
    <n v="1"/>
    <x v="1"/>
    <n v="48.51"/>
    <n v="48.51"/>
  </r>
  <r>
    <s v="ORD000288"/>
    <s v="PROD00108"/>
    <n v="1"/>
    <x v="0"/>
    <n v="91.41"/>
    <n v="91.41"/>
  </r>
  <r>
    <s v="ORD000289"/>
    <s v="PROD00274"/>
    <n v="1"/>
    <x v="5"/>
    <n v="36.49"/>
    <n v="36.49"/>
  </r>
  <r>
    <s v="ORD000289"/>
    <s v="PROD00308"/>
    <n v="1"/>
    <x v="3"/>
    <n v="63.84"/>
    <n v="63.84"/>
  </r>
  <r>
    <s v="ORD000290"/>
    <s v="PROD00109"/>
    <n v="1"/>
    <x v="1"/>
    <n v="13.16"/>
    <n v="13.16"/>
  </r>
  <r>
    <s v="ORD000290"/>
    <s v="PROD00110"/>
    <n v="1"/>
    <x v="2"/>
    <n v="15.99"/>
    <n v="15.99"/>
  </r>
  <r>
    <s v="ORD000291"/>
    <s v="PROD00244"/>
    <n v="2"/>
    <x v="7"/>
    <n v="34.36"/>
    <n v="68.72"/>
  </r>
  <r>
    <s v="ORD000292"/>
    <s v="PROD00238"/>
    <n v="1"/>
    <x v="8"/>
    <n v="26.73"/>
    <n v="26.73"/>
  </r>
  <r>
    <s v="ORD000293"/>
    <s v="PROD00229"/>
    <n v="1"/>
    <x v="2"/>
    <n v="32.19"/>
    <n v="32.19"/>
  </r>
  <r>
    <s v="ORD000293"/>
    <s v="PROD00351"/>
    <n v="1"/>
    <x v="2"/>
    <n v="17.829999999999998"/>
    <n v="17.829999999999998"/>
  </r>
  <r>
    <s v="ORD000294"/>
    <s v="PROD00140"/>
    <n v="1"/>
    <x v="3"/>
    <n v="81.81"/>
    <n v="81.81"/>
  </r>
  <r>
    <s v="ORD000295"/>
    <s v="PROD00046"/>
    <n v="1"/>
    <x v="5"/>
    <n v="54.17"/>
    <n v="54.17"/>
  </r>
  <r>
    <s v="ORD000296"/>
    <s v="PROD00320"/>
    <n v="2"/>
    <x v="7"/>
    <n v="33.89"/>
    <n v="67.78"/>
  </r>
  <r>
    <s v="ORD000296"/>
    <s v="PROD00367"/>
    <n v="2"/>
    <x v="0"/>
    <n v="29.92"/>
    <n v="59.84"/>
  </r>
  <r>
    <s v="ORD000296"/>
    <s v="PROD00387"/>
    <n v="1"/>
    <x v="0"/>
    <n v="21.89"/>
    <n v="21.89"/>
  </r>
  <r>
    <s v="ORD000297"/>
    <s v="PROD00168"/>
    <n v="2"/>
    <x v="1"/>
    <n v="33.36"/>
    <n v="66.72"/>
  </r>
  <r>
    <s v="ORD000298"/>
    <s v="PROD00103"/>
    <n v="2"/>
    <x v="5"/>
    <n v="39.99"/>
    <n v="79.98"/>
  </r>
  <r>
    <s v="ORD000298"/>
    <s v="PROD00228"/>
    <n v="1"/>
    <x v="0"/>
    <n v="64.55"/>
    <n v="64.55"/>
  </r>
  <r>
    <s v="ORD000299"/>
    <s v="PROD00135"/>
    <n v="6"/>
    <x v="6"/>
    <n v="48.81"/>
    <n v="292.86"/>
  </r>
  <r>
    <s v="ORD000300"/>
    <s v="PROD00136"/>
    <n v="1"/>
    <x v="8"/>
    <n v="20.309999999999999"/>
    <n v="20.309999999999999"/>
  </r>
  <r>
    <s v="ORD000300"/>
    <s v="PROD00303"/>
    <n v="1"/>
    <x v="3"/>
    <n v="66.33"/>
    <n v="66.33"/>
  </r>
  <r>
    <s v="ORD000300"/>
    <s v="PROD00316"/>
    <n v="1"/>
    <x v="3"/>
    <n v="36.57"/>
    <n v="36.57"/>
  </r>
  <r>
    <s v="ORD000301"/>
    <s v="PROD00431"/>
    <n v="1"/>
    <x v="6"/>
    <n v="55.99"/>
    <n v="55.99"/>
  </r>
  <r>
    <s v="ORD000302"/>
    <s v="PROD00035"/>
    <n v="1"/>
    <x v="8"/>
    <n v="17.940000000000001"/>
    <n v="17.940000000000001"/>
  </r>
  <r>
    <s v="ORD000303"/>
    <s v="PROD00044"/>
    <n v="1"/>
    <x v="5"/>
    <n v="54.17"/>
    <n v="54.17"/>
  </r>
  <r>
    <s v="ORD000303"/>
    <s v="PROD00172"/>
    <n v="1"/>
    <x v="7"/>
    <n v="29.98"/>
    <n v="29.98"/>
  </r>
  <r>
    <s v="ORD000304"/>
    <s v="PROD00016"/>
    <n v="1"/>
    <x v="6"/>
    <n v="73.55"/>
    <n v="73.55"/>
  </r>
  <r>
    <s v="ORD000305"/>
    <s v="PROD00213"/>
    <n v="1"/>
    <x v="1"/>
    <n v="52.35"/>
    <n v="52.35"/>
  </r>
  <r>
    <s v="ORD000306"/>
    <s v="PROD00047"/>
    <n v="1"/>
    <x v="3"/>
    <n v="89.8"/>
    <n v="89.8"/>
  </r>
  <r>
    <s v="ORD000306"/>
    <s v="PROD00277"/>
    <n v="2"/>
    <x v="5"/>
    <n v="37.99"/>
    <n v="75.98"/>
  </r>
  <r>
    <s v="ORD000306"/>
    <s v="PROD00458"/>
    <n v="1"/>
    <x v="8"/>
    <n v="21.04"/>
    <n v="21.04"/>
  </r>
  <r>
    <s v="ORD000307"/>
    <s v="PROD00109"/>
    <n v="2"/>
    <x v="1"/>
    <n v="13.16"/>
    <n v="26.32"/>
  </r>
  <r>
    <s v="ORD000307"/>
    <s v="PROD00346"/>
    <n v="1"/>
    <x v="9"/>
    <n v="32.93"/>
    <n v="32.93"/>
  </r>
  <r>
    <s v="ORD000308"/>
    <s v="PROD00111"/>
    <n v="1"/>
    <x v="5"/>
    <n v="37.79"/>
    <n v="37.79"/>
  </r>
  <r>
    <s v="ORD000308"/>
    <s v="PROD00298"/>
    <n v="1"/>
    <x v="3"/>
    <n v="63.55"/>
    <n v="63.55"/>
  </r>
  <r>
    <s v="ORD000308"/>
    <s v="PROD00457"/>
    <n v="1"/>
    <x v="8"/>
    <n v="24.92"/>
    <n v="24.92"/>
  </r>
  <r>
    <s v="ORD000309"/>
    <s v="PROD00252"/>
    <n v="1"/>
    <x v="5"/>
    <n v="56.67"/>
    <n v="56.67"/>
  </r>
  <r>
    <s v="ORD000310"/>
    <s v="PROD00375"/>
    <n v="1"/>
    <x v="0"/>
    <n v="16.88"/>
    <n v="16.88"/>
  </r>
  <r>
    <s v="ORD000311"/>
    <s v="PROD00438"/>
    <n v="1"/>
    <x v="6"/>
    <n v="54.41"/>
    <n v="54.41"/>
  </r>
  <r>
    <s v="ORD000312"/>
    <s v="PROD00393"/>
    <n v="1"/>
    <x v="1"/>
    <n v="49.13"/>
    <n v="49.13"/>
  </r>
  <r>
    <s v="ORD000312"/>
    <s v="PROD00441"/>
    <n v="1"/>
    <x v="6"/>
    <n v="26.7"/>
    <n v="26.7"/>
  </r>
  <r>
    <s v="ORD000313"/>
    <s v="PROD00428"/>
    <n v="1"/>
    <x v="6"/>
    <n v="114.11"/>
    <n v="114.11"/>
  </r>
  <r>
    <s v="ORD000314"/>
    <s v="PROD00214"/>
    <n v="1"/>
    <x v="6"/>
    <n v="32.67"/>
    <n v="32.67"/>
  </r>
  <r>
    <s v="ORD000315"/>
    <s v="PROD00409"/>
    <n v="1"/>
    <x v="5"/>
    <n v="64.84"/>
    <n v="64.84"/>
  </r>
  <r>
    <s v="ORD000316"/>
    <s v="PROD00038"/>
    <n v="1"/>
    <x v="6"/>
    <n v="45.46"/>
    <n v="45.46"/>
  </r>
  <r>
    <s v="ORD000316"/>
    <s v="PROD00201"/>
    <n v="1"/>
    <x v="6"/>
    <n v="72.790000000000006"/>
    <n v="72.790000000000006"/>
  </r>
  <r>
    <s v="ORD000317"/>
    <s v="PROD00021"/>
    <n v="1"/>
    <x v="6"/>
    <n v="113.99"/>
    <n v="113.99"/>
  </r>
  <r>
    <s v="ORD000318"/>
    <s v="PROD00333"/>
    <n v="1"/>
    <x v="7"/>
    <n v="32.299999999999997"/>
    <n v="32.299999999999997"/>
  </r>
  <r>
    <s v="ORD000318"/>
    <s v="PROD00404"/>
    <n v="1"/>
    <x v="6"/>
    <n v="81.02"/>
    <n v="81.02"/>
  </r>
  <r>
    <s v="ORD000319"/>
    <s v="PROD00017"/>
    <n v="1"/>
    <x v="6"/>
    <n v="13.71"/>
    <n v="13.71"/>
  </r>
  <r>
    <s v="ORD000319"/>
    <s v="PROD00066"/>
    <n v="1"/>
    <x v="6"/>
    <n v="21.37"/>
    <n v="21.37"/>
  </r>
  <r>
    <s v="ORD000319"/>
    <s v="PROD00443"/>
    <n v="2"/>
    <x v="6"/>
    <n v="80.069999999999993"/>
    <n v="160.13999999999999"/>
  </r>
  <r>
    <s v="ORD000320"/>
    <s v="PROD00219"/>
    <n v="1"/>
    <x v="6"/>
    <n v="74.39"/>
    <n v="74.39"/>
  </r>
  <r>
    <s v="ORD000321"/>
    <s v="PROD00214"/>
    <n v="1"/>
    <x v="6"/>
    <n v="32.67"/>
    <n v="32.67"/>
  </r>
  <r>
    <s v="ORD000321"/>
    <s v="PROD00232"/>
    <n v="1"/>
    <x v="6"/>
    <n v="75.099999999999994"/>
    <n v="75.099999999999994"/>
  </r>
  <r>
    <s v="ORD000322"/>
    <s v="PROD00031"/>
    <n v="2"/>
    <x v="6"/>
    <n v="43.27"/>
    <n v="86.54"/>
  </r>
  <r>
    <s v="ORD000322"/>
    <s v="PROD00074"/>
    <n v="1"/>
    <x v="6"/>
    <n v="49.99"/>
    <n v="49.99"/>
  </r>
  <r>
    <s v="ORD000322"/>
    <s v="PROD00244"/>
    <n v="1"/>
    <x v="7"/>
    <n v="34.36"/>
    <n v="34.36"/>
  </r>
  <r>
    <s v="ORD000323"/>
    <s v="PROD00380"/>
    <n v="1"/>
    <x v="0"/>
    <n v="18.559999999999999"/>
    <n v="18.559999999999999"/>
  </r>
  <r>
    <s v="ORD000324"/>
    <s v="PROD00017"/>
    <n v="1"/>
    <x v="6"/>
    <n v="13.71"/>
    <n v="13.71"/>
  </r>
  <r>
    <s v="ORD000324"/>
    <s v="PROD00188"/>
    <n v="1"/>
    <x v="6"/>
    <n v="110.01"/>
    <n v="110.01"/>
  </r>
  <r>
    <s v="ORD000325"/>
    <s v="PROD00170"/>
    <n v="1"/>
    <x v="6"/>
    <n v="75.239999999999995"/>
    <n v="75.239999999999995"/>
  </r>
  <r>
    <s v="ORD000325"/>
    <s v="PROD00215"/>
    <n v="1"/>
    <x v="0"/>
    <n v="19.989999999999998"/>
    <n v="19.989999999999998"/>
  </r>
  <r>
    <s v="ORD000325"/>
    <s v="PROD00232"/>
    <n v="1"/>
    <x v="6"/>
    <n v="75.099999999999994"/>
    <n v="75.099999999999994"/>
  </r>
  <r>
    <s v="ORD000325"/>
    <s v="PROD00388"/>
    <n v="1"/>
    <x v="0"/>
    <n v="110.1"/>
    <n v="110.1"/>
  </r>
  <r>
    <s v="ORD000326"/>
    <s v="PROD00017"/>
    <n v="1"/>
    <x v="6"/>
    <n v="13.71"/>
    <n v="13.71"/>
  </r>
  <r>
    <s v="ORD000326"/>
    <s v="PROD00037"/>
    <n v="1"/>
    <x v="6"/>
    <n v="24.22"/>
    <n v="24.22"/>
  </r>
  <r>
    <s v="ORD000326"/>
    <s v="PROD00107"/>
    <n v="1"/>
    <x v="5"/>
    <n v="41.73"/>
    <n v="41.73"/>
  </r>
  <r>
    <s v="ORD000326"/>
    <s v="PROD00323"/>
    <n v="2"/>
    <x v="7"/>
    <n v="21.81"/>
    <n v="43.62"/>
  </r>
  <r>
    <s v="ORD000326"/>
    <s v="PROD00438"/>
    <n v="2"/>
    <x v="6"/>
    <n v="54.41"/>
    <n v="108.82"/>
  </r>
  <r>
    <s v="ORD000327"/>
    <s v="PROD00176"/>
    <n v="1"/>
    <x v="6"/>
    <n v="34.86"/>
    <n v="34.86"/>
  </r>
  <r>
    <s v="ORD000328"/>
    <s v="PROD00073"/>
    <n v="1"/>
    <x v="6"/>
    <n v="31.66"/>
    <n v="31.66"/>
  </r>
  <r>
    <s v="ORD000328"/>
    <s v="PROD00257"/>
    <n v="2"/>
    <x v="2"/>
    <n v="17.28"/>
    <n v="34.56"/>
  </r>
  <r>
    <s v="ORD000328"/>
    <s v="PROD00323"/>
    <n v="1"/>
    <x v="7"/>
    <n v="21.81"/>
    <n v="21.81"/>
  </r>
  <r>
    <s v="ORD000329"/>
    <s v="PROD00104"/>
    <n v="1"/>
    <x v="6"/>
    <n v="44.42"/>
    <n v="44.42"/>
  </r>
  <r>
    <s v="ORD000330"/>
    <s v="PROD00020"/>
    <n v="2"/>
    <x v="6"/>
    <n v="15.05"/>
    <n v="30.1"/>
  </r>
  <r>
    <s v="ORD000330"/>
    <s v="PROD00301"/>
    <n v="1"/>
    <x v="5"/>
    <n v="53.17"/>
    <n v="53.17"/>
  </r>
  <r>
    <s v="ORD000330"/>
    <s v="PROD00444"/>
    <n v="2"/>
    <x v="6"/>
    <n v="20.55"/>
    <n v="41.1"/>
  </r>
  <r>
    <s v="ORD000331"/>
    <s v="PROD00159"/>
    <n v="1"/>
    <x v="8"/>
    <n v="13.7"/>
    <n v="13.7"/>
  </r>
  <r>
    <s v="ORD000331"/>
    <s v="PROD00214"/>
    <n v="1"/>
    <x v="6"/>
    <n v="32.67"/>
    <n v="32.67"/>
  </r>
  <r>
    <s v="ORD000331"/>
    <s v="PROD00405"/>
    <n v="1"/>
    <x v="6"/>
    <n v="99.85"/>
    <n v="99.85"/>
  </r>
  <r>
    <s v="ORD000332"/>
    <s v="PROD00176"/>
    <n v="1"/>
    <x v="6"/>
    <n v="34.86"/>
    <n v="34.86"/>
  </r>
  <r>
    <s v="ORD000332"/>
    <s v="PROD00214"/>
    <n v="1"/>
    <x v="6"/>
    <n v="32.67"/>
    <n v="32.67"/>
  </r>
  <r>
    <s v="ORD000332"/>
    <s v="PROD00410"/>
    <n v="1"/>
    <x v="6"/>
    <n v="97.96"/>
    <n v="97.96"/>
  </r>
  <r>
    <s v="ORD000333"/>
    <s v="PROD00014"/>
    <n v="2"/>
    <x v="6"/>
    <n v="46.45"/>
    <n v="92.9"/>
  </r>
  <r>
    <s v="ORD000333"/>
    <s v="PROD00107"/>
    <n v="1"/>
    <x v="5"/>
    <n v="41.73"/>
    <n v="41.73"/>
  </r>
  <r>
    <s v="ORD000333"/>
    <s v="PROD00214"/>
    <n v="2"/>
    <x v="6"/>
    <n v="32.67"/>
    <n v="65.34"/>
  </r>
  <r>
    <s v="ORD000334"/>
    <s v="PROD00015"/>
    <n v="1"/>
    <x v="6"/>
    <n v="48.06"/>
    <n v="48.06"/>
  </r>
  <r>
    <s v="ORD000334"/>
    <s v="PROD00037"/>
    <n v="1"/>
    <x v="6"/>
    <n v="24.22"/>
    <n v="24.22"/>
  </r>
  <r>
    <s v="ORD000334"/>
    <s v="PROD00200"/>
    <n v="1"/>
    <x v="6"/>
    <n v="30.95"/>
    <n v="30.95"/>
  </r>
  <r>
    <s v="ORD000335"/>
    <s v="PROD00321"/>
    <n v="1"/>
    <x v="7"/>
    <n v="32.33"/>
    <n v="32.33"/>
  </r>
  <r>
    <s v="ORD000336"/>
    <s v="PROD00368"/>
    <n v="1"/>
    <x v="0"/>
    <n v="101.55"/>
    <n v="101.55"/>
  </r>
  <r>
    <s v="ORD000337"/>
    <s v="PROD00094"/>
    <n v="1"/>
    <x v="6"/>
    <n v="40.83"/>
    <n v="40.83"/>
  </r>
  <r>
    <s v="ORD000337"/>
    <s v="PROD00407"/>
    <n v="1"/>
    <x v="6"/>
    <n v="10.07"/>
    <n v="10.07"/>
  </r>
  <r>
    <s v="ORD000338"/>
    <s v="PROD00042"/>
    <n v="1"/>
    <x v="6"/>
    <n v="38.39"/>
    <n v="38.39"/>
  </r>
  <r>
    <s v="ORD000338"/>
    <s v="PROD00086"/>
    <n v="2"/>
    <x v="7"/>
    <n v="37.840000000000003"/>
    <n v="75.680000000000007"/>
  </r>
  <r>
    <s v="ORD000338"/>
    <s v="PROD00406"/>
    <n v="1"/>
    <x v="6"/>
    <n v="23.33"/>
    <n v="23.33"/>
  </r>
  <r>
    <s v="ORD000339"/>
    <s v="PROD00094"/>
    <n v="1"/>
    <x v="6"/>
    <n v="40.83"/>
    <n v="40.83"/>
  </r>
  <r>
    <s v="ORD000339"/>
    <s v="PROD00130"/>
    <n v="2"/>
    <x v="8"/>
    <n v="12.31"/>
    <n v="24.62"/>
  </r>
  <r>
    <s v="ORD000339"/>
    <s v="PROD00294"/>
    <n v="2"/>
    <x v="3"/>
    <n v="110.9"/>
    <n v="221.8"/>
  </r>
  <r>
    <s v="ORD000340"/>
    <s v="PROD00438"/>
    <n v="2"/>
    <x v="6"/>
    <n v="54.41"/>
    <n v="108.82"/>
  </r>
  <r>
    <s v="ORD000341"/>
    <s v="PROD00261"/>
    <n v="1"/>
    <x v="2"/>
    <n v="6.91"/>
    <n v="6.91"/>
  </r>
  <r>
    <s v="ORD000342"/>
    <s v="PROD00014"/>
    <n v="1"/>
    <x v="6"/>
    <n v="46.45"/>
    <n v="46.45"/>
  </r>
  <r>
    <s v="ORD000343"/>
    <s v="PROD00200"/>
    <n v="2"/>
    <x v="6"/>
    <n v="30.95"/>
    <n v="61.9"/>
  </r>
  <r>
    <s v="ORD000344"/>
    <s v="PROD00224"/>
    <n v="1"/>
    <x v="6"/>
    <n v="26.98"/>
    <n v="26.98"/>
  </r>
  <r>
    <s v="ORD000345"/>
    <s v="PROD00048"/>
    <n v="2"/>
    <x v="0"/>
    <n v="34.869999999999997"/>
    <n v="69.739999999999995"/>
  </r>
  <r>
    <s v="ORD000345"/>
    <s v="PROD00200"/>
    <n v="2"/>
    <x v="6"/>
    <n v="30.95"/>
    <n v="61.9"/>
  </r>
  <r>
    <s v="ORD000346"/>
    <s v="PROD00020"/>
    <n v="1"/>
    <x v="6"/>
    <n v="15.05"/>
    <n v="15.05"/>
  </r>
  <r>
    <s v="ORD000346"/>
    <s v="PROD00419"/>
    <n v="1"/>
    <x v="8"/>
    <n v="26.9"/>
    <n v="26.9"/>
  </r>
  <r>
    <s v="ORD000346"/>
    <s v="PROD00432"/>
    <n v="1"/>
    <x v="6"/>
    <n v="57.98"/>
    <n v="57.98"/>
  </r>
  <r>
    <s v="ORD000347"/>
    <s v="PROD00214"/>
    <n v="2"/>
    <x v="6"/>
    <n v="32.67"/>
    <n v="65.34"/>
  </r>
  <r>
    <s v="ORD000347"/>
    <s v="PROD00240"/>
    <n v="2"/>
    <x v="6"/>
    <n v="51.74"/>
    <n v="103.48"/>
  </r>
  <r>
    <s v="ORD000348"/>
    <s v="PROD00066"/>
    <n v="1"/>
    <x v="6"/>
    <n v="21.37"/>
    <n v="21.37"/>
  </r>
  <r>
    <s v="ORD000348"/>
    <s v="PROD00407"/>
    <n v="1"/>
    <x v="6"/>
    <n v="10.07"/>
    <n v="10.07"/>
  </r>
  <r>
    <s v="ORD000349"/>
    <s v="PROD00028"/>
    <n v="1"/>
    <x v="4"/>
    <n v="8.39"/>
    <n v="8.39"/>
  </r>
  <r>
    <s v="ORD000349"/>
    <s v="PROD00157"/>
    <n v="2"/>
    <x v="2"/>
    <n v="16.149999999999999"/>
    <n v="32.299999999999997"/>
  </r>
  <r>
    <s v="ORD000349"/>
    <s v="PROD00219"/>
    <n v="1"/>
    <x v="6"/>
    <n v="74.39"/>
    <n v="74.39"/>
  </r>
  <r>
    <s v="ORD000350"/>
    <s v="PROD00236"/>
    <n v="1"/>
    <x v="5"/>
    <n v="34.22"/>
    <n v="34.22"/>
  </r>
  <r>
    <s v="ORD000351"/>
    <s v="PROD00018"/>
    <n v="2"/>
    <x v="6"/>
    <n v="40.119999999999997"/>
    <n v="80.239999999999995"/>
  </r>
  <r>
    <s v="ORD000351"/>
    <s v="PROD00200"/>
    <n v="2"/>
    <x v="6"/>
    <n v="30.95"/>
    <n v="61.9"/>
  </r>
  <r>
    <s v="ORD000351"/>
    <s v="PROD00423"/>
    <n v="1"/>
    <x v="6"/>
    <n v="97.17"/>
    <n v="97.17"/>
  </r>
  <r>
    <s v="ORD000352"/>
    <s v="PROD00407"/>
    <n v="1"/>
    <x v="6"/>
    <n v="10.07"/>
    <n v="10.07"/>
  </r>
  <r>
    <s v="ORD000353"/>
    <s v="PROD00409"/>
    <n v="2"/>
    <x v="5"/>
    <n v="64.84"/>
    <n v="129.68"/>
  </r>
  <r>
    <s v="ORD000354"/>
    <s v="PROD00207"/>
    <n v="1"/>
    <x v="2"/>
    <n v="32.01"/>
    <n v="32.01"/>
  </r>
  <r>
    <s v="ORD000354"/>
    <s v="PROD00424"/>
    <n v="2"/>
    <x v="6"/>
    <n v="25.41"/>
    <n v="50.82"/>
  </r>
  <r>
    <s v="ORD000355"/>
    <s v="PROD00020"/>
    <n v="1"/>
    <x v="6"/>
    <n v="15.05"/>
    <n v="15.05"/>
  </r>
  <r>
    <s v="ORD000355"/>
    <s v="PROD00296"/>
    <n v="2"/>
    <x v="3"/>
    <n v="49.85"/>
    <n v="99.7"/>
  </r>
  <r>
    <s v="ORD000356"/>
    <s v="PROD00421"/>
    <n v="1"/>
    <x v="6"/>
    <n v="66.94"/>
    <n v="66.94"/>
  </r>
  <r>
    <s v="ORD000357"/>
    <s v="PROD00407"/>
    <n v="1"/>
    <x v="6"/>
    <n v="10.07"/>
    <n v="10.07"/>
  </r>
  <r>
    <s v="ORD000357"/>
    <s v="PROD00438"/>
    <n v="1"/>
    <x v="6"/>
    <n v="54.41"/>
    <n v="54.41"/>
  </r>
  <r>
    <s v="ORD000358"/>
    <s v="PROD00042"/>
    <n v="1"/>
    <x v="6"/>
    <n v="38.39"/>
    <n v="38.39"/>
  </r>
  <r>
    <s v="ORD000359"/>
    <s v="PROD00333"/>
    <n v="1"/>
    <x v="7"/>
    <n v="32.299999999999997"/>
    <n v="32.299999999999997"/>
  </r>
  <r>
    <s v="ORD000360"/>
    <s v="PROD00022"/>
    <n v="2"/>
    <x v="6"/>
    <n v="27.05"/>
    <n v="54.1"/>
  </r>
  <r>
    <s v="ORD000360"/>
    <s v="PROD00200"/>
    <n v="1"/>
    <x v="6"/>
    <n v="30.95"/>
    <n v="30.95"/>
  </r>
  <r>
    <s v="ORD000360"/>
    <s v="PROD00222"/>
    <n v="1"/>
    <x v="6"/>
    <n v="93.44"/>
    <n v="93.44"/>
  </r>
  <r>
    <s v="ORD000360"/>
    <s v="PROD00407"/>
    <n v="1"/>
    <x v="6"/>
    <n v="10.07"/>
    <n v="10.07"/>
  </r>
  <r>
    <s v="ORD000361"/>
    <s v="PROD00414"/>
    <n v="1"/>
    <x v="6"/>
    <n v="67.33"/>
    <n v="67.33"/>
  </r>
  <r>
    <s v="ORD000362"/>
    <s v="PROD00205"/>
    <n v="1"/>
    <x v="5"/>
    <n v="52.53"/>
    <n v="52.53"/>
  </r>
  <r>
    <s v="ORD000363"/>
    <s v="PROD00231"/>
    <n v="1"/>
    <x v="1"/>
    <n v="59.4"/>
    <n v="59.4"/>
  </r>
  <r>
    <s v="ORD000364"/>
    <s v="PROD00089"/>
    <n v="1"/>
    <x v="6"/>
    <n v="43.42"/>
    <n v="43.42"/>
  </r>
  <r>
    <s v="ORD000365"/>
    <s v="PROD00158"/>
    <n v="1"/>
    <x v="3"/>
    <n v="88.29"/>
    <n v="88.29"/>
  </r>
  <r>
    <s v="ORD000365"/>
    <s v="PROD00232"/>
    <n v="1"/>
    <x v="6"/>
    <n v="75.099999999999994"/>
    <n v="75.099999999999994"/>
  </r>
  <r>
    <s v="ORD000366"/>
    <s v="PROD00186"/>
    <n v="2"/>
    <x v="8"/>
    <n v="18.989999999999998"/>
    <n v="37.979999999999997"/>
  </r>
  <r>
    <s v="ORD000366"/>
    <s v="PROD00405"/>
    <n v="1"/>
    <x v="6"/>
    <n v="99.85"/>
    <n v="99.85"/>
  </r>
  <r>
    <s v="ORD000367"/>
    <s v="PROD00024"/>
    <n v="2"/>
    <x v="6"/>
    <n v="23.99"/>
    <n v="47.98"/>
  </r>
  <r>
    <s v="ORD000367"/>
    <s v="PROD00444"/>
    <n v="1"/>
    <x v="6"/>
    <n v="20.55"/>
    <n v="20.55"/>
  </r>
  <r>
    <s v="ORD000368"/>
    <s v="PROD00080"/>
    <n v="1"/>
    <x v="7"/>
    <n v="39.36"/>
    <n v="39.36"/>
  </r>
  <r>
    <s v="ORD000368"/>
    <s v="PROD00298"/>
    <n v="1"/>
    <x v="3"/>
    <n v="63.55"/>
    <n v="63.55"/>
  </r>
  <r>
    <s v="ORD000369"/>
    <s v="PROD00070"/>
    <n v="1"/>
    <x v="6"/>
    <n v="117.79"/>
    <n v="117.79"/>
  </r>
  <r>
    <s v="ORD000370"/>
    <s v="PROD00135"/>
    <n v="1"/>
    <x v="6"/>
    <n v="48.81"/>
    <n v="48.81"/>
  </r>
  <r>
    <s v="ORD000371"/>
    <s v="PROD00214"/>
    <n v="1"/>
    <x v="6"/>
    <n v="32.67"/>
    <n v="32.67"/>
  </r>
  <r>
    <s v="ORD000371"/>
    <s v="PROD00349"/>
    <n v="1"/>
    <x v="2"/>
    <n v="15.83"/>
    <n v="15.83"/>
  </r>
  <r>
    <s v="ORD000371"/>
    <s v="PROD00407"/>
    <n v="2"/>
    <x v="6"/>
    <n v="10.07"/>
    <n v="20.14"/>
  </r>
  <r>
    <s v="ORD000372"/>
    <s v="PROD00081"/>
    <n v="2"/>
    <x v="1"/>
    <n v="20.59"/>
    <n v="41.18"/>
  </r>
  <r>
    <s v="ORD000372"/>
    <s v="PROD00424"/>
    <n v="2"/>
    <x v="6"/>
    <n v="25.41"/>
    <n v="50.82"/>
  </r>
  <r>
    <s v="ORD000373"/>
    <s v="PROD00156"/>
    <n v="1"/>
    <x v="5"/>
    <n v="37.99"/>
    <n v="37.99"/>
  </r>
  <r>
    <s v="ORD000373"/>
    <s v="PROD00444"/>
    <n v="2"/>
    <x v="6"/>
    <n v="20.55"/>
    <n v="41.1"/>
  </r>
  <r>
    <s v="ORD000374"/>
    <s v="PROD00067"/>
    <n v="1"/>
    <x v="8"/>
    <n v="23.3"/>
    <n v="23.3"/>
  </r>
  <r>
    <s v="ORD000375"/>
    <s v="PROD00323"/>
    <n v="1"/>
    <x v="7"/>
    <n v="21.81"/>
    <n v="21.81"/>
  </r>
  <r>
    <s v="ORD000376"/>
    <s v="PROD00031"/>
    <n v="1"/>
    <x v="6"/>
    <n v="43.27"/>
    <n v="43.27"/>
  </r>
  <r>
    <s v="ORD000377"/>
    <s v="PROD00093"/>
    <n v="2"/>
    <x v="4"/>
    <n v="12.88"/>
    <n v="25.76"/>
  </r>
  <r>
    <s v="ORD000377"/>
    <s v="PROD00200"/>
    <n v="2"/>
    <x v="6"/>
    <n v="30.95"/>
    <n v="61.9"/>
  </r>
  <r>
    <s v="ORD000377"/>
    <s v="PROD00240"/>
    <n v="1"/>
    <x v="6"/>
    <n v="51.74"/>
    <n v="51.74"/>
  </r>
  <r>
    <s v="ORD000377"/>
    <s v="PROD00272"/>
    <n v="1"/>
    <x v="2"/>
    <n v="13.25"/>
    <n v="13.25"/>
  </r>
  <r>
    <s v="ORD000378"/>
    <s v="PROD00017"/>
    <n v="1"/>
    <x v="6"/>
    <n v="13.71"/>
    <n v="13.71"/>
  </r>
  <r>
    <s v="ORD000380"/>
    <s v="PROD00013"/>
    <n v="2"/>
    <x v="9"/>
    <n v="37.4"/>
    <n v="74.8"/>
  </r>
  <r>
    <s v="ORD000380"/>
    <s v="PROD00042"/>
    <n v="1"/>
    <x v="6"/>
    <n v="38.39"/>
    <n v="38.39"/>
  </r>
  <r>
    <s v="ORD000380"/>
    <s v="PROD00334"/>
    <n v="1"/>
    <x v="9"/>
    <n v="75.05"/>
    <n v="75.05"/>
  </r>
  <r>
    <s v="ORD000381"/>
    <s v="PROD00032"/>
    <n v="2"/>
    <x v="6"/>
    <n v="115.39"/>
    <n v="230.78"/>
  </r>
  <r>
    <s v="ORD000381"/>
    <s v="PROD00094"/>
    <n v="1"/>
    <x v="6"/>
    <n v="40.83"/>
    <n v="40.83"/>
  </r>
  <r>
    <s v="ORD000381"/>
    <s v="PROD00268"/>
    <n v="1"/>
    <x v="2"/>
    <n v="16.11"/>
    <n v="16.11"/>
  </r>
  <r>
    <s v="ORD000382"/>
    <s v="PROD00387"/>
    <n v="1"/>
    <x v="0"/>
    <n v="21.89"/>
    <n v="21.89"/>
  </r>
  <r>
    <s v="ORD000383"/>
    <s v="PROD00042"/>
    <n v="1"/>
    <x v="6"/>
    <n v="38.39"/>
    <n v="38.39"/>
  </r>
  <r>
    <s v="ORD000384"/>
    <s v="PROD00017"/>
    <n v="2"/>
    <x v="6"/>
    <n v="13.71"/>
    <n v="27.42"/>
  </r>
  <r>
    <s v="ORD000384"/>
    <s v="PROD00235"/>
    <n v="2"/>
    <x v="5"/>
    <n v="20.75"/>
    <n v="41.5"/>
  </r>
  <r>
    <s v="ORD000385"/>
    <s v="PROD00010"/>
    <n v="1"/>
    <x v="5"/>
    <n v="30.71"/>
    <n v="30.71"/>
  </r>
  <r>
    <s v="ORD000385"/>
    <s v="PROD00116"/>
    <n v="1"/>
    <x v="6"/>
    <n v="55.56"/>
    <n v="55.56"/>
  </r>
  <r>
    <s v="ORD000386"/>
    <s v="PROD00070"/>
    <n v="1"/>
    <x v="6"/>
    <n v="117.79"/>
    <n v="117.79"/>
  </r>
  <r>
    <s v="ORD000387"/>
    <s v="PROD00259"/>
    <n v="1"/>
    <x v="2"/>
    <n v="22.28"/>
    <n v="22.28"/>
  </r>
  <r>
    <s v="ORD000388"/>
    <s v="PROD00091"/>
    <n v="1"/>
    <x v="5"/>
    <n v="27.76"/>
    <n v="27.76"/>
  </r>
  <r>
    <s v="ORD000388"/>
    <s v="PROD00210"/>
    <n v="1"/>
    <x v="5"/>
    <n v="53.17"/>
    <n v="53.17"/>
  </r>
  <r>
    <s v="ORD000389"/>
    <s v="PROD00256"/>
    <n v="1"/>
    <x v="6"/>
    <n v="48.14"/>
    <n v="48.14"/>
  </r>
  <r>
    <s v="ORD000389"/>
    <s v="PROD00426"/>
    <n v="1"/>
    <x v="6"/>
    <n v="27.32"/>
    <n v="27.32"/>
  </r>
  <r>
    <s v="ORD000389"/>
    <s v="PROD00439"/>
    <n v="1"/>
    <x v="6"/>
    <n v="60.6"/>
    <n v="60.6"/>
  </r>
  <r>
    <s v="ORD000390"/>
    <s v="PROD00031"/>
    <n v="1"/>
    <x v="6"/>
    <n v="43.27"/>
    <n v="43.27"/>
  </r>
  <r>
    <s v="ORD000390"/>
    <s v="PROD00391"/>
    <n v="2"/>
    <x v="0"/>
    <n v="48.51"/>
    <n v="97.02"/>
  </r>
  <r>
    <s v="ORD000390"/>
    <s v="PROD00441"/>
    <n v="1"/>
    <x v="6"/>
    <n v="26.7"/>
    <n v="26.7"/>
  </r>
  <r>
    <s v="ORD000391"/>
    <s v="PROD00060"/>
    <n v="1"/>
    <x v="2"/>
    <n v="13.58"/>
    <n v="13.58"/>
  </r>
  <r>
    <s v="ORD000391"/>
    <s v="PROD00066"/>
    <n v="1"/>
    <x v="6"/>
    <n v="21.37"/>
    <n v="21.37"/>
  </r>
  <r>
    <s v="ORD000392"/>
    <s v="PROD00032"/>
    <n v="1"/>
    <x v="6"/>
    <n v="115.39"/>
    <n v="115.39"/>
  </r>
  <r>
    <s v="ORD000392"/>
    <s v="PROD00407"/>
    <n v="1"/>
    <x v="6"/>
    <n v="10.07"/>
    <n v="10.07"/>
  </r>
  <r>
    <s v="ORD000393"/>
    <s v="PROD00024"/>
    <n v="1"/>
    <x v="6"/>
    <n v="23.99"/>
    <n v="23.99"/>
  </r>
  <r>
    <s v="ORD000393"/>
    <s v="PROD00068"/>
    <n v="1"/>
    <x v="7"/>
    <n v="16.940000000000001"/>
    <n v="16.940000000000001"/>
  </r>
  <r>
    <s v="ORD000393"/>
    <s v="PROD00284"/>
    <n v="1"/>
    <x v="5"/>
    <n v="33.89"/>
    <n v="33.89"/>
  </r>
  <r>
    <s v="ORD000394"/>
    <s v="PROD00017"/>
    <n v="1"/>
    <x v="6"/>
    <n v="13.71"/>
    <n v="13.71"/>
  </r>
  <r>
    <s v="ORD000394"/>
    <s v="PROD00333"/>
    <n v="1"/>
    <x v="7"/>
    <n v="32.299999999999997"/>
    <n v="32.299999999999997"/>
  </r>
  <r>
    <s v="ORD000395"/>
    <s v="PROD00197"/>
    <n v="1"/>
    <x v="9"/>
    <n v="40.75"/>
    <n v="40.75"/>
  </r>
  <r>
    <s v="ORD000396"/>
    <s v="PROD00217"/>
    <n v="1"/>
    <x v="1"/>
    <n v="54.03"/>
    <n v="54.03"/>
  </r>
  <r>
    <s v="ORD000396"/>
    <s v="PROD00232"/>
    <n v="1"/>
    <x v="6"/>
    <n v="75.099999999999994"/>
    <n v="75.099999999999994"/>
  </r>
  <r>
    <s v="ORD000397"/>
    <s v="PROD00214"/>
    <n v="2"/>
    <x v="6"/>
    <n v="32.67"/>
    <n v="65.34"/>
  </r>
  <r>
    <s v="ORD000397"/>
    <s v="PROD00461"/>
    <n v="1"/>
    <x v="6"/>
    <n v="21"/>
    <n v="21"/>
  </r>
  <r>
    <s v="ORD000398"/>
    <s v="PROD00042"/>
    <n v="1"/>
    <x v="6"/>
    <n v="38.39"/>
    <n v="38.39"/>
  </r>
  <r>
    <s v="ORD000399"/>
    <s v="PROD00407"/>
    <n v="1"/>
    <x v="6"/>
    <n v="10.07"/>
    <n v="10.07"/>
  </r>
  <r>
    <s v="ORD000400"/>
    <s v="PROD00152"/>
    <n v="1"/>
    <x v="5"/>
    <n v="42.11"/>
    <n v="42.11"/>
  </r>
  <r>
    <s v="ORD000401"/>
    <s v="PROD00416"/>
    <n v="1"/>
    <x v="6"/>
    <n v="63.89"/>
    <n v="63.89"/>
  </r>
  <r>
    <s v="ORD000402"/>
    <s v="PROD00406"/>
    <n v="1"/>
    <x v="6"/>
    <n v="23.33"/>
    <n v="23.33"/>
  </r>
  <r>
    <s v="ORD000403"/>
    <s v="PROD00066"/>
    <n v="1"/>
    <x v="6"/>
    <n v="21.37"/>
    <n v="21.37"/>
  </r>
  <r>
    <s v="ORD000403"/>
    <s v="PROD00384"/>
    <n v="1"/>
    <x v="0"/>
    <n v="116.81"/>
    <n v="116.81"/>
  </r>
  <r>
    <s v="ORD000403"/>
    <s v="PROD00407"/>
    <n v="1"/>
    <x v="6"/>
    <n v="10.07"/>
    <n v="10.07"/>
  </r>
  <r>
    <s v="ORD000404"/>
    <s v="PROD00407"/>
    <n v="1"/>
    <x v="6"/>
    <n v="10.07"/>
    <n v="10.07"/>
  </r>
  <r>
    <s v="ORD000405"/>
    <s v="PROD00098"/>
    <n v="1"/>
    <x v="6"/>
    <n v="115.39"/>
    <n v="115.39"/>
  </r>
  <r>
    <s v="ORD000406"/>
    <s v="PROD00416"/>
    <n v="1"/>
    <x v="6"/>
    <n v="63.89"/>
    <n v="63.89"/>
  </r>
  <r>
    <s v="ORD000407"/>
    <s v="PROD00232"/>
    <n v="1"/>
    <x v="6"/>
    <n v="75.099999999999994"/>
    <n v="75.099999999999994"/>
  </r>
  <r>
    <s v="ORD000407"/>
    <s v="PROD00284"/>
    <n v="1"/>
    <x v="5"/>
    <n v="33.89"/>
    <n v="33.89"/>
  </r>
  <r>
    <s v="ORD000408"/>
    <s v="PROD00416"/>
    <n v="1"/>
    <x v="6"/>
    <n v="63.89"/>
    <n v="63.89"/>
  </r>
  <r>
    <s v="ORD000409"/>
    <s v="PROD00017"/>
    <n v="1"/>
    <x v="6"/>
    <n v="13.71"/>
    <n v="13.71"/>
  </r>
  <r>
    <s v="ORD000409"/>
    <s v="PROD00421"/>
    <n v="1"/>
    <x v="6"/>
    <n v="66.94"/>
    <n v="66.94"/>
  </r>
  <r>
    <s v="ORD000410"/>
    <s v="PROD00176"/>
    <n v="1"/>
    <x v="6"/>
    <n v="34.86"/>
    <n v="34.86"/>
  </r>
  <r>
    <s v="ORD000411"/>
    <s v="PROD00200"/>
    <n v="1"/>
    <x v="6"/>
    <n v="30.95"/>
    <n v="30.95"/>
  </r>
  <r>
    <s v="ORD000411"/>
    <s v="PROD00405"/>
    <n v="2"/>
    <x v="6"/>
    <n v="99.85"/>
    <n v="199.7"/>
  </r>
  <r>
    <s v="ORD000412"/>
    <s v="PROD00314"/>
    <n v="1"/>
    <x v="3"/>
    <n v="63.84"/>
    <n v="63.84"/>
  </r>
  <r>
    <s v="ORD000412"/>
    <s v="PROD00386"/>
    <n v="1"/>
    <x v="0"/>
    <n v="65.459999999999994"/>
    <n v="65.459999999999994"/>
  </r>
  <r>
    <s v="ORD000413"/>
    <s v="PROD00423"/>
    <n v="1"/>
    <x v="6"/>
    <n v="97.17"/>
    <n v="97.17"/>
  </r>
  <r>
    <s v="ORD000414"/>
    <s v="PROD00006"/>
    <n v="1"/>
    <x v="4"/>
    <n v="4.47"/>
    <n v="4.47"/>
  </r>
  <r>
    <s v="ORD000414"/>
    <s v="PROD00424"/>
    <n v="2"/>
    <x v="6"/>
    <n v="25.41"/>
    <n v="50.82"/>
  </r>
  <r>
    <s v="ORD000415"/>
    <s v="PROD00235"/>
    <n v="1"/>
    <x v="5"/>
    <n v="20.75"/>
    <n v="20.75"/>
  </r>
  <r>
    <s v="ORD000415"/>
    <s v="PROD00342"/>
    <n v="1"/>
    <x v="9"/>
    <n v="60.86"/>
    <n v="60.86"/>
  </r>
  <r>
    <s v="ORD000416"/>
    <s v="PROD00018"/>
    <n v="1"/>
    <x v="6"/>
    <n v="40.119999999999997"/>
    <n v="40.119999999999997"/>
  </r>
  <r>
    <s v="ORD000417"/>
    <s v="PROD00431"/>
    <n v="1"/>
    <x v="6"/>
    <n v="55.99"/>
    <n v="55.99"/>
  </r>
  <r>
    <s v="ORD000418"/>
    <s v="PROD00042"/>
    <n v="1"/>
    <x v="6"/>
    <n v="38.39"/>
    <n v="38.39"/>
  </r>
  <r>
    <s v="ORD000419"/>
    <s v="PROD00017"/>
    <n v="1"/>
    <x v="6"/>
    <n v="13.71"/>
    <n v="13.71"/>
  </r>
  <r>
    <s v="ORD000419"/>
    <s v="PROD00403"/>
    <n v="1"/>
    <x v="6"/>
    <n v="48.82"/>
    <n v="48.82"/>
  </r>
  <r>
    <s v="ORD000420"/>
    <s v="PROD00404"/>
    <n v="1"/>
    <x v="6"/>
    <n v="81.02"/>
    <n v="81.02"/>
  </r>
  <r>
    <s v="ORD000421"/>
    <s v="PROD00407"/>
    <n v="1"/>
    <x v="6"/>
    <n v="10.07"/>
    <n v="10.07"/>
  </r>
  <r>
    <s v="ORD000422"/>
    <s v="PROD00020"/>
    <n v="1"/>
    <x v="6"/>
    <n v="15.05"/>
    <n v="15.05"/>
  </r>
  <r>
    <s v="ORD000424"/>
    <s v="PROD00436"/>
    <n v="1"/>
    <x v="9"/>
    <n v="20.39"/>
    <n v="20.39"/>
  </r>
  <r>
    <s v="ORD000425"/>
    <s v="PROD00089"/>
    <n v="1"/>
    <x v="6"/>
    <n v="43.42"/>
    <n v="43.42"/>
  </r>
  <r>
    <s v="ORD000426"/>
    <s v="PROD00214"/>
    <n v="1"/>
    <x v="6"/>
    <n v="32.67"/>
    <n v="32.67"/>
  </r>
  <r>
    <s v="ORD000427"/>
    <s v="PROD00107"/>
    <n v="1"/>
    <x v="5"/>
    <n v="41.73"/>
    <n v="41.73"/>
  </r>
  <r>
    <s v="ORD000427"/>
    <s v="PROD00126"/>
    <n v="1"/>
    <x v="4"/>
    <n v="5.49"/>
    <n v="5.49"/>
  </r>
  <r>
    <s v="ORD000428"/>
    <s v="PROD00448"/>
    <n v="1"/>
    <x v="4"/>
    <n v="5.1100000000000003"/>
    <n v="5.1100000000000003"/>
  </r>
  <r>
    <s v="ORD000429"/>
    <s v="PROD00135"/>
    <n v="1"/>
    <x v="6"/>
    <n v="48.81"/>
    <n v="48.81"/>
  </r>
  <r>
    <s v="ORD000430"/>
    <s v="PROD00057"/>
    <n v="1"/>
    <x v="3"/>
    <n v="26.58"/>
    <n v="26.58"/>
  </r>
  <r>
    <s v="ORD000430"/>
    <s v="PROD00189"/>
    <n v="1"/>
    <x v="6"/>
    <n v="35.08"/>
    <n v="35.08"/>
  </r>
  <r>
    <s v="ORD000430"/>
    <s v="PROD00313"/>
    <n v="2"/>
    <x v="3"/>
    <n v="63.84"/>
    <n v="127.68"/>
  </r>
  <r>
    <s v="ORD000430"/>
    <s v="PROD00372"/>
    <n v="1"/>
    <x v="0"/>
    <n v="119.75"/>
    <n v="119.75"/>
  </r>
  <r>
    <s v="ORD000431"/>
    <s v="PROD00128"/>
    <n v="2"/>
    <x v="7"/>
    <n v="37.340000000000003"/>
    <n v="74.680000000000007"/>
  </r>
  <r>
    <s v="ORD000431"/>
    <s v="PROD00306"/>
    <n v="1"/>
    <x v="3"/>
    <n v="92.77"/>
    <n v="92.77"/>
  </r>
  <r>
    <s v="ORD000433"/>
    <s v="PROD00184"/>
    <n v="1"/>
    <x v="0"/>
    <n v="83.03"/>
    <n v="83.03"/>
  </r>
  <r>
    <s v="ORD000434"/>
    <s v="PROD00152"/>
    <n v="1"/>
    <x v="5"/>
    <n v="42.11"/>
    <n v="42.11"/>
  </r>
  <r>
    <s v="ORD000435"/>
    <s v="PROD00100"/>
    <n v="1"/>
    <x v="1"/>
    <n v="58.45"/>
    <n v="58.45"/>
  </r>
  <r>
    <s v="ORD000435"/>
    <s v="PROD00319"/>
    <n v="1"/>
    <x v="7"/>
    <n v="24.92"/>
    <n v="24.92"/>
  </r>
  <r>
    <s v="ORD000436"/>
    <s v="PROD00264"/>
    <n v="1"/>
    <x v="2"/>
    <n v="32.26"/>
    <n v="32.26"/>
  </r>
  <r>
    <s v="ORD000436"/>
    <s v="PROD00269"/>
    <n v="2"/>
    <x v="2"/>
    <n v="26.2"/>
    <n v="52.4"/>
  </r>
  <r>
    <s v="ORD000436"/>
    <s v="PROD00393"/>
    <n v="1"/>
    <x v="1"/>
    <n v="49.13"/>
    <n v="49.13"/>
  </r>
  <r>
    <s v="ORD000437"/>
    <s v="PROD00107"/>
    <n v="1"/>
    <x v="5"/>
    <n v="41.73"/>
    <n v="41.73"/>
  </r>
  <r>
    <s v="ORD000438"/>
    <s v="PROD00382"/>
    <n v="1"/>
    <x v="0"/>
    <n v="85.1"/>
    <n v="85.1"/>
  </r>
  <r>
    <s v="ORD000438"/>
    <s v="PROD00459"/>
    <n v="1"/>
    <x v="8"/>
    <n v="26.48"/>
    <n v="26.48"/>
  </r>
  <r>
    <s v="ORD000439"/>
    <s v="PROD00200"/>
    <n v="2"/>
    <x v="6"/>
    <n v="30.95"/>
    <n v="61.9"/>
  </r>
  <r>
    <s v="ORD000439"/>
    <s v="PROD00253"/>
    <n v="2"/>
    <x v="7"/>
    <n v="19.09"/>
    <n v="38.18"/>
  </r>
  <r>
    <s v="ORD000439"/>
    <s v="PROD00307"/>
    <n v="1"/>
    <x v="3"/>
    <n v="63.84"/>
    <n v="63.84"/>
  </r>
  <r>
    <s v="ORD000440"/>
    <s v="PROD00315"/>
    <n v="2"/>
    <x v="3"/>
    <n v="36.57"/>
    <n v="73.14"/>
  </r>
  <r>
    <s v="ORD000440"/>
    <s v="PROD00367"/>
    <n v="1"/>
    <x v="0"/>
    <n v="29.92"/>
    <n v="29.92"/>
  </r>
  <r>
    <s v="ORD000440"/>
    <s v="PROD00431"/>
    <n v="1"/>
    <x v="6"/>
    <n v="55.99"/>
    <n v="55.99"/>
  </r>
  <r>
    <s v="ORD000441"/>
    <s v="PROD00297"/>
    <n v="1"/>
    <x v="3"/>
    <n v="97.88"/>
    <n v="97.88"/>
  </r>
  <r>
    <s v="ORD000442"/>
    <s v="PROD00008"/>
    <n v="1"/>
    <x v="8"/>
    <n v="38.25"/>
    <n v="38.25"/>
  </r>
  <r>
    <s v="ORD000442"/>
    <s v="PROD00222"/>
    <n v="1"/>
    <x v="6"/>
    <n v="93.44"/>
    <n v="93.44"/>
  </r>
  <r>
    <s v="ORD000443"/>
    <s v="PROD00343"/>
    <n v="1"/>
    <x v="9"/>
    <n v="77.97"/>
    <n v="77.97"/>
  </r>
  <r>
    <s v="ORD000444"/>
    <s v="PROD00019"/>
    <n v="1"/>
    <x v="2"/>
    <n v="10.94"/>
    <n v="10.94"/>
  </r>
  <r>
    <s v="ORD000445"/>
    <s v="PROD00227"/>
    <n v="1"/>
    <x v="7"/>
    <n v="19.03"/>
    <n v="19.03"/>
  </r>
  <r>
    <s v="ORD000445"/>
    <s v="PROD00237"/>
    <n v="1"/>
    <x v="4"/>
    <n v="2.1800000000000002"/>
    <n v="2.1800000000000002"/>
  </r>
  <r>
    <s v="ORD000446"/>
    <s v="PROD00095"/>
    <n v="1"/>
    <x v="8"/>
    <n v="20.13"/>
    <n v="20.13"/>
  </r>
  <r>
    <s v="ORD000447"/>
    <s v="PROD00195"/>
    <n v="1"/>
    <x v="2"/>
    <n v="25.78"/>
    <n v="25.78"/>
  </r>
  <r>
    <s v="ORD000447"/>
    <s v="PROD00252"/>
    <n v="1"/>
    <x v="5"/>
    <n v="56.67"/>
    <n v="56.67"/>
  </r>
  <r>
    <s v="ORD000448"/>
    <s v="PROD00137"/>
    <n v="1"/>
    <x v="4"/>
    <n v="7.57"/>
    <n v="7.57"/>
  </r>
  <r>
    <s v="ORD000448"/>
    <s v="PROD00173"/>
    <n v="1"/>
    <x v="1"/>
    <n v="29"/>
    <n v="29"/>
  </r>
  <r>
    <s v="ORD000449"/>
    <s v="PROD00024"/>
    <n v="1"/>
    <x v="6"/>
    <n v="23.99"/>
    <n v="23.99"/>
  </r>
  <r>
    <s v="ORD000449"/>
    <s v="PROD00286"/>
    <n v="1"/>
    <x v="5"/>
    <n v="54.51"/>
    <n v="54.51"/>
  </r>
  <r>
    <s v="ORD000450"/>
    <s v="PROD00286"/>
    <n v="2"/>
    <x v="5"/>
    <n v="54.51"/>
    <n v="109.02"/>
  </r>
  <r>
    <s v="ORD000451"/>
    <s v="PROD00121"/>
    <n v="1"/>
    <x v="0"/>
    <n v="16.809999999999999"/>
    <n v="16.809999999999999"/>
  </r>
  <r>
    <s v="ORD000452"/>
    <s v="PROD00073"/>
    <n v="1"/>
    <x v="6"/>
    <n v="31.66"/>
    <n v="31.66"/>
  </r>
  <r>
    <s v="ORD000452"/>
    <s v="PROD00456"/>
    <n v="1"/>
    <x v="8"/>
    <n v="17.5"/>
    <n v="17.5"/>
  </r>
  <r>
    <s v="ORD000453"/>
    <s v="PROD00085"/>
    <n v="1"/>
    <x v="7"/>
    <n v="22.33"/>
    <n v="22.33"/>
  </r>
  <r>
    <s v="ORD000453"/>
    <s v="PROD00240"/>
    <n v="1"/>
    <x v="6"/>
    <n v="51.74"/>
    <n v="51.74"/>
  </r>
  <r>
    <s v="ORD000453"/>
    <s v="PROD00374"/>
    <n v="2"/>
    <x v="0"/>
    <n v="100.7"/>
    <n v="201.4"/>
  </r>
  <r>
    <s v="ORD000454"/>
    <s v="PROD00360"/>
    <n v="1"/>
    <x v="0"/>
    <n v="20.79"/>
    <n v="20.79"/>
  </r>
  <r>
    <s v="ORD000454"/>
    <s v="PROD00397"/>
    <n v="1"/>
    <x v="1"/>
    <n v="37.76"/>
    <n v="37.76"/>
  </r>
  <r>
    <s v="ORD000455"/>
    <s v="PROD00143"/>
    <n v="1"/>
    <x v="9"/>
    <n v="49.21"/>
    <n v="49.21"/>
  </r>
  <r>
    <s v="ORD000456"/>
    <s v="PROD00272"/>
    <n v="1"/>
    <x v="2"/>
    <n v="13.25"/>
    <n v="13.25"/>
  </r>
  <r>
    <s v="ORD000456"/>
    <s v="PROD00368"/>
    <n v="1"/>
    <x v="0"/>
    <n v="101.55"/>
    <n v="101.55"/>
  </r>
  <r>
    <s v="ORD000457"/>
    <s v="PROD00130"/>
    <n v="2"/>
    <x v="8"/>
    <n v="12.31"/>
    <n v="24.62"/>
  </r>
  <r>
    <s v="ORD000457"/>
    <s v="PROD00138"/>
    <n v="1"/>
    <x v="4"/>
    <n v="8.36"/>
    <n v="8.36"/>
  </r>
  <r>
    <s v="ORD000457"/>
    <s v="PROD00170"/>
    <n v="1"/>
    <x v="6"/>
    <n v="75.239999999999995"/>
    <n v="75.239999999999995"/>
  </r>
  <r>
    <s v="ORD000457"/>
    <s v="PROD00176"/>
    <n v="1"/>
    <x v="6"/>
    <n v="34.86"/>
    <n v="34.86"/>
  </r>
  <r>
    <s v="ORD000457"/>
    <s v="PROD00453"/>
    <n v="1"/>
    <x v="4"/>
    <n v="14.36"/>
    <n v="14.36"/>
  </r>
  <r>
    <s v="ORD000458"/>
    <s v="PROD00214"/>
    <n v="1"/>
    <x v="6"/>
    <n v="32.67"/>
    <n v="32.67"/>
  </r>
  <r>
    <s v="ORD000458"/>
    <s v="PROD00227"/>
    <n v="1"/>
    <x v="7"/>
    <n v="19.03"/>
    <n v="19.03"/>
  </r>
  <r>
    <s v="ORD000459"/>
    <s v="PROD00093"/>
    <n v="1"/>
    <x v="4"/>
    <n v="12.88"/>
    <n v="12.88"/>
  </r>
  <r>
    <s v="ORD000459"/>
    <s v="PROD00170"/>
    <n v="1"/>
    <x v="6"/>
    <n v="75.239999999999995"/>
    <n v="75.239999999999995"/>
  </r>
  <r>
    <s v="ORD000459"/>
    <s v="PROD00231"/>
    <n v="1"/>
    <x v="1"/>
    <n v="59.4"/>
    <n v="59.4"/>
  </r>
  <r>
    <s v="ORD000460"/>
    <s v="PROD00027"/>
    <n v="1"/>
    <x v="1"/>
    <n v="28.22"/>
    <n v="28.22"/>
  </r>
  <r>
    <s v="ORD000460"/>
    <s v="PROD00239"/>
    <n v="1"/>
    <x v="9"/>
    <n v="79.16"/>
    <n v="79.16"/>
  </r>
  <r>
    <s v="ORD000460"/>
    <s v="PROD00324"/>
    <n v="2"/>
    <x v="7"/>
    <n v="33.89"/>
    <n v="67.78"/>
  </r>
  <r>
    <s v="ORD000461"/>
    <s v="PROD00151"/>
    <n v="1"/>
    <x v="8"/>
    <n v="24.94"/>
    <n v="24.94"/>
  </r>
  <r>
    <s v="ORD000462"/>
    <s v="PROD00326"/>
    <n v="1"/>
    <x v="7"/>
    <n v="32.71"/>
    <n v="32.71"/>
  </r>
  <r>
    <s v="ORD000463"/>
    <s v="PROD00067"/>
    <n v="1"/>
    <x v="8"/>
    <n v="23.3"/>
    <n v="23.3"/>
  </r>
  <r>
    <s v="ORD000464"/>
    <s v="PROD00447"/>
    <n v="1"/>
    <x v="4"/>
    <n v="3.23"/>
    <n v="3.23"/>
  </r>
  <r>
    <s v="ORD000465"/>
    <s v="PROD00218"/>
    <n v="1"/>
    <x v="2"/>
    <n v="22.23"/>
    <n v="22.23"/>
  </r>
  <r>
    <s v="ORD000466"/>
    <s v="PROD00351"/>
    <n v="1"/>
    <x v="2"/>
    <n v="17.829999999999998"/>
    <n v="17.829999999999998"/>
  </r>
  <r>
    <s v="ORD000467"/>
    <s v="PROD00043"/>
    <n v="1"/>
    <x v="6"/>
    <n v="55.89"/>
    <n v="55.89"/>
  </r>
  <r>
    <s v="ORD000467"/>
    <s v="PROD00256"/>
    <n v="1"/>
    <x v="6"/>
    <n v="48.14"/>
    <n v="48.14"/>
  </r>
  <r>
    <s v="ORD000468"/>
    <s v="PROD00306"/>
    <n v="1"/>
    <x v="3"/>
    <n v="92.77"/>
    <n v="92.77"/>
  </r>
  <r>
    <s v="ORD000469"/>
    <s v="PROD00342"/>
    <n v="1"/>
    <x v="9"/>
    <n v="60.86"/>
    <n v="60.86"/>
  </r>
  <r>
    <s v="ORD000470"/>
    <s v="PROD00304"/>
    <n v="1"/>
    <x v="3"/>
    <n v="115.55"/>
    <n v="115.55"/>
  </r>
  <r>
    <s v="ORD000471"/>
    <s v="PROD00200"/>
    <n v="1"/>
    <x v="6"/>
    <n v="30.95"/>
    <n v="30.95"/>
  </r>
  <r>
    <s v="ORD000471"/>
    <s v="PROD00442"/>
    <n v="1"/>
    <x v="6"/>
    <n v="44.92"/>
    <n v="44.92"/>
  </r>
  <r>
    <s v="ORD000472"/>
    <s v="PROD00315"/>
    <n v="1"/>
    <x v="3"/>
    <n v="36.57"/>
    <n v="36.57"/>
  </r>
  <r>
    <s v="ORD000472"/>
    <s v="PROD00401"/>
    <n v="1"/>
    <x v="1"/>
    <n v="39.04"/>
    <n v="39.04"/>
  </r>
  <r>
    <s v="ORD000472"/>
    <s v="PROD00404"/>
    <n v="1"/>
    <x v="6"/>
    <n v="81.02"/>
    <n v="81.02"/>
  </r>
  <r>
    <s v="ORD000473"/>
    <s v="PROD00143"/>
    <n v="1"/>
    <x v="9"/>
    <n v="49.21"/>
    <n v="49.21"/>
  </r>
  <r>
    <s v="ORD000474"/>
    <s v="PROD00228"/>
    <n v="1"/>
    <x v="0"/>
    <n v="64.55"/>
    <n v="64.55"/>
  </r>
  <r>
    <s v="ORD000474"/>
    <s v="PROD00276"/>
    <n v="2"/>
    <x v="5"/>
    <n v="44.13"/>
    <n v="88.26"/>
  </r>
  <r>
    <s v="ORD000475"/>
    <s v="PROD00308"/>
    <n v="1"/>
    <x v="3"/>
    <n v="63.84"/>
    <n v="63.84"/>
  </r>
  <r>
    <s v="ORD000476"/>
    <s v="PROD00362"/>
    <n v="1"/>
    <x v="0"/>
    <n v="115.49"/>
    <n v="115.49"/>
  </r>
  <r>
    <s v="ORD000476"/>
    <s v="PROD00430"/>
    <n v="1"/>
    <x v="6"/>
    <n v="96.77"/>
    <n v="96.77"/>
  </r>
  <r>
    <s v="ORD000477"/>
    <s v="PROD00087"/>
    <n v="1"/>
    <x v="0"/>
    <n v="82.88"/>
    <n v="82.88"/>
  </r>
  <r>
    <s v="ORD000478"/>
    <s v="PROD00105"/>
    <n v="1"/>
    <x v="9"/>
    <n v="26.98"/>
    <n v="26.98"/>
  </r>
  <r>
    <s v="ORD000478"/>
    <s v="PROD00197"/>
    <n v="1"/>
    <x v="9"/>
    <n v="40.75"/>
    <n v="40.75"/>
  </r>
  <r>
    <s v="ORD000478"/>
    <s v="PROD00370"/>
    <n v="2"/>
    <x v="0"/>
    <n v="24.23"/>
    <n v="48.46"/>
  </r>
  <r>
    <m/>
    <m/>
    <m/>
    <x v="10"/>
    <m/>
    <m/>
  </r>
  <r>
    <m/>
    <m/>
    <m/>
    <x v="10"/>
    <m/>
    <m/>
  </r>
  <r>
    <m/>
    <m/>
    <m/>
    <x v="10"/>
    <m/>
    <m/>
  </r>
  <r>
    <m/>
    <m/>
    <m/>
    <x v="10"/>
    <m/>
    <m/>
  </r>
  <r>
    <m/>
    <m/>
    <m/>
    <x v="10"/>
    <m/>
    <m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0">
  <r>
    <s v="ORD000001"/>
    <s v="PROD00077"/>
    <n v="1"/>
    <x v="0"/>
    <n v="26.76"/>
    <n v="26.76"/>
    <x v="0"/>
  </r>
  <r>
    <s v="ORD000002"/>
    <s v="PROD00191"/>
    <n v="1"/>
    <x v="1"/>
    <n v="47.32"/>
    <n v="47.32"/>
    <x v="1"/>
  </r>
  <r>
    <s v="ORD000003"/>
    <s v="PROD00230"/>
    <n v="1"/>
    <x v="2"/>
    <n v="25"/>
    <n v="25"/>
    <x v="2"/>
  </r>
  <r>
    <s v="ORD000004"/>
    <s v="PROD00204"/>
    <n v="1"/>
    <x v="3"/>
    <n v="38.56"/>
    <n v="38.56"/>
    <x v="3"/>
  </r>
  <r>
    <s v="ORD000005"/>
    <s v="PROD00452"/>
    <n v="1"/>
    <x v="4"/>
    <n v="7.32"/>
    <n v="7.32"/>
    <x v="4"/>
  </r>
  <r>
    <s v="ORD000006"/>
    <s v="PROD00084"/>
    <n v="1"/>
    <x v="0"/>
    <n v="46.55"/>
    <n v="46.55"/>
    <x v="5"/>
  </r>
  <r>
    <s v="ORD000007"/>
    <s v="PROD00283"/>
    <n v="1"/>
    <x v="5"/>
    <n v="32.76"/>
    <n v="32.76"/>
    <x v="6"/>
  </r>
  <r>
    <s v="ORD000008"/>
    <s v="PROD00081"/>
    <n v="1"/>
    <x v="1"/>
    <n v="20.59"/>
    <n v="20.59"/>
    <x v="7"/>
  </r>
  <r>
    <s v="ORD000009"/>
    <s v="PROD00171"/>
    <n v="1"/>
    <x v="5"/>
    <n v="40.28"/>
    <n v="40.28"/>
    <x v="8"/>
  </r>
  <r>
    <s v="ORD000010"/>
    <s v="PROD00240"/>
    <n v="1"/>
    <x v="6"/>
    <n v="51.74"/>
    <n v="51.74"/>
    <x v="9"/>
  </r>
  <r>
    <s v="ORD000011"/>
    <s v="PROD00019"/>
    <n v="2"/>
    <x v="2"/>
    <n v="10.94"/>
    <n v="21.88"/>
    <x v="10"/>
  </r>
  <r>
    <s v="ORD000011"/>
    <s v="PROD00240"/>
    <n v="1"/>
    <x v="6"/>
    <n v="51.74"/>
    <n v="51.74"/>
    <x v="9"/>
  </r>
  <r>
    <s v="ORD000011"/>
    <s v="PROD00409"/>
    <n v="1"/>
    <x v="5"/>
    <n v="64.84"/>
    <n v="64.84"/>
    <x v="11"/>
  </r>
  <r>
    <s v="ORD000012"/>
    <s v="PROD00059"/>
    <n v="1"/>
    <x v="2"/>
    <n v="15.04"/>
    <n v="15.04"/>
    <x v="12"/>
  </r>
  <r>
    <s v="ORD000012"/>
    <s v="PROD00324"/>
    <n v="1"/>
    <x v="7"/>
    <n v="33.89"/>
    <n v="33.89"/>
    <x v="13"/>
  </r>
  <r>
    <s v="ORD000013"/>
    <s v="PROD00007"/>
    <n v="1"/>
    <x v="8"/>
    <n v="38.25"/>
    <n v="38.25"/>
    <x v="14"/>
  </r>
  <r>
    <s v="ORD000014"/>
    <s v="PROD00108"/>
    <n v="2"/>
    <x v="0"/>
    <n v="91.41"/>
    <n v="182.82"/>
    <x v="15"/>
  </r>
  <r>
    <s v="ORD000014"/>
    <s v="PROD00120"/>
    <n v="1"/>
    <x v="5"/>
    <n v="25.48"/>
    <n v="25.48"/>
    <x v="16"/>
  </r>
  <r>
    <s v="ORD000014"/>
    <s v="PROD00159"/>
    <n v="1"/>
    <x v="8"/>
    <n v="13.7"/>
    <n v="13.7"/>
    <x v="17"/>
  </r>
  <r>
    <s v="ORD000015"/>
    <s v="PROD00200"/>
    <n v="1"/>
    <x v="6"/>
    <n v="30.95"/>
    <n v="30.95"/>
    <x v="18"/>
  </r>
  <r>
    <s v="ORD000016"/>
    <s v="PROD00172"/>
    <n v="1"/>
    <x v="7"/>
    <n v="29.98"/>
    <n v="29.98"/>
    <x v="19"/>
  </r>
  <r>
    <s v="ORD000016"/>
    <s v="PROD00228"/>
    <n v="1"/>
    <x v="0"/>
    <n v="64.55"/>
    <n v="64.55"/>
    <x v="20"/>
  </r>
  <r>
    <s v="ORD000017"/>
    <s v="PROD00422"/>
    <n v="1"/>
    <x v="6"/>
    <n v="50.15"/>
    <n v="50.15"/>
    <x v="21"/>
  </r>
  <r>
    <s v="ORD000018"/>
    <s v="PROD00360"/>
    <n v="1"/>
    <x v="0"/>
    <n v="20.79"/>
    <n v="20.79"/>
    <x v="22"/>
  </r>
  <r>
    <s v="ORD000019"/>
    <s v="PROD00084"/>
    <n v="2"/>
    <x v="0"/>
    <n v="46.55"/>
    <n v="93.1"/>
    <x v="5"/>
  </r>
  <r>
    <s v="ORD000020"/>
    <s v="PROD00142"/>
    <n v="1"/>
    <x v="3"/>
    <n v="62.17"/>
    <n v="62.17"/>
    <x v="23"/>
  </r>
  <r>
    <s v="ORD000021"/>
    <s v="PROD00196"/>
    <n v="1"/>
    <x v="8"/>
    <n v="37.9"/>
    <n v="37.9"/>
    <x v="24"/>
  </r>
  <r>
    <s v="ORD000022"/>
    <s v="PROD00198"/>
    <n v="1"/>
    <x v="8"/>
    <n v="24.19"/>
    <n v="24.19"/>
    <x v="25"/>
  </r>
  <r>
    <s v="ORD000023"/>
    <s v="PROD00362"/>
    <n v="1"/>
    <x v="0"/>
    <n v="115.49"/>
    <n v="115.49"/>
    <x v="26"/>
  </r>
  <r>
    <s v="ORD000024"/>
    <s v="PROD00197"/>
    <n v="1"/>
    <x v="9"/>
    <n v="40.75"/>
    <n v="40.75"/>
    <x v="27"/>
  </r>
  <r>
    <s v="ORD000025"/>
    <s v="PROD00211"/>
    <n v="1"/>
    <x v="0"/>
    <n v="14.98"/>
    <n v="14.98"/>
    <x v="28"/>
  </r>
  <r>
    <s v="ORD000025"/>
    <s v="PROD00315"/>
    <n v="2"/>
    <x v="3"/>
    <n v="36.57"/>
    <n v="73.14"/>
    <x v="29"/>
  </r>
  <r>
    <s v="ORD000025"/>
    <s v="PROD00404"/>
    <n v="1"/>
    <x v="6"/>
    <n v="81.02"/>
    <n v="81.02"/>
    <x v="30"/>
  </r>
  <r>
    <s v="ORD000026"/>
    <s v="PROD00087"/>
    <n v="2"/>
    <x v="0"/>
    <n v="82.88"/>
    <n v="165.76"/>
    <x v="31"/>
  </r>
  <r>
    <s v="ORD000027"/>
    <s v="PROD00215"/>
    <n v="2"/>
    <x v="0"/>
    <n v="19.989999999999998"/>
    <n v="39.979999999999997"/>
    <x v="32"/>
  </r>
  <r>
    <s v="ORD000028"/>
    <s v="PROD00276"/>
    <n v="1"/>
    <x v="5"/>
    <n v="44.13"/>
    <n v="44.13"/>
    <x v="33"/>
  </r>
  <r>
    <s v="ORD000029"/>
    <s v="PROD00234"/>
    <n v="1"/>
    <x v="5"/>
    <n v="20.75"/>
    <n v="20.75"/>
    <x v="34"/>
  </r>
  <r>
    <s v="ORD000029"/>
    <s v="PROD00425"/>
    <n v="1"/>
    <x v="6"/>
    <n v="26.98"/>
    <n v="26.98"/>
    <x v="35"/>
  </r>
  <r>
    <s v="ORD000030"/>
    <s v="PROD00101"/>
    <n v="1"/>
    <x v="7"/>
    <n v="32.44"/>
    <n v="32.44"/>
    <x v="36"/>
  </r>
  <r>
    <s v="ORD000031"/>
    <s v="PROD00137"/>
    <n v="1"/>
    <x v="4"/>
    <n v="7.57"/>
    <n v="7.57"/>
    <x v="37"/>
  </r>
  <r>
    <s v="ORD000032"/>
    <s v="PROD00401"/>
    <n v="1"/>
    <x v="1"/>
    <n v="39.04"/>
    <n v="39.04"/>
    <x v="38"/>
  </r>
  <r>
    <s v="ORD000032"/>
    <s v="PROD00457"/>
    <n v="1"/>
    <x v="8"/>
    <n v="24.92"/>
    <n v="24.92"/>
    <x v="39"/>
  </r>
  <r>
    <s v="ORD000033"/>
    <s v="PROD00050"/>
    <n v="1"/>
    <x v="0"/>
    <n v="29.36"/>
    <n v="29.36"/>
    <x v="40"/>
  </r>
  <r>
    <s v="ORD000033"/>
    <s v="PROD00187"/>
    <n v="1"/>
    <x v="1"/>
    <n v="24.7"/>
    <n v="24.7"/>
    <x v="41"/>
  </r>
  <r>
    <s v="ORD000034"/>
    <s v="PROD00236"/>
    <n v="1"/>
    <x v="5"/>
    <n v="34.22"/>
    <n v="34.22"/>
    <x v="42"/>
  </r>
  <r>
    <s v="ORD000035"/>
    <s v="PROD00090"/>
    <n v="2"/>
    <x v="0"/>
    <n v="42.24"/>
    <n v="84.48"/>
    <x v="43"/>
  </r>
  <r>
    <s v="ORD000035"/>
    <s v="PROD00119"/>
    <n v="1"/>
    <x v="6"/>
    <n v="51.49"/>
    <n v="51.49"/>
    <x v="44"/>
  </r>
  <r>
    <s v="ORD000035"/>
    <s v="PROD00240"/>
    <n v="1"/>
    <x v="6"/>
    <n v="51.74"/>
    <n v="51.74"/>
    <x v="9"/>
  </r>
  <r>
    <s v="ORD000035"/>
    <s v="PROD00379"/>
    <n v="1"/>
    <x v="0"/>
    <n v="22.63"/>
    <n v="22.63"/>
    <x v="45"/>
  </r>
  <r>
    <s v="ORD000036"/>
    <s v="PROD00250"/>
    <n v="1"/>
    <x v="4"/>
    <n v="6.18"/>
    <n v="6.18"/>
    <x v="46"/>
  </r>
  <r>
    <s v="ORD000037"/>
    <s v="PROD00115"/>
    <n v="1"/>
    <x v="3"/>
    <n v="112.5"/>
    <n v="112.5"/>
    <x v="47"/>
  </r>
  <r>
    <s v="ORD000038"/>
    <s v="PROD00323"/>
    <n v="1"/>
    <x v="7"/>
    <n v="21.81"/>
    <n v="21.81"/>
    <x v="48"/>
  </r>
  <r>
    <s v="ORD000039"/>
    <s v="PROD00276"/>
    <n v="1"/>
    <x v="5"/>
    <n v="44.13"/>
    <n v="44.13"/>
    <x v="33"/>
  </r>
  <r>
    <s v="ORD000039"/>
    <s v="PROD00290"/>
    <n v="2"/>
    <x v="5"/>
    <n v="53.17"/>
    <n v="106.34"/>
    <x v="49"/>
  </r>
  <r>
    <s v="ORD000039"/>
    <s v="PROD00428"/>
    <n v="1"/>
    <x v="6"/>
    <n v="114.11"/>
    <n v="114.11"/>
    <x v="50"/>
  </r>
  <r>
    <s v="ORD000040"/>
    <s v="PROD00315"/>
    <n v="1"/>
    <x v="3"/>
    <n v="36.57"/>
    <n v="36.57"/>
    <x v="29"/>
  </r>
  <r>
    <s v="ORD000041"/>
    <s v="PROD00056"/>
    <n v="1"/>
    <x v="9"/>
    <n v="58.23"/>
    <n v="58.23"/>
    <x v="51"/>
  </r>
  <r>
    <s v="ORD000041"/>
    <s v="PROD00093"/>
    <n v="1"/>
    <x v="4"/>
    <n v="12.88"/>
    <n v="12.88"/>
    <x v="52"/>
  </r>
  <r>
    <s v="ORD000042"/>
    <s v="PROD00363"/>
    <n v="2"/>
    <x v="0"/>
    <n v="46.25"/>
    <n v="92.5"/>
    <x v="53"/>
  </r>
  <r>
    <s v="ORD000043"/>
    <s v="PROD00096"/>
    <n v="1"/>
    <x v="8"/>
    <n v="7.88"/>
    <n v="7.88"/>
    <x v="54"/>
  </r>
  <r>
    <s v="ORD000043"/>
    <s v="PROD00426"/>
    <n v="1"/>
    <x v="6"/>
    <n v="27.32"/>
    <n v="27.32"/>
    <x v="55"/>
  </r>
  <r>
    <s v="ORD000044"/>
    <s v="PROD00090"/>
    <n v="1"/>
    <x v="0"/>
    <n v="42.24"/>
    <n v="42.24"/>
    <x v="43"/>
  </r>
  <r>
    <s v="ORD000045"/>
    <s v="PROD00197"/>
    <n v="1"/>
    <x v="9"/>
    <n v="40.75"/>
    <n v="40.75"/>
    <x v="27"/>
  </r>
  <r>
    <s v="ORD000045"/>
    <s v="PROD00264"/>
    <n v="1"/>
    <x v="2"/>
    <n v="32.26"/>
    <n v="32.26"/>
    <x v="45"/>
  </r>
  <r>
    <s v="ORD000046"/>
    <s v="PROD00336"/>
    <n v="1"/>
    <x v="9"/>
    <n v="70.97"/>
    <n v="70.97"/>
    <x v="56"/>
  </r>
  <r>
    <s v="ORD000047"/>
    <s v="PROD00277"/>
    <n v="1"/>
    <x v="5"/>
    <n v="37.99"/>
    <n v="37.99"/>
    <x v="57"/>
  </r>
  <r>
    <s v="ORD000048"/>
    <s v="PROD00381"/>
    <n v="1"/>
    <x v="0"/>
    <n v="71.349999999999994"/>
    <n v="71.349999999999994"/>
    <x v="58"/>
  </r>
  <r>
    <s v="ORD000049"/>
    <s v="PROD00407"/>
    <n v="1"/>
    <x v="6"/>
    <n v="10.07"/>
    <n v="10.07"/>
    <x v="59"/>
  </r>
  <r>
    <s v="ORD000050"/>
    <s v="PROD00111"/>
    <n v="1"/>
    <x v="5"/>
    <n v="37.79"/>
    <n v="37.79"/>
    <x v="60"/>
  </r>
  <r>
    <s v="ORD000051"/>
    <s v="PROD00192"/>
    <n v="1"/>
    <x v="3"/>
    <n v="40.97"/>
    <n v="40.97"/>
    <x v="61"/>
  </r>
  <r>
    <s v="ORD000051"/>
    <s v="PROD00239"/>
    <n v="1"/>
    <x v="9"/>
    <n v="79.16"/>
    <n v="79.16"/>
    <x v="62"/>
  </r>
  <r>
    <s v="ORD000052"/>
    <s v="PROD00155"/>
    <n v="1"/>
    <x v="8"/>
    <n v="16.22"/>
    <n v="16.22"/>
    <x v="63"/>
  </r>
  <r>
    <s v="ORD000053"/>
    <s v="PROD00327"/>
    <n v="2"/>
    <x v="7"/>
    <n v="24.26"/>
    <n v="48.52"/>
    <x v="64"/>
  </r>
  <r>
    <s v="ORD000054"/>
    <s v="PROD00448"/>
    <n v="1"/>
    <x v="4"/>
    <n v="5.1100000000000003"/>
    <n v="5.1100000000000003"/>
    <x v="65"/>
  </r>
  <r>
    <s v="ORD000055"/>
    <s v="PROD00313"/>
    <n v="2"/>
    <x v="3"/>
    <n v="63.84"/>
    <n v="127.68"/>
    <x v="66"/>
  </r>
  <r>
    <s v="ORD000056"/>
    <s v="PROD00263"/>
    <n v="1"/>
    <x v="0"/>
    <n v="119.3"/>
    <n v="119.3"/>
    <x v="67"/>
  </r>
  <r>
    <s v="ORD000056"/>
    <s v="PROD00397"/>
    <n v="1"/>
    <x v="1"/>
    <n v="37.76"/>
    <n v="37.76"/>
    <x v="68"/>
  </r>
  <r>
    <s v="ORD000057"/>
    <s v="PROD00102"/>
    <n v="1"/>
    <x v="8"/>
    <n v="17.66"/>
    <n v="17.66"/>
    <x v="69"/>
  </r>
  <r>
    <s v="ORD000057"/>
    <s v="PROD00342"/>
    <n v="1"/>
    <x v="9"/>
    <n v="60.86"/>
    <n v="60.86"/>
    <x v="70"/>
  </r>
  <r>
    <s v="ORD000057"/>
    <s v="PROD00458"/>
    <n v="2"/>
    <x v="8"/>
    <n v="21.04"/>
    <n v="42.08"/>
    <x v="71"/>
  </r>
  <r>
    <s v="ORD000058"/>
    <s v="PROD00253"/>
    <n v="1"/>
    <x v="7"/>
    <n v="19.09"/>
    <n v="19.09"/>
    <x v="72"/>
  </r>
  <r>
    <s v="ORD000059"/>
    <s v="PROD00147"/>
    <n v="1"/>
    <x v="6"/>
    <n v="88.21"/>
    <n v="88.21"/>
    <x v="73"/>
  </r>
  <r>
    <s v="ORD000060"/>
    <s v="PROD00128"/>
    <n v="1"/>
    <x v="7"/>
    <n v="37.340000000000003"/>
    <n v="37.340000000000003"/>
    <x v="74"/>
  </r>
  <r>
    <s v="ORD000060"/>
    <s v="PROD00296"/>
    <n v="1"/>
    <x v="3"/>
    <n v="49.85"/>
    <n v="49.85"/>
    <x v="75"/>
  </r>
  <r>
    <s v="ORD000061"/>
    <s v="PROD00131"/>
    <n v="1"/>
    <x v="8"/>
    <n v="37.72"/>
    <n v="37.72"/>
    <x v="76"/>
  </r>
  <r>
    <s v="ORD000062"/>
    <s v="PROD00346"/>
    <n v="1"/>
    <x v="9"/>
    <n v="32.93"/>
    <n v="32.93"/>
    <x v="77"/>
  </r>
  <r>
    <s v="ORD000062"/>
    <s v="PROD00418"/>
    <n v="1"/>
    <x v="8"/>
    <n v="28.3"/>
    <n v="28.3"/>
    <x v="78"/>
  </r>
  <r>
    <s v="ORD000063"/>
    <s v="PROD00199"/>
    <n v="1"/>
    <x v="5"/>
    <n v="32.42"/>
    <n v="32.42"/>
    <x v="79"/>
  </r>
  <r>
    <s v="ORD000063"/>
    <s v="PROD00214"/>
    <n v="2"/>
    <x v="6"/>
    <n v="32.67"/>
    <n v="65.34"/>
    <x v="80"/>
  </r>
  <r>
    <s v="ORD000064"/>
    <s v="PROD00115"/>
    <n v="1"/>
    <x v="3"/>
    <n v="112.5"/>
    <n v="112.5"/>
    <x v="47"/>
  </r>
  <r>
    <s v="ORD000064"/>
    <s v="PROD00215"/>
    <n v="1"/>
    <x v="0"/>
    <n v="19.989999999999998"/>
    <n v="19.989999999999998"/>
    <x v="32"/>
  </r>
  <r>
    <s v="ORD000065"/>
    <s v="PROD00010"/>
    <n v="1"/>
    <x v="5"/>
    <n v="30.71"/>
    <n v="30.71"/>
    <x v="81"/>
  </r>
  <r>
    <s v="ORD000065"/>
    <s v="PROD00212"/>
    <n v="1"/>
    <x v="8"/>
    <n v="32.44"/>
    <n v="32.44"/>
    <x v="82"/>
  </r>
  <r>
    <s v="ORD000065"/>
    <s v="PROD00304"/>
    <n v="1"/>
    <x v="3"/>
    <n v="115.55"/>
    <n v="115.55"/>
    <x v="83"/>
  </r>
  <r>
    <s v="ORD000066"/>
    <s v="PROD00158"/>
    <n v="1"/>
    <x v="3"/>
    <n v="88.29"/>
    <n v="88.29"/>
    <x v="84"/>
  </r>
  <r>
    <s v="ORD000067"/>
    <s v="PROD00015"/>
    <n v="1"/>
    <x v="6"/>
    <n v="48.06"/>
    <n v="48.06"/>
    <x v="85"/>
  </r>
  <r>
    <s v="ORD000067"/>
    <s v="PROD00265"/>
    <n v="2"/>
    <x v="2"/>
    <n v="22.24"/>
    <n v="44.48"/>
    <x v="86"/>
  </r>
  <r>
    <s v="ORD000068"/>
    <s v="PROD00321"/>
    <n v="1"/>
    <x v="7"/>
    <n v="32.33"/>
    <n v="32.33"/>
    <x v="87"/>
  </r>
  <r>
    <s v="ORD000069"/>
    <s v="PROD00053"/>
    <n v="1"/>
    <x v="3"/>
    <n v="27.42"/>
    <n v="27.42"/>
    <x v="88"/>
  </r>
  <r>
    <s v="ORD000070"/>
    <s v="PROD00052"/>
    <n v="1"/>
    <x v="4"/>
    <n v="7.72"/>
    <n v="7.72"/>
    <x v="89"/>
  </r>
  <r>
    <s v="ORD000070"/>
    <s v="PROD00140"/>
    <n v="1"/>
    <x v="3"/>
    <n v="81.81"/>
    <n v="81.81"/>
    <x v="90"/>
  </r>
  <r>
    <s v="ORD000071"/>
    <s v="PROD00198"/>
    <n v="1"/>
    <x v="8"/>
    <n v="24.19"/>
    <n v="24.19"/>
    <x v="25"/>
  </r>
  <r>
    <s v="ORD000072"/>
    <s v="PROD00028"/>
    <n v="1"/>
    <x v="4"/>
    <n v="8.39"/>
    <n v="8.39"/>
    <x v="91"/>
  </r>
  <r>
    <s v="ORD000072"/>
    <s v="PROD00057"/>
    <n v="1"/>
    <x v="3"/>
    <n v="26.58"/>
    <n v="26.58"/>
    <x v="92"/>
  </r>
  <r>
    <s v="ORD000072"/>
    <s v="PROD00428"/>
    <n v="1"/>
    <x v="6"/>
    <n v="114.11"/>
    <n v="114.11"/>
    <x v="50"/>
  </r>
  <r>
    <s v="ORD000073"/>
    <s v="PROD00159"/>
    <n v="1"/>
    <x v="8"/>
    <n v="13.7"/>
    <n v="13.7"/>
    <x v="17"/>
  </r>
  <r>
    <s v="ORD000074"/>
    <s v="PROD00056"/>
    <n v="1"/>
    <x v="9"/>
    <n v="58.23"/>
    <n v="58.23"/>
    <x v="51"/>
  </r>
  <r>
    <s v="ORD000074"/>
    <s v="PROD00269"/>
    <n v="1"/>
    <x v="2"/>
    <n v="26.2"/>
    <n v="26.2"/>
    <x v="45"/>
  </r>
  <r>
    <s v="ORD000074"/>
    <s v="PROD00286"/>
    <n v="2"/>
    <x v="5"/>
    <n v="54.51"/>
    <n v="109.02"/>
    <x v="93"/>
  </r>
  <r>
    <s v="ORD000075"/>
    <s v="PROD00263"/>
    <n v="1"/>
    <x v="0"/>
    <n v="119.3"/>
    <n v="119.3"/>
    <x v="67"/>
  </r>
  <r>
    <s v="ORD000076"/>
    <s v="PROD00358"/>
    <n v="1"/>
    <x v="9"/>
    <n v="29.59"/>
    <n v="29.59"/>
    <x v="94"/>
  </r>
  <r>
    <s v="ORD000076"/>
    <s v="PROD00416"/>
    <n v="2"/>
    <x v="6"/>
    <n v="63.89"/>
    <n v="127.78"/>
    <x v="95"/>
  </r>
  <r>
    <s v="ORD000077"/>
    <s v="PROD00156"/>
    <n v="1"/>
    <x v="5"/>
    <n v="37.99"/>
    <n v="37.99"/>
    <x v="96"/>
  </r>
  <r>
    <s v="ORD000078"/>
    <s v="PROD00077"/>
    <n v="2"/>
    <x v="0"/>
    <n v="26.76"/>
    <n v="53.52"/>
    <x v="0"/>
  </r>
  <r>
    <s v="ORD000078"/>
    <s v="PROD00373"/>
    <n v="1"/>
    <x v="0"/>
    <n v="115.35"/>
    <n v="115.35"/>
    <x v="97"/>
  </r>
  <r>
    <s v="ORD000079"/>
    <s v="PROD00195"/>
    <n v="1"/>
    <x v="2"/>
    <n v="25.78"/>
    <n v="25.78"/>
    <x v="98"/>
  </r>
  <r>
    <s v="ORD000080"/>
    <s v="PROD00017"/>
    <n v="3"/>
    <x v="6"/>
    <n v="13.71"/>
    <n v="41.13"/>
    <x v="99"/>
  </r>
  <r>
    <s v="ORD000080"/>
    <s v="PROD00044"/>
    <n v="1"/>
    <x v="5"/>
    <n v="54.17"/>
    <n v="54.17"/>
    <x v="100"/>
  </r>
  <r>
    <s v="ORD000081"/>
    <s v="PROD00032"/>
    <n v="1"/>
    <x v="6"/>
    <n v="115.39"/>
    <n v="115.39"/>
    <x v="101"/>
  </r>
  <r>
    <s v="ORD000081"/>
    <s v="PROD00224"/>
    <n v="1"/>
    <x v="6"/>
    <n v="26.98"/>
    <n v="26.98"/>
    <x v="102"/>
  </r>
  <r>
    <s v="ORD000081"/>
    <s v="PROD00424"/>
    <n v="1"/>
    <x v="6"/>
    <n v="25.41"/>
    <n v="25.41"/>
    <x v="103"/>
  </r>
  <r>
    <s v="ORD000082"/>
    <s v="PROD00061"/>
    <n v="2"/>
    <x v="0"/>
    <n v="53.38"/>
    <n v="106.76"/>
    <x v="104"/>
  </r>
  <r>
    <s v="ORD000082"/>
    <s v="PROD00066"/>
    <n v="1"/>
    <x v="6"/>
    <n v="21.37"/>
    <n v="21.37"/>
    <x v="105"/>
  </r>
  <r>
    <s v="ORD000082"/>
    <s v="PROD00135"/>
    <n v="1"/>
    <x v="6"/>
    <n v="48.81"/>
    <n v="48.81"/>
    <x v="106"/>
  </r>
  <r>
    <s v="ORD000082"/>
    <s v="PROD00400"/>
    <n v="1"/>
    <x v="1"/>
    <n v="41.73"/>
    <n v="41.73"/>
    <x v="107"/>
  </r>
  <r>
    <s v="ORD000083"/>
    <s v="PROD00042"/>
    <n v="2"/>
    <x v="6"/>
    <n v="38.39"/>
    <n v="76.78"/>
    <x v="108"/>
  </r>
  <r>
    <s v="ORD000084"/>
    <s v="PROD00024"/>
    <n v="1"/>
    <x v="6"/>
    <n v="23.99"/>
    <n v="23.99"/>
    <x v="109"/>
  </r>
  <r>
    <s v="ORD000085"/>
    <s v="PROD00374"/>
    <n v="1"/>
    <x v="0"/>
    <n v="100.7"/>
    <n v="100.7"/>
    <x v="110"/>
  </r>
  <r>
    <s v="ORD000085"/>
    <s v="PROD00442"/>
    <n v="1"/>
    <x v="6"/>
    <n v="44.92"/>
    <n v="44.92"/>
    <x v="111"/>
  </r>
  <r>
    <s v="ORD000086"/>
    <s v="PROD00332"/>
    <n v="1"/>
    <x v="7"/>
    <n v="32.99"/>
    <n v="32.99"/>
    <x v="112"/>
  </r>
  <r>
    <s v="ORD000087"/>
    <s v="PROD00038"/>
    <n v="2"/>
    <x v="6"/>
    <n v="45.46"/>
    <n v="90.92"/>
    <x v="113"/>
  </r>
  <r>
    <s v="ORD000088"/>
    <s v="PROD00232"/>
    <n v="1"/>
    <x v="6"/>
    <n v="75.099999999999994"/>
    <n v="75.099999999999994"/>
    <x v="114"/>
  </r>
  <r>
    <s v="ORD000088"/>
    <s v="PROD00444"/>
    <n v="1"/>
    <x v="6"/>
    <n v="20.55"/>
    <n v="20.55"/>
    <x v="115"/>
  </r>
  <r>
    <s v="ORD000089"/>
    <s v="PROD00444"/>
    <n v="1"/>
    <x v="6"/>
    <n v="20.55"/>
    <n v="20.55"/>
    <x v="115"/>
  </r>
  <r>
    <s v="ORD000090"/>
    <s v="PROD00374"/>
    <n v="2"/>
    <x v="0"/>
    <n v="100.7"/>
    <n v="201.4"/>
    <x v="110"/>
  </r>
  <r>
    <s v="ORD000090"/>
    <s v="PROD00404"/>
    <n v="1"/>
    <x v="6"/>
    <n v="81.02"/>
    <n v="81.02"/>
    <x v="30"/>
  </r>
  <r>
    <s v="ORD000091"/>
    <s v="PROD00041"/>
    <n v="1"/>
    <x v="2"/>
    <n v="14.11"/>
    <n v="14.11"/>
    <x v="116"/>
  </r>
  <r>
    <s v="ORD000091"/>
    <s v="PROD00426"/>
    <n v="1"/>
    <x v="6"/>
    <n v="27.32"/>
    <n v="27.32"/>
    <x v="55"/>
  </r>
  <r>
    <s v="ORD000092"/>
    <s v="PROD00202"/>
    <n v="2"/>
    <x v="2"/>
    <n v="27.55"/>
    <n v="55.1"/>
    <x v="117"/>
  </r>
  <r>
    <s v="ORD000092"/>
    <s v="PROD00255"/>
    <n v="1"/>
    <x v="6"/>
    <n v="31.66"/>
    <n v="31.66"/>
    <x v="118"/>
  </r>
  <r>
    <s v="ORD000092"/>
    <s v="PROD00351"/>
    <n v="1"/>
    <x v="2"/>
    <n v="17.829999999999998"/>
    <n v="17.829999999999998"/>
    <x v="119"/>
  </r>
  <r>
    <s v="ORD000093"/>
    <s v="PROD00018"/>
    <n v="1"/>
    <x v="6"/>
    <n v="40.119999999999997"/>
    <n v="40.119999999999997"/>
    <x v="120"/>
  </r>
  <r>
    <s v="ORD000093"/>
    <s v="PROD00407"/>
    <n v="2"/>
    <x v="6"/>
    <n v="10.07"/>
    <n v="20.14"/>
    <x v="59"/>
  </r>
  <r>
    <s v="ORD000094"/>
    <s v="PROD00017"/>
    <n v="1"/>
    <x v="6"/>
    <n v="13.71"/>
    <n v="13.71"/>
    <x v="99"/>
  </r>
  <r>
    <s v="ORD000094"/>
    <s v="PROD00122"/>
    <n v="1"/>
    <x v="2"/>
    <n v="9.81"/>
    <n v="9.81"/>
    <x v="121"/>
  </r>
  <r>
    <s v="ORD000094"/>
    <s v="PROD00307"/>
    <n v="1"/>
    <x v="3"/>
    <n v="63.84"/>
    <n v="63.84"/>
    <x v="122"/>
  </r>
  <r>
    <s v="ORD000095"/>
    <s v="PROD00037"/>
    <n v="1"/>
    <x v="6"/>
    <n v="24.22"/>
    <n v="24.22"/>
    <x v="123"/>
  </r>
  <r>
    <s v="ORD000096"/>
    <s v="PROD00234"/>
    <n v="1"/>
    <x v="5"/>
    <n v="20.75"/>
    <n v="20.75"/>
    <x v="34"/>
  </r>
  <r>
    <s v="ORD000097"/>
    <s v="PROD00042"/>
    <n v="1"/>
    <x v="6"/>
    <n v="38.39"/>
    <n v="38.39"/>
    <x v="108"/>
  </r>
  <r>
    <s v="ORD000098"/>
    <s v="PROD00104"/>
    <n v="1"/>
    <x v="6"/>
    <n v="44.42"/>
    <n v="44.42"/>
    <x v="124"/>
  </r>
  <r>
    <s v="ORD000099"/>
    <s v="PROD00070"/>
    <n v="2"/>
    <x v="6"/>
    <n v="117.79"/>
    <n v="235.58"/>
    <x v="125"/>
  </r>
  <r>
    <s v="ORD000100"/>
    <s v="PROD00015"/>
    <n v="1"/>
    <x v="6"/>
    <n v="48.06"/>
    <n v="48.06"/>
    <x v="85"/>
  </r>
  <r>
    <s v="ORD000101"/>
    <s v="PROD00072"/>
    <n v="2"/>
    <x v="6"/>
    <n v="36.24"/>
    <n v="72.48"/>
    <x v="126"/>
  </r>
  <r>
    <s v="ORD000102"/>
    <s v="PROD00169"/>
    <n v="1"/>
    <x v="1"/>
    <n v="31.11"/>
    <n v="31.11"/>
    <x v="127"/>
  </r>
  <r>
    <s v="ORD000103"/>
    <s v="PROD00066"/>
    <n v="1"/>
    <x v="6"/>
    <n v="21.37"/>
    <n v="21.37"/>
    <x v="105"/>
  </r>
  <r>
    <s v="ORD000103"/>
    <s v="PROD00385"/>
    <n v="1"/>
    <x v="0"/>
    <n v="64.709999999999994"/>
    <n v="64.709999999999994"/>
    <x v="128"/>
  </r>
  <r>
    <s v="ORD000104"/>
    <s v="PROD00305"/>
    <n v="1"/>
    <x v="3"/>
    <n v="29.36"/>
    <n v="29.36"/>
    <x v="129"/>
  </r>
  <r>
    <s v="ORD000104"/>
    <s v="PROD00307"/>
    <n v="1"/>
    <x v="3"/>
    <n v="63.84"/>
    <n v="63.84"/>
    <x v="122"/>
  </r>
  <r>
    <s v="ORD000105"/>
    <s v="PROD00047"/>
    <n v="1"/>
    <x v="3"/>
    <n v="89.8"/>
    <n v="89.8"/>
    <x v="130"/>
  </r>
  <r>
    <s v="ORD000105"/>
    <s v="PROD00055"/>
    <n v="1"/>
    <x v="8"/>
    <n v="30.74"/>
    <n v="30.74"/>
    <x v="131"/>
  </r>
  <r>
    <s v="ORD000106"/>
    <s v="PROD00242"/>
    <n v="1"/>
    <x v="1"/>
    <n v="16.899999999999999"/>
    <n v="16.899999999999999"/>
    <x v="132"/>
  </r>
  <r>
    <s v="ORD000107"/>
    <s v="PROD00214"/>
    <n v="1"/>
    <x v="6"/>
    <n v="32.67"/>
    <n v="32.67"/>
    <x v="80"/>
  </r>
  <r>
    <s v="ORD000107"/>
    <s v="PROD00230"/>
    <n v="1"/>
    <x v="2"/>
    <n v="25"/>
    <n v="25"/>
    <x v="2"/>
  </r>
  <r>
    <s v="ORD000107"/>
    <s v="PROD00416"/>
    <n v="1"/>
    <x v="6"/>
    <n v="63.89"/>
    <n v="63.89"/>
    <x v="95"/>
  </r>
  <r>
    <s v="ORD000108"/>
    <s v="PROD00201"/>
    <n v="2"/>
    <x v="6"/>
    <n v="72.790000000000006"/>
    <n v="145.58000000000001"/>
    <x v="133"/>
  </r>
  <r>
    <s v="ORD000108"/>
    <s v="PROD00250"/>
    <n v="2"/>
    <x v="4"/>
    <n v="6.18"/>
    <n v="12.36"/>
    <x v="46"/>
  </r>
  <r>
    <s v="ORD000109"/>
    <s v="PROD00016"/>
    <n v="1"/>
    <x v="6"/>
    <n v="73.55"/>
    <n v="73.55"/>
    <x v="134"/>
  </r>
  <r>
    <s v="ORD000109"/>
    <s v="PROD00306"/>
    <n v="1"/>
    <x v="3"/>
    <n v="92.77"/>
    <n v="92.77"/>
    <x v="83"/>
  </r>
  <r>
    <s v="ORD000110"/>
    <s v="PROD00040"/>
    <n v="1"/>
    <x v="2"/>
    <n v="25.82"/>
    <n v="25.82"/>
    <x v="135"/>
  </r>
  <r>
    <s v="ORD000110"/>
    <s v="PROD00402"/>
    <n v="1"/>
    <x v="1"/>
    <n v="21.1"/>
    <n v="21.1"/>
    <x v="136"/>
  </r>
  <r>
    <s v="ORD000111"/>
    <s v="PROD00159"/>
    <n v="2"/>
    <x v="8"/>
    <n v="13.7"/>
    <n v="27.4"/>
    <x v="17"/>
  </r>
  <r>
    <s v="ORD000111"/>
    <s v="PROD00305"/>
    <n v="1"/>
    <x v="3"/>
    <n v="29.36"/>
    <n v="29.36"/>
    <x v="129"/>
  </r>
  <r>
    <s v="ORD000112"/>
    <s v="PROD00424"/>
    <n v="1"/>
    <x v="6"/>
    <n v="25.41"/>
    <n v="25.41"/>
    <x v="103"/>
  </r>
  <r>
    <s v="ORD000113"/>
    <s v="PROD00037"/>
    <n v="2"/>
    <x v="6"/>
    <n v="24.22"/>
    <n v="48.44"/>
    <x v="123"/>
  </r>
  <r>
    <s v="ORD000114"/>
    <s v="PROD00032"/>
    <n v="1"/>
    <x v="6"/>
    <n v="115.39"/>
    <n v="115.39"/>
    <x v="101"/>
  </r>
  <r>
    <s v="ORD000114"/>
    <s v="PROD00389"/>
    <n v="1"/>
    <x v="0"/>
    <n v="21.89"/>
    <n v="21.89"/>
    <x v="137"/>
  </r>
  <r>
    <s v="ORD000115"/>
    <s v="PROD00017"/>
    <n v="3"/>
    <x v="6"/>
    <n v="13.71"/>
    <n v="41.13"/>
    <x v="99"/>
  </r>
  <r>
    <s v="ORD000116"/>
    <s v="PROD00124"/>
    <n v="1"/>
    <x v="0"/>
    <n v="84.85"/>
    <n v="84.85"/>
    <x v="138"/>
  </r>
  <r>
    <s v="ORD000116"/>
    <s v="PROD00240"/>
    <n v="1"/>
    <x v="6"/>
    <n v="51.74"/>
    <n v="51.74"/>
    <x v="9"/>
  </r>
  <r>
    <s v="ORD000117"/>
    <s v="PROD00094"/>
    <n v="1"/>
    <x v="6"/>
    <n v="40.83"/>
    <n v="40.83"/>
    <x v="139"/>
  </r>
  <r>
    <s v="ORD000117"/>
    <s v="PROD00137"/>
    <n v="1"/>
    <x v="4"/>
    <n v="7.57"/>
    <n v="7.57"/>
    <x v="37"/>
  </r>
  <r>
    <s v="ORD000118"/>
    <s v="PROD00037"/>
    <n v="1"/>
    <x v="6"/>
    <n v="24.22"/>
    <n v="24.22"/>
    <x v="123"/>
  </r>
  <r>
    <s v="ORD000118"/>
    <s v="PROD00444"/>
    <n v="2"/>
    <x v="6"/>
    <n v="20.55"/>
    <n v="41.1"/>
    <x v="115"/>
  </r>
  <r>
    <s v="ORD000119"/>
    <s v="PROD00018"/>
    <n v="1"/>
    <x v="6"/>
    <n v="40.119999999999997"/>
    <n v="40.119999999999997"/>
    <x v="120"/>
  </r>
  <r>
    <s v="ORD000119"/>
    <s v="PROD00407"/>
    <n v="1"/>
    <x v="6"/>
    <n v="10.07"/>
    <n v="10.07"/>
    <x v="59"/>
  </r>
  <r>
    <s v="ORD000120"/>
    <s v="PROD00407"/>
    <n v="1"/>
    <x v="6"/>
    <n v="10.07"/>
    <n v="10.07"/>
    <x v="59"/>
  </r>
  <r>
    <s v="ORD000120"/>
    <s v="PROD00416"/>
    <n v="1"/>
    <x v="6"/>
    <n v="63.89"/>
    <n v="63.89"/>
    <x v="95"/>
  </r>
  <r>
    <s v="ORD000121"/>
    <s v="PROD00020"/>
    <n v="2"/>
    <x v="6"/>
    <n v="15.05"/>
    <n v="30.1"/>
    <x v="140"/>
  </r>
  <r>
    <s v="ORD000121"/>
    <s v="PROD00042"/>
    <n v="3"/>
    <x v="6"/>
    <n v="38.39"/>
    <n v="115.17"/>
    <x v="108"/>
  </r>
  <r>
    <s v="ORD000122"/>
    <s v="PROD00188"/>
    <n v="1"/>
    <x v="6"/>
    <n v="110.01"/>
    <n v="110.01"/>
    <x v="141"/>
  </r>
  <r>
    <s v="ORD000123"/>
    <s v="PROD00014"/>
    <n v="1"/>
    <x v="6"/>
    <n v="46.45"/>
    <n v="46.45"/>
    <x v="120"/>
  </r>
  <r>
    <s v="ORD000124"/>
    <s v="PROD00022"/>
    <n v="1"/>
    <x v="6"/>
    <n v="27.05"/>
    <n v="27.05"/>
    <x v="142"/>
  </r>
  <r>
    <s v="ORD000124"/>
    <s v="PROD00030"/>
    <n v="2"/>
    <x v="1"/>
    <n v="49.31"/>
    <n v="98.62"/>
    <x v="143"/>
  </r>
  <r>
    <s v="ORD000124"/>
    <s v="PROD00083"/>
    <n v="1"/>
    <x v="4"/>
    <n v="6.78"/>
    <n v="6.78"/>
    <x v="144"/>
  </r>
  <r>
    <s v="ORD000124"/>
    <s v="PROD00214"/>
    <n v="1"/>
    <x v="6"/>
    <n v="32.67"/>
    <n v="32.67"/>
    <x v="80"/>
  </r>
  <r>
    <s v="ORD000125"/>
    <s v="PROD00182"/>
    <n v="1"/>
    <x v="5"/>
    <n v="39.99"/>
    <n v="39.99"/>
    <x v="145"/>
  </r>
  <r>
    <s v="ORD000126"/>
    <s v="PROD00066"/>
    <n v="1"/>
    <x v="6"/>
    <n v="21.37"/>
    <n v="21.37"/>
    <x v="105"/>
  </r>
  <r>
    <s v="ORD000126"/>
    <s v="PROD00358"/>
    <n v="2"/>
    <x v="9"/>
    <n v="29.59"/>
    <n v="59.18"/>
    <x v="94"/>
  </r>
  <r>
    <s v="ORD000127"/>
    <s v="PROD00407"/>
    <n v="1"/>
    <x v="6"/>
    <n v="10.07"/>
    <n v="10.07"/>
    <x v="59"/>
  </r>
  <r>
    <s v="ORD000127"/>
    <s v="PROD00442"/>
    <n v="1"/>
    <x v="6"/>
    <n v="44.92"/>
    <n v="44.92"/>
    <x v="111"/>
  </r>
  <r>
    <s v="ORD000128"/>
    <s v="PROD00407"/>
    <n v="1"/>
    <x v="6"/>
    <n v="10.07"/>
    <n v="10.07"/>
    <x v="59"/>
  </r>
  <r>
    <s v="ORD000129"/>
    <s v="PROD00006"/>
    <n v="2"/>
    <x v="4"/>
    <n v="4.47"/>
    <n v="8.94"/>
    <x v="146"/>
  </r>
  <r>
    <s v="ORD000129"/>
    <s v="PROD00237"/>
    <n v="2"/>
    <x v="4"/>
    <n v="2.1800000000000002"/>
    <n v="4.3600000000000003"/>
    <x v="147"/>
  </r>
  <r>
    <s v="ORD000130"/>
    <s v="PROD00425"/>
    <n v="1"/>
    <x v="6"/>
    <n v="26.98"/>
    <n v="26.98"/>
    <x v="35"/>
  </r>
  <r>
    <s v="ORD000131"/>
    <s v="PROD00429"/>
    <n v="2"/>
    <x v="6"/>
    <n v="87.51"/>
    <n v="175.02"/>
    <x v="148"/>
  </r>
  <r>
    <s v="ORD000132"/>
    <s v="PROD00072"/>
    <n v="1"/>
    <x v="6"/>
    <n v="36.24"/>
    <n v="36.24"/>
    <x v="126"/>
  </r>
  <r>
    <s v="ORD000133"/>
    <s v="PROD00406"/>
    <n v="1"/>
    <x v="6"/>
    <n v="23.33"/>
    <n v="23.33"/>
    <x v="149"/>
  </r>
  <r>
    <s v="ORD000134"/>
    <s v="PROD00275"/>
    <n v="1"/>
    <x v="5"/>
    <n v="27.32"/>
    <n v="27.32"/>
    <x v="150"/>
  </r>
  <r>
    <s v="ORD000134"/>
    <s v="PROD00443"/>
    <n v="1"/>
    <x v="6"/>
    <n v="80.069999999999993"/>
    <n v="80.069999999999993"/>
    <x v="151"/>
  </r>
  <r>
    <s v="ORD000135"/>
    <s v="PROD00212"/>
    <n v="1"/>
    <x v="8"/>
    <n v="32.44"/>
    <n v="32.44"/>
    <x v="82"/>
  </r>
  <r>
    <s v="ORD000135"/>
    <s v="PROD00229"/>
    <n v="1"/>
    <x v="2"/>
    <n v="32.19"/>
    <n v="32.19"/>
    <x v="152"/>
  </r>
  <r>
    <s v="ORD000136"/>
    <s v="PROD00017"/>
    <n v="1"/>
    <x v="6"/>
    <n v="13.71"/>
    <n v="13.71"/>
    <x v="99"/>
  </r>
  <r>
    <s v="ORD000136"/>
    <s v="PROD00443"/>
    <n v="2"/>
    <x v="6"/>
    <n v="80.069999999999993"/>
    <n v="160.13999999999999"/>
    <x v="151"/>
  </r>
  <r>
    <s v="ORD000137"/>
    <s v="PROD00429"/>
    <n v="1"/>
    <x v="6"/>
    <n v="87.51"/>
    <n v="87.51"/>
    <x v="148"/>
  </r>
  <r>
    <s v="ORD000138"/>
    <s v="PROD00215"/>
    <n v="2"/>
    <x v="0"/>
    <n v="19.989999999999998"/>
    <n v="39.979999999999997"/>
    <x v="32"/>
  </r>
  <r>
    <s v="ORD000138"/>
    <s v="PROD00392"/>
    <n v="1"/>
    <x v="1"/>
    <n v="59.61"/>
    <n v="59.61"/>
    <x v="153"/>
  </r>
  <r>
    <s v="ORD000139"/>
    <s v="PROD00275"/>
    <n v="1"/>
    <x v="5"/>
    <n v="27.32"/>
    <n v="27.32"/>
    <x v="150"/>
  </r>
  <r>
    <s v="ORD000140"/>
    <s v="PROD00421"/>
    <n v="1"/>
    <x v="6"/>
    <n v="66.94"/>
    <n v="66.94"/>
    <x v="154"/>
  </r>
  <r>
    <s v="ORD000140"/>
    <s v="PROD00424"/>
    <n v="1"/>
    <x v="6"/>
    <n v="25.41"/>
    <n v="25.41"/>
    <x v="103"/>
  </r>
  <r>
    <s v="ORD000141"/>
    <s v="PROD00438"/>
    <n v="1"/>
    <x v="6"/>
    <n v="54.41"/>
    <n v="54.41"/>
    <x v="155"/>
  </r>
  <r>
    <s v="ORD000142"/>
    <s v="PROD00209"/>
    <n v="1"/>
    <x v="6"/>
    <n v="50.7"/>
    <n v="50.7"/>
    <x v="156"/>
  </r>
  <r>
    <s v="ORD000143"/>
    <s v="PROD00320"/>
    <n v="1"/>
    <x v="7"/>
    <n v="33.89"/>
    <n v="33.89"/>
    <x v="157"/>
  </r>
  <r>
    <s v="ORD000143"/>
    <s v="PROD00387"/>
    <n v="1"/>
    <x v="0"/>
    <n v="21.89"/>
    <n v="21.89"/>
    <x v="158"/>
  </r>
  <r>
    <s v="ORD000143"/>
    <s v="PROD00406"/>
    <n v="1"/>
    <x v="6"/>
    <n v="23.33"/>
    <n v="23.33"/>
    <x v="149"/>
  </r>
  <r>
    <s v="ORD000144"/>
    <s v="PROD00017"/>
    <n v="1"/>
    <x v="6"/>
    <n v="13.71"/>
    <n v="13.71"/>
    <x v="99"/>
  </r>
  <r>
    <s v="ORD000144"/>
    <s v="PROD00388"/>
    <n v="2"/>
    <x v="0"/>
    <n v="110.1"/>
    <n v="220.2"/>
    <x v="159"/>
  </r>
  <r>
    <s v="ORD000145"/>
    <s v="PROD00072"/>
    <n v="2"/>
    <x v="6"/>
    <n v="36.24"/>
    <n v="72.48"/>
    <x v="126"/>
  </r>
  <r>
    <s v="ORD000145"/>
    <s v="PROD00164"/>
    <n v="1"/>
    <x v="0"/>
    <n v="89.07"/>
    <n v="89.07"/>
    <x v="160"/>
  </r>
  <r>
    <s v="ORD000146"/>
    <s v="PROD00089"/>
    <n v="1"/>
    <x v="6"/>
    <n v="43.42"/>
    <n v="43.42"/>
    <x v="161"/>
  </r>
  <r>
    <s v="ORD000146"/>
    <s v="PROD00272"/>
    <n v="2"/>
    <x v="2"/>
    <n v="13.25"/>
    <n v="26.5"/>
    <x v="162"/>
  </r>
  <r>
    <s v="ORD000147"/>
    <s v="PROD00176"/>
    <n v="1"/>
    <x v="6"/>
    <n v="34.86"/>
    <n v="34.86"/>
    <x v="163"/>
  </r>
  <r>
    <s v="ORD000147"/>
    <s v="PROD00176"/>
    <n v="2"/>
    <x v="6"/>
    <n v="34.86"/>
    <n v="69.72"/>
    <x v="163"/>
  </r>
  <r>
    <s v="ORD000148"/>
    <s v="PROD00222"/>
    <n v="2"/>
    <x v="6"/>
    <n v="93.44"/>
    <n v="186.88"/>
    <x v="164"/>
  </r>
  <r>
    <s v="ORD000149"/>
    <s v="PROD00240"/>
    <n v="1"/>
    <x v="6"/>
    <n v="51.74"/>
    <n v="51.74"/>
    <x v="9"/>
  </r>
  <r>
    <s v="ORD000149"/>
    <s v="PROD00416"/>
    <n v="2"/>
    <x v="6"/>
    <n v="63.89"/>
    <n v="127.78"/>
    <x v="95"/>
  </r>
  <r>
    <s v="ORD000150"/>
    <s v="PROD00017"/>
    <n v="1"/>
    <x v="6"/>
    <n v="13.71"/>
    <n v="13.71"/>
    <x v="99"/>
  </r>
  <r>
    <s v="ORD000150"/>
    <s v="PROD00104"/>
    <n v="1"/>
    <x v="6"/>
    <n v="44.42"/>
    <n v="44.42"/>
    <x v="124"/>
  </r>
  <r>
    <s v="ORD000150"/>
    <s v="PROD00170"/>
    <n v="2"/>
    <x v="6"/>
    <n v="75.239999999999995"/>
    <n v="150.47999999999999"/>
    <x v="165"/>
  </r>
  <r>
    <s v="ORD000150"/>
    <s v="PROD00340"/>
    <n v="1"/>
    <x v="9"/>
    <n v="23.35"/>
    <n v="23.35"/>
    <x v="166"/>
  </r>
  <r>
    <s v="ORD000151"/>
    <s v="PROD00020"/>
    <n v="1"/>
    <x v="6"/>
    <n v="15.05"/>
    <n v="15.05"/>
    <x v="140"/>
  </r>
  <r>
    <s v="ORD000152"/>
    <s v="PROD00016"/>
    <n v="1"/>
    <x v="6"/>
    <n v="73.55"/>
    <n v="73.55"/>
    <x v="134"/>
  </r>
  <r>
    <s v="ORD000152"/>
    <s v="PROD00402"/>
    <n v="1"/>
    <x v="1"/>
    <n v="21.1"/>
    <n v="21.1"/>
    <x v="136"/>
  </r>
  <r>
    <s v="ORD000153"/>
    <s v="PROD00028"/>
    <n v="1"/>
    <x v="4"/>
    <n v="8.39"/>
    <n v="8.39"/>
    <x v="91"/>
  </r>
  <r>
    <s v="ORD000153"/>
    <s v="PROD00443"/>
    <n v="1"/>
    <x v="6"/>
    <n v="80.069999999999993"/>
    <n v="80.069999999999993"/>
    <x v="151"/>
  </r>
  <r>
    <s v="ORD000154"/>
    <s v="PROD00038"/>
    <n v="1"/>
    <x v="6"/>
    <n v="45.46"/>
    <n v="45.46"/>
    <x v="113"/>
  </r>
  <r>
    <s v="ORD000154"/>
    <s v="PROD00170"/>
    <n v="1"/>
    <x v="6"/>
    <n v="75.239999999999995"/>
    <n v="75.239999999999995"/>
    <x v="165"/>
  </r>
  <r>
    <s v="ORD000155"/>
    <s v="PROD00098"/>
    <n v="1"/>
    <x v="6"/>
    <n v="115.39"/>
    <n v="115.39"/>
    <x v="101"/>
  </r>
  <r>
    <s v="ORD000155"/>
    <s v="PROD00414"/>
    <n v="1"/>
    <x v="6"/>
    <n v="67.33"/>
    <n v="67.33"/>
    <x v="167"/>
  </r>
  <r>
    <s v="ORD000156"/>
    <s v="PROD00126"/>
    <n v="1"/>
    <x v="4"/>
    <n v="5.49"/>
    <n v="5.49"/>
    <x v="168"/>
  </r>
  <r>
    <s v="ORD000157"/>
    <s v="PROD00167"/>
    <n v="1"/>
    <x v="4"/>
    <n v="12.82"/>
    <n v="12.82"/>
    <x v="169"/>
  </r>
  <r>
    <s v="ORD000157"/>
    <s v="PROD00394"/>
    <n v="1"/>
    <x v="1"/>
    <n v="32.96"/>
    <n v="32.96"/>
    <x v="170"/>
  </r>
  <r>
    <s v="ORD000157"/>
    <s v="PROD00416"/>
    <n v="1"/>
    <x v="6"/>
    <n v="63.89"/>
    <n v="63.89"/>
    <x v="95"/>
  </r>
  <r>
    <s v="ORD000158"/>
    <s v="PROD00014"/>
    <n v="1"/>
    <x v="6"/>
    <n v="46.45"/>
    <n v="46.45"/>
    <x v="120"/>
  </r>
  <r>
    <s v="ORD000158"/>
    <s v="PROD00176"/>
    <n v="1"/>
    <x v="6"/>
    <n v="34.86"/>
    <n v="34.86"/>
    <x v="163"/>
  </r>
  <r>
    <s v="ORD000158"/>
    <s v="PROD00354"/>
    <n v="1"/>
    <x v="9"/>
    <n v="43.01"/>
    <n v="43.01"/>
    <x v="171"/>
  </r>
  <r>
    <s v="ORD000158"/>
    <s v="PROD00424"/>
    <n v="1"/>
    <x v="6"/>
    <n v="25.41"/>
    <n v="25.41"/>
    <x v="103"/>
  </r>
  <r>
    <s v="ORD000159"/>
    <s v="PROD00017"/>
    <n v="1"/>
    <x v="6"/>
    <n v="13.71"/>
    <n v="13.71"/>
    <x v="99"/>
  </r>
  <r>
    <s v="ORD000160"/>
    <s v="PROD00406"/>
    <n v="1"/>
    <x v="6"/>
    <n v="23.33"/>
    <n v="23.33"/>
    <x v="149"/>
  </r>
  <r>
    <s v="ORD000161"/>
    <s v="PROD00407"/>
    <n v="1"/>
    <x v="6"/>
    <n v="10.07"/>
    <n v="10.07"/>
    <x v="59"/>
  </r>
  <r>
    <s v="ORD000162"/>
    <s v="PROD00029"/>
    <n v="1"/>
    <x v="4"/>
    <n v="10.39"/>
    <n v="10.39"/>
    <x v="172"/>
  </r>
  <r>
    <s v="ORD000163"/>
    <s v="PROD00136"/>
    <n v="2"/>
    <x v="8"/>
    <n v="20.309999999999999"/>
    <n v="40.619999999999997"/>
    <x v="173"/>
  </r>
  <r>
    <s v="ORD000164"/>
    <s v="PROD00443"/>
    <n v="1"/>
    <x v="6"/>
    <n v="80.069999999999993"/>
    <n v="80.069999999999993"/>
    <x v="151"/>
  </r>
  <r>
    <s v="ORD000165"/>
    <s v="PROD00201"/>
    <n v="1"/>
    <x v="6"/>
    <n v="72.790000000000006"/>
    <n v="72.790000000000006"/>
    <x v="133"/>
  </r>
  <r>
    <s v="ORD000165"/>
    <s v="PROD00369"/>
    <n v="1"/>
    <x v="0"/>
    <n v="107.11"/>
    <n v="107.11"/>
    <x v="174"/>
  </r>
  <r>
    <s v="ORD000166"/>
    <s v="PROD00250"/>
    <n v="1"/>
    <x v="4"/>
    <n v="6.18"/>
    <n v="6.18"/>
    <x v="46"/>
  </r>
  <r>
    <s v="ORD000166"/>
    <s v="PROD00435"/>
    <n v="1"/>
    <x v="9"/>
    <n v="28.76"/>
    <n v="28.76"/>
    <x v="175"/>
  </r>
  <r>
    <s v="ORD000167"/>
    <s v="PROD00020"/>
    <n v="1"/>
    <x v="6"/>
    <n v="15.05"/>
    <n v="15.05"/>
    <x v="140"/>
  </r>
  <r>
    <s v="ORD000168"/>
    <s v="PROD00214"/>
    <n v="1"/>
    <x v="6"/>
    <n v="32.67"/>
    <n v="32.67"/>
    <x v="80"/>
  </r>
  <r>
    <s v="ORD000169"/>
    <s v="PROD00460"/>
    <n v="1"/>
    <x v="8"/>
    <n v="13.7"/>
    <n v="13.7"/>
    <x v="176"/>
  </r>
  <r>
    <s v="ORD000170"/>
    <s v="PROD00014"/>
    <n v="1"/>
    <x v="6"/>
    <n v="46.45"/>
    <n v="46.45"/>
    <x v="120"/>
  </r>
  <r>
    <s v="ORD000170"/>
    <s v="PROD00331"/>
    <n v="1"/>
    <x v="7"/>
    <n v="32.89"/>
    <n v="32.89"/>
    <x v="177"/>
  </r>
  <r>
    <s v="ORD000171"/>
    <s v="PROD00070"/>
    <n v="1"/>
    <x v="6"/>
    <n v="117.79"/>
    <n v="117.79"/>
    <x v="125"/>
  </r>
  <r>
    <s v="ORD000172"/>
    <s v="PROD00158"/>
    <n v="1"/>
    <x v="3"/>
    <n v="88.29"/>
    <n v="88.29"/>
    <x v="84"/>
  </r>
  <r>
    <s v="ORD000173"/>
    <s v="PROD00092"/>
    <n v="1"/>
    <x v="7"/>
    <n v="37.630000000000003"/>
    <n v="37.630000000000003"/>
    <x v="178"/>
  </r>
  <r>
    <s v="ORD000173"/>
    <s v="PROD00340"/>
    <n v="2"/>
    <x v="9"/>
    <n v="23.35"/>
    <n v="46.7"/>
    <x v="166"/>
  </r>
  <r>
    <s v="ORD000173"/>
    <s v="PROD00364"/>
    <n v="6"/>
    <x v="0"/>
    <n v="34.11"/>
    <n v="204.66"/>
    <x v="179"/>
  </r>
  <r>
    <s v="ORD000174"/>
    <s v="PROD00321"/>
    <n v="1"/>
    <x v="7"/>
    <n v="32.33"/>
    <n v="32.33"/>
    <x v="87"/>
  </r>
  <r>
    <s v="ORD000175"/>
    <s v="PROD00196"/>
    <n v="1"/>
    <x v="8"/>
    <n v="37.9"/>
    <n v="37.9"/>
    <x v="24"/>
  </r>
  <r>
    <s v="ORD000175"/>
    <s v="PROD00324"/>
    <n v="1"/>
    <x v="7"/>
    <n v="33.89"/>
    <n v="33.89"/>
    <x v="13"/>
  </r>
  <r>
    <s v="ORD000176"/>
    <s v="PROD00035"/>
    <n v="1"/>
    <x v="8"/>
    <n v="17.940000000000001"/>
    <n v="17.940000000000001"/>
    <x v="180"/>
  </r>
  <r>
    <s v="ORD000176"/>
    <s v="PROD00192"/>
    <n v="1"/>
    <x v="3"/>
    <n v="40.97"/>
    <n v="40.97"/>
    <x v="61"/>
  </r>
  <r>
    <s v="ORD000177"/>
    <s v="PROD00028"/>
    <n v="1"/>
    <x v="4"/>
    <n v="8.39"/>
    <n v="8.39"/>
    <x v="91"/>
  </r>
  <r>
    <s v="ORD000177"/>
    <s v="PROD00147"/>
    <n v="1"/>
    <x v="6"/>
    <n v="88.21"/>
    <n v="88.21"/>
    <x v="73"/>
  </r>
  <r>
    <s v="ORD000178"/>
    <s v="PROD00302"/>
    <n v="1"/>
    <x v="5"/>
    <n v="53.17"/>
    <n v="53.17"/>
    <x v="49"/>
  </r>
  <r>
    <s v="ORD000178"/>
    <s v="PROD00448"/>
    <n v="1"/>
    <x v="4"/>
    <n v="5.1100000000000003"/>
    <n v="5.1100000000000003"/>
    <x v="65"/>
  </r>
  <r>
    <s v="ORD000179"/>
    <s v="PROD00118"/>
    <n v="1"/>
    <x v="5"/>
    <n v="53.17"/>
    <n v="53.17"/>
    <x v="181"/>
  </r>
  <r>
    <s v="ORD000179"/>
    <s v="PROD00127"/>
    <n v="1"/>
    <x v="6"/>
    <n v="92.15"/>
    <n v="92.15"/>
    <x v="182"/>
  </r>
  <r>
    <s v="ORD000179"/>
    <s v="PROD00256"/>
    <n v="5"/>
    <x v="6"/>
    <n v="48.14"/>
    <n v="240.7"/>
    <x v="183"/>
  </r>
  <r>
    <s v="ORD000180"/>
    <s v="PROD00045"/>
    <n v="1"/>
    <x v="3"/>
    <n v="62.94"/>
    <n v="62.94"/>
    <x v="184"/>
  </r>
  <r>
    <s v="ORD000180"/>
    <s v="PROD00113"/>
    <n v="1"/>
    <x v="5"/>
    <n v="53.5"/>
    <n v="53.5"/>
    <x v="185"/>
  </r>
  <r>
    <s v="ORD000180"/>
    <s v="PROD00237"/>
    <n v="1"/>
    <x v="4"/>
    <n v="2.1800000000000002"/>
    <n v="2.1800000000000002"/>
    <x v="147"/>
  </r>
  <r>
    <s v="ORD000181"/>
    <s v="PROD00235"/>
    <n v="1"/>
    <x v="5"/>
    <n v="20.75"/>
    <n v="20.75"/>
    <x v="186"/>
  </r>
  <r>
    <s v="ORD000182"/>
    <s v="PROD00148"/>
    <n v="1"/>
    <x v="1"/>
    <n v="35.020000000000003"/>
    <n v="35.020000000000003"/>
    <x v="187"/>
  </r>
  <r>
    <s v="ORD000182"/>
    <s v="PROD00458"/>
    <n v="1"/>
    <x v="8"/>
    <n v="21.04"/>
    <n v="21.04"/>
    <x v="71"/>
  </r>
  <r>
    <s v="ORD000183"/>
    <s v="PROD00122"/>
    <n v="1"/>
    <x v="2"/>
    <n v="9.81"/>
    <n v="9.81"/>
    <x v="121"/>
  </r>
  <r>
    <s v="ORD000183"/>
    <s v="PROD00319"/>
    <n v="1"/>
    <x v="7"/>
    <n v="24.92"/>
    <n v="24.92"/>
    <x v="188"/>
  </r>
  <r>
    <s v="ORD000184"/>
    <s v="PROD00428"/>
    <n v="1"/>
    <x v="6"/>
    <n v="114.11"/>
    <n v="114.11"/>
    <x v="50"/>
  </r>
  <r>
    <s v="ORD000185"/>
    <s v="PROD00071"/>
    <n v="1"/>
    <x v="7"/>
    <n v="39.85"/>
    <n v="39.85"/>
    <x v="189"/>
  </r>
  <r>
    <s v="ORD000186"/>
    <s v="PROD00238"/>
    <n v="1"/>
    <x v="8"/>
    <n v="26.73"/>
    <n v="26.73"/>
    <x v="190"/>
  </r>
  <r>
    <s v="ORD000186"/>
    <s v="PROD00455"/>
    <n v="1"/>
    <x v="8"/>
    <n v="38.72"/>
    <n v="38.72"/>
    <x v="191"/>
  </r>
  <r>
    <s v="ORD000187"/>
    <s v="PROD00032"/>
    <n v="1"/>
    <x v="6"/>
    <n v="115.39"/>
    <n v="115.39"/>
    <x v="101"/>
  </r>
  <r>
    <s v="ORD000188"/>
    <s v="PROD00379"/>
    <n v="1"/>
    <x v="0"/>
    <n v="22.63"/>
    <n v="22.63"/>
    <x v="45"/>
  </r>
  <r>
    <s v="ORD000189"/>
    <s v="PROD00149"/>
    <n v="1"/>
    <x v="7"/>
    <n v="14.62"/>
    <n v="14.62"/>
    <x v="192"/>
  </r>
  <r>
    <s v="ORD000190"/>
    <s v="PROD00439"/>
    <n v="1"/>
    <x v="6"/>
    <n v="60.6"/>
    <n v="60.6"/>
    <x v="193"/>
  </r>
  <r>
    <s v="ORD000191"/>
    <s v="PROD00050"/>
    <n v="1"/>
    <x v="0"/>
    <n v="29.36"/>
    <n v="29.36"/>
    <x v="40"/>
  </r>
  <r>
    <s v="ORD000191"/>
    <s v="PROD00312"/>
    <n v="1"/>
    <x v="3"/>
    <n v="63.84"/>
    <n v="63.84"/>
    <x v="194"/>
  </r>
  <r>
    <s v="ORD000192"/>
    <s v="PROD00051"/>
    <n v="1"/>
    <x v="0"/>
    <n v="30.81"/>
    <n v="30.81"/>
    <x v="195"/>
  </r>
  <r>
    <s v="ORD000193"/>
    <s v="PROD00211"/>
    <n v="1"/>
    <x v="0"/>
    <n v="14.98"/>
    <n v="14.98"/>
    <x v="28"/>
  </r>
  <r>
    <s v="ORD000194"/>
    <s v="PROD00008"/>
    <n v="1"/>
    <x v="8"/>
    <n v="38.25"/>
    <n v="38.25"/>
    <x v="196"/>
  </r>
  <r>
    <s v="ORD000195"/>
    <s v="PROD00059"/>
    <n v="1"/>
    <x v="2"/>
    <n v="15.04"/>
    <n v="15.04"/>
    <x v="12"/>
  </r>
  <r>
    <s v="ORD000196"/>
    <s v="PROD00197"/>
    <n v="1"/>
    <x v="9"/>
    <n v="40.75"/>
    <n v="40.75"/>
    <x v="27"/>
  </r>
  <r>
    <s v="ORD000197"/>
    <s v="PROD00155"/>
    <n v="1"/>
    <x v="8"/>
    <n v="16.22"/>
    <n v="16.22"/>
    <x v="63"/>
  </r>
  <r>
    <s v="ORD000198"/>
    <s v="PROD00080"/>
    <n v="1"/>
    <x v="7"/>
    <n v="39.36"/>
    <n v="39.36"/>
    <x v="197"/>
  </r>
  <r>
    <s v="ORD000199"/>
    <s v="PROD00398"/>
    <n v="2"/>
    <x v="1"/>
    <n v="35.5"/>
    <n v="71"/>
    <x v="198"/>
  </r>
  <r>
    <s v="ORD000200"/>
    <s v="PROD00175"/>
    <n v="1"/>
    <x v="1"/>
    <n v="36.35"/>
    <n v="36.35"/>
    <x v="199"/>
  </r>
  <r>
    <s v="ORD000201"/>
    <s v="PROD00168"/>
    <n v="1"/>
    <x v="1"/>
    <n v="33.36"/>
    <n v="33.36"/>
    <x v="200"/>
  </r>
  <r>
    <s v="ORD000202"/>
    <s v="PROD00271"/>
    <n v="2"/>
    <x v="2"/>
    <n v="19.37"/>
    <n v="38.74"/>
    <x v="201"/>
  </r>
  <r>
    <s v="ORD000203"/>
    <s v="PROD00048"/>
    <n v="1"/>
    <x v="0"/>
    <n v="34.869999999999997"/>
    <n v="34.869999999999997"/>
    <x v="40"/>
  </r>
  <r>
    <s v="ORD000203"/>
    <s v="PROD00297"/>
    <n v="1"/>
    <x v="3"/>
    <n v="97.88"/>
    <n v="97.88"/>
    <x v="75"/>
  </r>
  <r>
    <s v="ORD000203"/>
    <s v="PROD00435"/>
    <n v="1"/>
    <x v="9"/>
    <n v="28.76"/>
    <n v="28.76"/>
    <x v="175"/>
  </r>
  <r>
    <s v="ORD000204"/>
    <s v="PROD00073"/>
    <n v="1"/>
    <x v="6"/>
    <n v="31.66"/>
    <n v="31.66"/>
    <x v="202"/>
  </r>
  <r>
    <s v="ORD000204"/>
    <s v="PROD00212"/>
    <n v="1"/>
    <x v="8"/>
    <n v="32.44"/>
    <n v="32.44"/>
    <x v="82"/>
  </r>
  <r>
    <s v="ORD000205"/>
    <s v="PROD00408"/>
    <n v="1"/>
    <x v="6"/>
    <n v="73.400000000000006"/>
    <n v="73.400000000000006"/>
    <x v="203"/>
  </r>
  <r>
    <s v="ORD000206"/>
    <s v="PROD00086"/>
    <n v="1"/>
    <x v="7"/>
    <n v="37.840000000000003"/>
    <n v="37.840000000000003"/>
    <x v="204"/>
  </r>
  <r>
    <s v="ORD000206"/>
    <s v="PROD00276"/>
    <n v="1"/>
    <x v="5"/>
    <n v="44.13"/>
    <n v="44.13"/>
    <x v="33"/>
  </r>
  <r>
    <s v="ORD000206"/>
    <s v="PROD00426"/>
    <n v="1"/>
    <x v="6"/>
    <n v="27.32"/>
    <n v="27.32"/>
    <x v="55"/>
  </r>
  <r>
    <s v="ORD000207"/>
    <s v="PROD00286"/>
    <n v="2"/>
    <x v="5"/>
    <n v="54.51"/>
    <n v="109.02"/>
    <x v="93"/>
  </r>
  <r>
    <s v="ORD000208"/>
    <s v="PROD00037"/>
    <n v="1"/>
    <x v="6"/>
    <n v="24.22"/>
    <n v="24.22"/>
    <x v="123"/>
  </r>
  <r>
    <s v="ORD000208"/>
    <s v="PROD00125"/>
    <n v="1"/>
    <x v="1"/>
    <n v="13.79"/>
    <n v="13.79"/>
    <x v="205"/>
  </r>
  <r>
    <s v="ORD000208"/>
    <s v="PROD00360"/>
    <n v="1"/>
    <x v="0"/>
    <n v="20.79"/>
    <n v="20.79"/>
    <x v="22"/>
  </r>
  <r>
    <s v="ORD000209"/>
    <s v="PROD00264"/>
    <n v="1"/>
    <x v="2"/>
    <n v="32.26"/>
    <n v="32.26"/>
    <x v="45"/>
  </r>
  <r>
    <s v="ORD000209"/>
    <s v="PROD00370"/>
    <n v="1"/>
    <x v="0"/>
    <n v="24.23"/>
    <n v="24.23"/>
    <x v="206"/>
  </r>
  <r>
    <s v="ORD000210"/>
    <s v="PROD00036"/>
    <n v="1"/>
    <x v="8"/>
    <n v="38.630000000000003"/>
    <n v="38.630000000000003"/>
    <x v="207"/>
  </r>
  <r>
    <s v="ORD000211"/>
    <s v="PROD00173"/>
    <n v="1"/>
    <x v="1"/>
    <n v="29"/>
    <n v="29"/>
    <x v="208"/>
  </r>
  <r>
    <s v="ORD000211"/>
    <s v="PROD00204"/>
    <n v="1"/>
    <x v="3"/>
    <n v="38.56"/>
    <n v="38.56"/>
    <x v="3"/>
  </r>
  <r>
    <s v="ORD000212"/>
    <s v="PROD00064"/>
    <n v="1"/>
    <x v="9"/>
    <n v="55.35"/>
    <n v="55.35"/>
    <x v="209"/>
  </r>
  <r>
    <s v="ORD000212"/>
    <s v="PROD00199"/>
    <n v="1"/>
    <x v="5"/>
    <n v="32.42"/>
    <n v="32.42"/>
    <x v="79"/>
  </r>
  <r>
    <s v="ORD000212"/>
    <s v="PROD00394"/>
    <n v="1"/>
    <x v="1"/>
    <n v="32.96"/>
    <n v="32.96"/>
    <x v="170"/>
  </r>
  <r>
    <s v="ORD000213"/>
    <s v="PROD00046"/>
    <n v="1"/>
    <x v="5"/>
    <n v="54.17"/>
    <n v="54.17"/>
    <x v="210"/>
  </r>
  <r>
    <s v="ORD000213"/>
    <s v="PROD00086"/>
    <n v="1"/>
    <x v="7"/>
    <n v="37.840000000000003"/>
    <n v="37.840000000000003"/>
    <x v="204"/>
  </r>
  <r>
    <s v="ORD000213"/>
    <s v="PROD00265"/>
    <n v="1"/>
    <x v="2"/>
    <n v="22.24"/>
    <n v="22.24"/>
    <x v="86"/>
  </r>
  <r>
    <s v="ORD000213"/>
    <s v="PROD00311"/>
    <n v="1"/>
    <x v="3"/>
    <n v="113.45"/>
    <n v="113.45"/>
    <x v="211"/>
  </r>
  <r>
    <s v="ORD000214"/>
    <s v="PROD00052"/>
    <n v="3"/>
    <x v="4"/>
    <n v="7.72"/>
    <n v="23.16"/>
    <x v="89"/>
  </r>
  <r>
    <s v="ORD000214"/>
    <s v="PROD00390"/>
    <n v="1"/>
    <x v="0"/>
    <n v="66.88"/>
    <n v="66.88"/>
    <x v="212"/>
  </r>
  <r>
    <s v="ORD000215"/>
    <s v="PROD00194"/>
    <n v="1"/>
    <x v="8"/>
    <n v="29.09"/>
    <n v="29.09"/>
    <x v="213"/>
  </r>
  <r>
    <s v="ORD000215"/>
    <s v="PROD00225"/>
    <n v="1"/>
    <x v="3"/>
    <n v="23.36"/>
    <n v="23.36"/>
    <x v="214"/>
  </r>
  <r>
    <s v="ORD000216"/>
    <s v="PROD00043"/>
    <n v="1"/>
    <x v="6"/>
    <n v="55.89"/>
    <n v="55.89"/>
    <x v="215"/>
  </r>
  <r>
    <s v="ORD000216"/>
    <s v="PROD00117"/>
    <n v="1"/>
    <x v="1"/>
    <n v="13.95"/>
    <n v="13.95"/>
    <x v="216"/>
  </r>
  <r>
    <s v="ORD000216"/>
    <s v="PROD00368"/>
    <n v="1"/>
    <x v="0"/>
    <n v="101.55"/>
    <n v="101.55"/>
    <x v="217"/>
  </r>
  <r>
    <s v="ORD000217"/>
    <s v="PROD00012"/>
    <n v="2"/>
    <x v="4"/>
    <n v="7.06"/>
    <n v="14.12"/>
    <x v="218"/>
  </r>
  <r>
    <s v="ORD000217"/>
    <s v="PROD00219"/>
    <n v="1"/>
    <x v="6"/>
    <n v="74.39"/>
    <n v="74.39"/>
    <x v="219"/>
  </r>
  <r>
    <s v="ORD000217"/>
    <s v="PROD00392"/>
    <n v="1"/>
    <x v="1"/>
    <n v="59.61"/>
    <n v="59.61"/>
    <x v="153"/>
  </r>
  <r>
    <s v="ORD000217"/>
    <s v="PROD00408"/>
    <n v="1"/>
    <x v="6"/>
    <n v="73.400000000000006"/>
    <n v="73.400000000000006"/>
    <x v="203"/>
  </r>
  <r>
    <s v="ORD000218"/>
    <s v="PROD00202"/>
    <n v="1"/>
    <x v="2"/>
    <n v="27.55"/>
    <n v="27.55"/>
    <x v="117"/>
  </r>
  <r>
    <s v="ORD000218"/>
    <s v="PROD00419"/>
    <n v="1"/>
    <x v="8"/>
    <n v="26.9"/>
    <n v="26.9"/>
    <x v="220"/>
  </r>
  <r>
    <s v="ORD000219"/>
    <s v="PROD00380"/>
    <n v="1"/>
    <x v="0"/>
    <n v="18.559999999999999"/>
    <n v="18.559999999999999"/>
    <x v="58"/>
  </r>
  <r>
    <s v="ORD000220"/>
    <s v="PROD00094"/>
    <n v="1"/>
    <x v="6"/>
    <n v="40.83"/>
    <n v="40.83"/>
    <x v="139"/>
  </r>
  <r>
    <s v="ORD000220"/>
    <s v="PROD00263"/>
    <n v="1"/>
    <x v="0"/>
    <n v="119.3"/>
    <n v="119.3"/>
    <x v="67"/>
  </r>
  <r>
    <s v="ORD000220"/>
    <s v="PROD00292"/>
    <n v="1"/>
    <x v="3"/>
    <n v="47.75"/>
    <n v="47.75"/>
    <x v="221"/>
  </r>
  <r>
    <s v="ORD000221"/>
    <s v="PROD00086"/>
    <n v="1"/>
    <x v="7"/>
    <n v="37.840000000000003"/>
    <n v="37.840000000000003"/>
    <x v="204"/>
  </r>
  <r>
    <s v="ORD000222"/>
    <s v="PROD00085"/>
    <n v="2"/>
    <x v="7"/>
    <n v="22.33"/>
    <n v="44.66"/>
    <x v="222"/>
  </r>
  <r>
    <s v="ORD000222"/>
    <s v="PROD00147"/>
    <n v="1"/>
    <x v="6"/>
    <n v="88.21"/>
    <n v="88.21"/>
    <x v="73"/>
  </r>
  <r>
    <s v="ORD000223"/>
    <s v="PROD00088"/>
    <n v="1"/>
    <x v="5"/>
    <n v="27.88"/>
    <n v="27.88"/>
    <x v="223"/>
  </r>
  <r>
    <s v="ORD000224"/>
    <s v="PROD00211"/>
    <n v="1"/>
    <x v="0"/>
    <n v="14.98"/>
    <n v="14.98"/>
    <x v="28"/>
  </r>
  <r>
    <s v="ORD000225"/>
    <s v="PROD00386"/>
    <n v="1"/>
    <x v="0"/>
    <n v="65.459999999999994"/>
    <n v="65.459999999999994"/>
    <x v="224"/>
  </r>
  <r>
    <s v="ORD000225"/>
    <s v="PROD00414"/>
    <n v="1"/>
    <x v="6"/>
    <n v="67.33"/>
    <n v="67.33"/>
    <x v="167"/>
  </r>
  <r>
    <s v="ORD000226"/>
    <s v="PROD00051"/>
    <n v="1"/>
    <x v="0"/>
    <n v="30.81"/>
    <n v="30.81"/>
    <x v="195"/>
  </r>
  <r>
    <s v="ORD000227"/>
    <s v="PROD00257"/>
    <n v="1"/>
    <x v="2"/>
    <n v="17.28"/>
    <n v="17.28"/>
    <x v="225"/>
  </r>
  <r>
    <s v="ORD000227"/>
    <s v="PROD00330"/>
    <n v="1"/>
    <x v="0"/>
    <n v="49.8"/>
    <n v="49.8"/>
    <x v="226"/>
  </r>
  <r>
    <s v="ORD000228"/>
    <s v="PROD00345"/>
    <n v="1"/>
    <x v="9"/>
    <n v="32.81"/>
    <n v="32.81"/>
    <x v="227"/>
  </r>
  <r>
    <s v="ORD000228"/>
    <s v="PROD00384"/>
    <n v="1"/>
    <x v="0"/>
    <n v="116.81"/>
    <n v="116.81"/>
    <x v="228"/>
  </r>
  <r>
    <s v="ORD000229"/>
    <s v="PROD00305"/>
    <n v="1"/>
    <x v="3"/>
    <n v="29.36"/>
    <n v="29.36"/>
    <x v="129"/>
  </r>
  <r>
    <s v="ORD000229"/>
    <s v="PROD00309"/>
    <n v="1"/>
    <x v="3"/>
    <n v="63.84"/>
    <n v="63.84"/>
    <x v="229"/>
  </r>
  <r>
    <s v="ORD000230"/>
    <s v="PROD00359"/>
    <n v="1"/>
    <x v="0"/>
    <n v="86.5"/>
    <n v="86.5"/>
    <x v="230"/>
  </r>
  <r>
    <s v="ORD000231"/>
    <s v="PROD00050"/>
    <n v="1"/>
    <x v="0"/>
    <n v="29.36"/>
    <n v="29.36"/>
    <x v="40"/>
  </r>
  <r>
    <s v="ORD000231"/>
    <s v="PROD00133"/>
    <n v="1"/>
    <x v="8"/>
    <n v="35.11"/>
    <n v="35.11"/>
    <x v="231"/>
  </r>
  <r>
    <s v="ORD000232"/>
    <s v="PROD00308"/>
    <n v="1"/>
    <x v="3"/>
    <n v="63.84"/>
    <n v="63.84"/>
    <x v="232"/>
  </r>
  <r>
    <s v="ORD000232"/>
    <s v="PROD00376"/>
    <n v="1"/>
    <x v="0"/>
    <n v="75.400000000000006"/>
    <n v="75.400000000000006"/>
    <x v="233"/>
  </r>
  <r>
    <s v="ORD000233"/>
    <s v="PROD00261"/>
    <n v="1"/>
    <x v="2"/>
    <n v="6.91"/>
    <n v="6.91"/>
    <x v="234"/>
  </r>
  <r>
    <s v="ORD000234"/>
    <s v="PROD00297"/>
    <n v="1"/>
    <x v="3"/>
    <n v="97.88"/>
    <n v="97.88"/>
    <x v="75"/>
  </r>
  <r>
    <s v="ORD000234"/>
    <s v="PROD00350"/>
    <n v="1"/>
    <x v="2"/>
    <n v="13.58"/>
    <n v="13.58"/>
    <x v="235"/>
  </r>
  <r>
    <s v="ORD000235"/>
    <s v="PROD00213"/>
    <n v="1"/>
    <x v="1"/>
    <n v="52.35"/>
    <n v="52.35"/>
    <x v="236"/>
  </r>
  <r>
    <s v="ORD000236"/>
    <s v="PROD00423"/>
    <n v="1"/>
    <x v="6"/>
    <n v="97.17"/>
    <n v="97.17"/>
    <x v="237"/>
  </r>
  <r>
    <s v="ORD000237"/>
    <s v="PROD00404"/>
    <n v="1"/>
    <x v="6"/>
    <n v="81.02"/>
    <n v="81.02"/>
    <x v="30"/>
  </r>
  <r>
    <s v="ORD000238"/>
    <s v="PROD00263"/>
    <n v="1"/>
    <x v="0"/>
    <n v="119.3"/>
    <n v="119.3"/>
    <x v="67"/>
  </r>
  <r>
    <s v="ORD000238"/>
    <s v="PROD00387"/>
    <n v="1"/>
    <x v="0"/>
    <n v="21.89"/>
    <n v="21.89"/>
    <x v="158"/>
  </r>
  <r>
    <s v="ORD000238"/>
    <s v="PROD00409"/>
    <n v="1"/>
    <x v="5"/>
    <n v="64.84"/>
    <n v="64.84"/>
    <x v="11"/>
  </r>
  <r>
    <s v="ORD000239"/>
    <s v="PROD00103"/>
    <n v="1"/>
    <x v="5"/>
    <n v="39.99"/>
    <n v="39.99"/>
    <x v="238"/>
  </r>
  <r>
    <s v="ORD000240"/>
    <s v="PROD00082"/>
    <n v="1"/>
    <x v="7"/>
    <n v="19.89"/>
    <n v="19.89"/>
    <x v="239"/>
  </r>
  <r>
    <s v="ORD000241"/>
    <s v="PROD00109"/>
    <n v="1"/>
    <x v="1"/>
    <n v="13.16"/>
    <n v="13.16"/>
    <x v="240"/>
  </r>
  <r>
    <s v="ORD000242"/>
    <s v="PROD00453"/>
    <n v="1"/>
    <x v="4"/>
    <n v="14.36"/>
    <n v="14.36"/>
    <x v="241"/>
  </r>
  <r>
    <s v="ORD000243"/>
    <s v="PROD00067"/>
    <n v="1"/>
    <x v="8"/>
    <n v="23.3"/>
    <n v="23.3"/>
    <x v="242"/>
  </r>
  <r>
    <s v="ORD000243"/>
    <s v="PROD00083"/>
    <n v="1"/>
    <x v="4"/>
    <n v="6.78"/>
    <n v="6.78"/>
    <x v="144"/>
  </r>
  <r>
    <s v="ORD000244"/>
    <s v="PROD00125"/>
    <n v="2"/>
    <x v="1"/>
    <n v="13.79"/>
    <n v="27.58"/>
    <x v="205"/>
  </r>
  <r>
    <s v="ORD000244"/>
    <s v="PROD00154"/>
    <n v="1"/>
    <x v="2"/>
    <n v="23.68"/>
    <n v="23.68"/>
    <x v="243"/>
  </r>
  <r>
    <s v="ORD000245"/>
    <s v="PROD00390"/>
    <n v="2"/>
    <x v="0"/>
    <n v="66.88"/>
    <n v="133.76"/>
    <x v="212"/>
  </r>
  <r>
    <s v="ORD000246"/>
    <s v="PROD00080"/>
    <n v="1"/>
    <x v="7"/>
    <n v="39.36"/>
    <n v="39.36"/>
    <x v="197"/>
  </r>
  <r>
    <s v="ORD000246"/>
    <s v="PROD00130"/>
    <n v="1"/>
    <x v="8"/>
    <n v="12.31"/>
    <n v="12.31"/>
    <x v="244"/>
  </r>
  <r>
    <s v="ORD000247"/>
    <s v="PROD00107"/>
    <n v="1"/>
    <x v="5"/>
    <n v="41.73"/>
    <n v="41.73"/>
    <x v="245"/>
  </r>
  <r>
    <s v="ORD000248"/>
    <s v="PROD00063"/>
    <n v="1"/>
    <x v="3"/>
    <n v="109.54"/>
    <n v="109.54"/>
    <x v="246"/>
  </r>
  <r>
    <s v="ORD000248"/>
    <s v="PROD00118"/>
    <n v="1"/>
    <x v="5"/>
    <n v="53.17"/>
    <n v="53.17"/>
    <x v="181"/>
  </r>
  <r>
    <s v="ORD000249"/>
    <s v="PROD00198"/>
    <n v="1"/>
    <x v="8"/>
    <n v="24.19"/>
    <n v="24.19"/>
    <x v="25"/>
  </r>
  <r>
    <s v="ORD000249"/>
    <s v="PROD00439"/>
    <n v="1"/>
    <x v="6"/>
    <n v="60.6"/>
    <n v="60.6"/>
    <x v="193"/>
  </r>
  <r>
    <s v="ORD000250"/>
    <s v="PROD00402"/>
    <n v="1"/>
    <x v="1"/>
    <n v="21.1"/>
    <n v="21.1"/>
    <x v="136"/>
  </r>
  <r>
    <s v="ORD000251"/>
    <s v="PROD00074"/>
    <n v="1"/>
    <x v="6"/>
    <n v="49.99"/>
    <n v="49.99"/>
    <x v="247"/>
  </r>
  <r>
    <s v="ORD000252"/>
    <s v="PROD00187"/>
    <n v="1"/>
    <x v="1"/>
    <n v="24.7"/>
    <n v="24.7"/>
    <x v="41"/>
  </r>
  <r>
    <s v="ORD000253"/>
    <s v="PROD00018"/>
    <n v="1"/>
    <x v="6"/>
    <n v="40.119999999999997"/>
    <n v="40.119999999999997"/>
    <x v="120"/>
  </r>
  <r>
    <s v="ORD000253"/>
    <s v="PROD00201"/>
    <n v="1"/>
    <x v="6"/>
    <n v="72.790000000000006"/>
    <n v="72.790000000000006"/>
    <x v="133"/>
  </r>
  <r>
    <s v="ORD000254"/>
    <s v="PROD00378"/>
    <n v="1"/>
    <x v="0"/>
    <n v="15.21"/>
    <n v="15.21"/>
    <x v="58"/>
  </r>
  <r>
    <s v="ORD000255"/>
    <s v="PROD00111"/>
    <n v="1"/>
    <x v="5"/>
    <n v="37.79"/>
    <n v="37.79"/>
    <x v="60"/>
  </r>
  <r>
    <s v="ORD000255"/>
    <s v="PROD00130"/>
    <n v="1"/>
    <x v="8"/>
    <n v="12.31"/>
    <n v="12.31"/>
    <x v="244"/>
  </r>
  <r>
    <s v="ORD000255"/>
    <s v="PROD00388"/>
    <n v="1"/>
    <x v="0"/>
    <n v="110.1"/>
    <n v="110.1"/>
    <x v="159"/>
  </r>
  <r>
    <s v="ORD000256"/>
    <s v="PROD00136"/>
    <n v="1"/>
    <x v="8"/>
    <n v="20.309999999999999"/>
    <n v="20.309999999999999"/>
    <x v="173"/>
  </r>
  <r>
    <s v="ORD000256"/>
    <s v="PROD00175"/>
    <n v="1"/>
    <x v="1"/>
    <n v="36.35"/>
    <n v="36.35"/>
    <x v="199"/>
  </r>
  <r>
    <s v="ORD000257"/>
    <s v="PROD00227"/>
    <n v="1"/>
    <x v="7"/>
    <n v="19.03"/>
    <n v="19.03"/>
    <x v="248"/>
  </r>
  <r>
    <s v="ORD000258"/>
    <s v="PROD00035"/>
    <n v="1"/>
    <x v="8"/>
    <n v="17.940000000000001"/>
    <n v="17.940000000000001"/>
    <x v="180"/>
  </r>
  <r>
    <s v="ORD000258"/>
    <s v="PROD00063"/>
    <n v="1"/>
    <x v="3"/>
    <n v="109.54"/>
    <n v="109.54"/>
    <x v="246"/>
  </r>
  <r>
    <s v="ORD000258"/>
    <s v="PROD00236"/>
    <n v="1"/>
    <x v="5"/>
    <n v="34.22"/>
    <n v="34.22"/>
    <x v="42"/>
  </r>
  <r>
    <s v="ORD000259"/>
    <s v="PROD00064"/>
    <n v="2"/>
    <x v="9"/>
    <n v="55.35"/>
    <n v="110.7"/>
    <x v="209"/>
  </r>
  <r>
    <s v="ORD000259"/>
    <s v="PROD00421"/>
    <n v="1"/>
    <x v="6"/>
    <n v="66.94"/>
    <n v="66.94"/>
    <x v="154"/>
  </r>
  <r>
    <s v="ORD000260"/>
    <s v="PROD00069"/>
    <n v="1"/>
    <x v="0"/>
    <n v="11.91"/>
    <n v="11.91"/>
    <x v="249"/>
  </r>
  <r>
    <s v="ORD000261"/>
    <s v="PROD00322"/>
    <n v="1"/>
    <x v="7"/>
    <n v="13.54"/>
    <n v="13.54"/>
    <x v="250"/>
  </r>
  <r>
    <s v="ORD000261"/>
    <s v="PROD00409"/>
    <n v="1"/>
    <x v="5"/>
    <n v="64.84"/>
    <n v="64.84"/>
    <x v="11"/>
  </r>
  <r>
    <s v="ORD000262"/>
    <s v="PROD00093"/>
    <n v="1"/>
    <x v="4"/>
    <n v="12.88"/>
    <n v="12.88"/>
    <x v="52"/>
  </r>
  <r>
    <s v="ORD000262"/>
    <s v="PROD00349"/>
    <n v="1"/>
    <x v="2"/>
    <n v="15.83"/>
    <n v="15.83"/>
    <x v="251"/>
  </r>
  <r>
    <s v="ORD000262"/>
    <s v="PROD00365"/>
    <n v="1"/>
    <x v="0"/>
    <n v="29.46"/>
    <n v="29.46"/>
    <x v="252"/>
  </r>
  <r>
    <s v="ORD000263"/>
    <s v="PROD00130"/>
    <n v="1"/>
    <x v="8"/>
    <n v="12.31"/>
    <n v="12.31"/>
    <x v="244"/>
  </r>
  <r>
    <s v="ORD000263"/>
    <s v="PROD00344"/>
    <n v="1"/>
    <x v="9"/>
    <n v="60.93"/>
    <n v="60.93"/>
    <x v="253"/>
  </r>
  <r>
    <s v="ORD000264"/>
    <s v="PROD00088"/>
    <n v="1"/>
    <x v="5"/>
    <n v="27.88"/>
    <n v="27.88"/>
    <x v="223"/>
  </r>
  <r>
    <s v="ORD000265"/>
    <s v="PROD00239"/>
    <n v="1"/>
    <x v="9"/>
    <n v="79.16"/>
    <n v="79.16"/>
    <x v="62"/>
  </r>
  <r>
    <s v="ORD000266"/>
    <s v="PROD00128"/>
    <n v="1"/>
    <x v="7"/>
    <n v="37.340000000000003"/>
    <n v="37.340000000000003"/>
    <x v="74"/>
  </r>
  <r>
    <s v="ORD000267"/>
    <s v="PROD00028"/>
    <n v="1"/>
    <x v="4"/>
    <n v="8.39"/>
    <n v="8.39"/>
    <x v="91"/>
  </r>
  <r>
    <s v="ORD000267"/>
    <s v="PROD00126"/>
    <n v="1"/>
    <x v="4"/>
    <n v="5.49"/>
    <n v="5.49"/>
    <x v="168"/>
  </r>
  <r>
    <s v="ORD000268"/>
    <s v="PROD00001"/>
    <n v="1"/>
    <x v="2"/>
    <n v="33.08"/>
    <n v="33.08"/>
    <x v="254"/>
  </r>
  <r>
    <s v="ORD000268"/>
    <s v="PROD00128"/>
    <n v="1"/>
    <x v="7"/>
    <n v="37.340000000000003"/>
    <n v="37.340000000000003"/>
    <x v="74"/>
  </r>
  <r>
    <s v="ORD000269"/>
    <s v="PROD00228"/>
    <n v="1"/>
    <x v="0"/>
    <n v="64.55"/>
    <n v="64.55"/>
    <x v="20"/>
  </r>
  <r>
    <s v="ORD000269"/>
    <s v="PROD00327"/>
    <n v="1"/>
    <x v="7"/>
    <n v="24.26"/>
    <n v="24.26"/>
    <x v="64"/>
  </r>
  <r>
    <s v="ORD000269"/>
    <s v="PROD00340"/>
    <n v="1"/>
    <x v="9"/>
    <n v="23.35"/>
    <n v="23.35"/>
    <x v="166"/>
  </r>
  <r>
    <s v="ORD000270"/>
    <s v="PROD00153"/>
    <n v="1"/>
    <x v="9"/>
    <n v="48.8"/>
    <n v="48.8"/>
    <x v="255"/>
  </r>
  <r>
    <s v="ORD000271"/>
    <s v="PROD00012"/>
    <n v="2"/>
    <x v="4"/>
    <n v="7.06"/>
    <n v="14.12"/>
    <x v="218"/>
  </r>
  <r>
    <s v="ORD000272"/>
    <s v="PROD00169"/>
    <n v="1"/>
    <x v="1"/>
    <n v="31.11"/>
    <n v="31.11"/>
    <x v="127"/>
  </r>
  <r>
    <s v="ORD000272"/>
    <s v="PROD00313"/>
    <n v="1"/>
    <x v="3"/>
    <n v="63.84"/>
    <n v="63.84"/>
    <x v="66"/>
  </r>
  <r>
    <s v="ORD000272"/>
    <s v="PROD00339"/>
    <n v="2"/>
    <x v="9"/>
    <n v="77.56"/>
    <n v="155.12"/>
    <x v="256"/>
  </r>
  <r>
    <s v="ORD000273"/>
    <s v="PROD00257"/>
    <n v="1"/>
    <x v="2"/>
    <n v="17.28"/>
    <n v="17.28"/>
    <x v="225"/>
  </r>
  <r>
    <s v="ORD000273"/>
    <s v="PROD00377"/>
    <n v="2"/>
    <x v="0"/>
    <n v="85.94"/>
    <n v="171.88"/>
    <x v="257"/>
  </r>
  <r>
    <s v="ORD000273"/>
    <s v="PROD00398"/>
    <n v="1"/>
    <x v="1"/>
    <n v="35.5"/>
    <n v="35.5"/>
    <x v="198"/>
  </r>
  <r>
    <s v="ORD000275"/>
    <s v="PROD00259"/>
    <n v="2"/>
    <x v="2"/>
    <n v="22.28"/>
    <n v="44.56"/>
    <x v="258"/>
  </r>
  <r>
    <s v="ORD000276"/>
    <s v="PROD00058"/>
    <n v="1"/>
    <x v="8"/>
    <n v="36.26"/>
    <n v="36.26"/>
    <x v="259"/>
  </r>
  <r>
    <s v="ORD000276"/>
    <s v="PROD00434"/>
    <n v="2"/>
    <x v="9"/>
    <n v="24.44"/>
    <n v="48.88"/>
    <x v="260"/>
  </r>
  <r>
    <s v="ORD000277"/>
    <s v="PROD00240"/>
    <n v="1"/>
    <x v="6"/>
    <n v="51.74"/>
    <n v="51.74"/>
    <x v="9"/>
  </r>
  <r>
    <s v="ORD000278"/>
    <s v="PROD00158"/>
    <n v="1"/>
    <x v="3"/>
    <n v="88.29"/>
    <n v="88.29"/>
    <x v="84"/>
  </r>
  <r>
    <s v="ORD000278"/>
    <s v="PROD00340"/>
    <n v="1"/>
    <x v="9"/>
    <n v="23.35"/>
    <n v="23.35"/>
    <x v="166"/>
  </r>
  <r>
    <s v="ORD000279"/>
    <s v="PROD00277"/>
    <n v="2"/>
    <x v="5"/>
    <n v="37.99"/>
    <n v="75.98"/>
    <x v="57"/>
  </r>
  <r>
    <s v="ORD000280"/>
    <s v="PROD00348"/>
    <n v="1"/>
    <x v="9"/>
    <n v="34.46"/>
    <n v="34.46"/>
    <x v="227"/>
  </r>
  <r>
    <s v="ORD000281"/>
    <s v="PROD00108"/>
    <n v="1"/>
    <x v="0"/>
    <n v="91.41"/>
    <n v="91.41"/>
    <x v="15"/>
  </r>
  <r>
    <s v="ORD000281"/>
    <s v="PROD00334"/>
    <n v="1"/>
    <x v="9"/>
    <n v="75.05"/>
    <n v="75.05"/>
    <x v="261"/>
  </r>
  <r>
    <s v="ORD000282"/>
    <s v="PROD00100"/>
    <n v="1"/>
    <x v="1"/>
    <n v="58.45"/>
    <n v="58.45"/>
    <x v="262"/>
  </r>
  <r>
    <s v="ORD000282"/>
    <s v="PROD00101"/>
    <n v="1"/>
    <x v="7"/>
    <n v="32.44"/>
    <n v="32.44"/>
    <x v="36"/>
  </r>
  <r>
    <s v="ORD000283"/>
    <s v="PROD00103"/>
    <n v="2"/>
    <x v="5"/>
    <n v="39.99"/>
    <n v="79.98"/>
    <x v="238"/>
  </r>
  <r>
    <s v="ORD000283"/>
    <s v="PROD00229"/>
    <n v="1"/>
    <x v="2"/>
    <n v="32.19"/>
    <n v="32.19"/>
    <x v="152"/>
  </r>
  <r>
    <s v="ORD000284"/>
    <s v="PROD00015"/>
    <n v="1"/>
    <x v="6"/>
    <n v="48.06"/>
    <n v="48.06"/>
    <x v="85"/>
  </r>
  <r>
    <s v="ORD000285"/>
    <s v="PROD00377"/>
    <n v="1"/>
    <x v="0"/>
    <n v="85.94"/>
    <n v="85.94"/>
    <x v="257"/>
  </r>
  <r>
    <s v="ORD000286"/>
    <s v="PROD00047"/>
    <n v="1"/>
    <x v="3"/>
    <n v="89.8"/>
    <n v="89.8"/>
    <x v="130"/>
  </r>
  <r>
    <s v="ORD000286"/>
    <s v="PROD00091"/>
    <n v="1"/>
    <x v="5"/>
    <n v="27.76"/>
    <n v="27.76"/>
    <x v="263"/>
  </r>
  <r>
    <s v="ORD000286"/>
    <s v="PROD00264"/>
    <n v="2"/>
    <x v="2"/>
    <n v="32.26"/>
    <n v="64.52"/>
    <x v="45"/>
  </r>
  <r>
    <s v="ORD000287"/>
    <s v="PROD00113"/>
    <n v="1"/>
    <x v="5"/>
    <n v="53.5"/>
    <n v="53.5"/>
    <x v="185"/>
  </r>
  <r>
    <s v="ORD000287"/>
    <s v="PROD00190"/>
    <n v="1"/>
    <x v="1"/>
    <n v="48.51"/>
    <n v="48.51"/>
    <x v="264"/>
  </r>
  <r>
    <s v="ORD000288"/>
    <s v="PROD00108"/>
    <n v="1"/>
    <x v="0"/>
    <n v="91.41"/>
    <n v="91.41"/>
    <x v="15"/>
  </r>
  <r>
    <s v="ORD000289"/>
    <s v="PROD00274"/>
    <n v="1"/>
    <x v="5"/>
    <n v="36.49"/>
    <n v="36.49"/>
    <x v="265"/>
  </r>
  <r>
    <s v="ORD000289"/>
    <s v="PROD00308"/>
    <n v="1"/>
    <x v="3"/>
    <n v="63.84"/>
    <n v="63.84"/>
    <x v="232"/>
  </r>
  <r>
    <s v="ORD000290"/>
    <s v="PROD00109"/>
    <n v="1"/>
    <x v="1"/>
    <n v="13.16"/>
    <n v="13.16"/>
    <x v="240"/>
  </r>
  <r>
    <s v="ORD000290"/>
    <s v="PROD00110"/>
    <n v="1"/>
    <x v="2"/>
    <n v="15.99"/>
    <n v="15.99"/>
    <x v="266"/>
  </r>
  <r>
    <s v="ORD000291"/>
    <s v="PROD00244"/>
    <n v="2"/>
    <x v="7"/>
    <n v="34.36"/>
    <n v="68.72"/>
    <x v="267"/>
  </r>
  <r>
    <s v="ORD000292"/>
    <s v="PROD00238"/>
    <n v="1"/>
    <x v="8"/>
    <n v="26.73"/>
    <n v="26.73"/>
    <x v="190"/>
  </r>
  <r>
    <s v="ORD000293"/>
    <s v="PROD00229"/>
    <n v="1"/>
    <x v="2"/>
    <n v="32.19"/>
    <n v="32.19"/>
    <x v="152"/>
  </r>
  <r>
    <s v="ORD000293"/>
    <s v="PROD00351"/>
    <n v="1"/>
    <x v="2"/>
    <n v="17.829999999999998"/>
    <n v="17.829999999999998"/>
    <x v="119"/>
  </r>
  <r>
    <s v="ORD000294"/>
    <s v="PROD00140"/>
    <n v="1"/>
    <x v="3"/>
    <n v="81.81"/>
    <n v="81.81"/>
    <x v="90"/>
  </r>
  <r>
    <s v="ORD000295"/>
    <s v="PROD00046"/>
    <n v="1"/>
    <x v="5"/>
    <n v="54.17"/>
    <n v="54.17"/>
    <x v="210"/>
  </r>
  <r>
    <s v="ORD000296"/>
    <s v="PROD00320"/>
    <n v="2"/>
    <x v="7"/>
    <n v="33.89"/>
    <n v="67.78"/>
    <x v="157"/>
  </r>
  <r>
    <s v="ORD000296"/>
    <s v="PROD00367"/>
    <n v="2"/>
    <x v="0"/>
    <n v="29.92"/>
    <n v="59.84"/>
    <x v="268"/>
  </r>
  <r>
    <s v="ORD000296"/>
    <s v="PROD00387"/>
    <n v="1"/>
    <x v="0"/>
    <n v="21.89"/>
    <n v="21.89"/>
    <x v="158"/>
  </r>
  <r>
    <s v="ORD000297"/>
    <s v="PROD00168"/>
    <n v="2"/>
    <x v="1"/>
    <n v="33.36"/>
    <n v="66.72"/>
    <x v="200"/>
  </r>
  <r>
    <s v="ORD000298"/>
    <s v="PROD00103"/>
    <n v="2"/>
    <x v="5"/>
    <n v="39.99"/>
    <n v="79.98"/>
    <x v="238"/>
  </r>
  <r>
    <s v="ORD000298"/>
    <s v="PROD00228"/>
    <n v="1"/>
    <x v="0"/>
    <n v="64.55"/>
    <n v="64.55"/>
    <x v="20"/>
  </r>
  <r>
    <s v="ORD000299"/>
    <s v="PROD00135"/>
    <n v="6"/>
    <x v="6"/>
    <n v="48.81"/>
    <n v="292.86"/>
    <x v="106"/>
  </r>
  <r>
    <s v="ORD000300"/>
    <s v="PROD00136"/>
    <n v="1"/>
    <x v="8"/>
    <n v="20.309999999999999"/>
    <n v="20.309999999999999"/>
    <x v="173"/>
  </r>
  <r>
    <s v="ORD000300"/>
    <s v="PROD00303"/>
    <n v="1"/>
    <x v="3"/>
    <n v="66.33"/>
    <n v="66.33"/>
    <x v="269"/>
  </r>
  <r>
    <s v="ORD000300"/>
    <s v="PROD00316"/>
    <n v="1"/>
    <x v="3"/>
    <n v="36.57"/>
    <n v="36.57"/>
    <x v="270"/>
  </r>
  <r>
    <s v="ORD000301"/>
    <s v="PROD00431"/>
    <n v="1"/>
    <x v="6"/>
    <n v="55.99"/>
    <n v="55.99"/>
    <x v="271"/>
  </r>
  <r>
    <s v="ORD000302"/>
    <s v="PROD00035"/>
    <n v="1"/>
    <x v="8"/>
    <n v="17.940000000000001"/>
    <n v="17.940000000000001"/>
    <x v="180"/>
  </r>
  <r>
    <s v="ORD000303"/>
    <s v="PROD00044"/>
    <n v="1"/>
    <x v="5"/>
    <n v="54.17"/>
    <n v="54.17"/>
    <x v="100"/>
  </r>
  <r>
    <s v="ORD000303"/>
    <s v="PROD00172"/>
    <n v="1"/>
    <x v="7"/>
    <n v="29.98"/>
    <n v="29.98"/>
    <x v="19"/>
  </r>
  <r>
    <s v="ORD000304"/>
    <s v="PROD00016"/>
    <n v="1"/>
    <x v="6"/>
    <n v="73.55"/>
    <n v="73.55"/>
    <x v="134"/>
  </r>
  <r>
    <s v="ORD000305"/>
    <s v="PROD00213"/>
    <n v="1"/>
    <x v="1"/>
    <n v="52.35"/>
    <n v="52.35"/>
    <x v="236"/>
  </r>
  <r>
    <s v="ORD000306"/>
    <s v="PROD00047"/>
    <n v="1"/>
    <x v="3"/>
    <n v="89.8"/>
    <n v="89.8"/>
    <x v="130"/>
  </r>
  <r>
    <s v="ORD000306"/>
    <s v="PROD00277"/>
    <n v="2"/>
    <x v="5"/>
    <n v="37.99"/>
    <n v="75.98"/>
    <x v="57"/>
  </r>
  <r>
    <s v="ORD000306"/>
    <s v="PROD00458"/>
    <n v="1"/>
    <x v="8"/>
    <n v="21.04"/>
    <n v="21.04"/>
    <x v="71"/>
  </r>
  <r>
    <s v="ORD000307"/>
    <s v="PROD00109"/>
    <n v="2"/>
    <x v="1"/>
    <n v="13.16"/>
    <n v="26.32"/>
    <x v="240"/>
  </r>
  <r>
    <s v="ORD000307"/>
    <s v="PROD00346"/>
    <n v="1"/>
    <x v="9"/>
    <n v="32.93"/>
    <n v="32.93"/>
    <x v="77"/>
  </r>
  <r>
    <s v="ORD000308"/>
    <s v="PROD00111"/>
    <n v="1"/>
    <x v="5"/>
    <n v="37.79"/>
    <n v="37.79"/>
    <x v="60"/>
  </r>
  <r>
    <s v="ORD000308"/>
    <s v="PROD00298"/>
    <n v="1"/>
    <x v="3"/>
    <n v="63.55"/>
    <n v="63.55"/>
    <x v="272"/>
  </r>
  <r>
    <s v="ORD000308"/>
    <s v="PROD00457"/>
    <n v="1"/>
    <x v="8"/>
    <n v="24.92"/>
    <n v="24.92"/>
    <x v="39"/>
  </r>
  <r>
    <s v="ORD000309"/>
    <s v="PROD00252"/>
    <n v="1"/>
    <x v="5"/>
    <n v="56.67"/>
    <n v="56.67"/>
    <x v="273"/>
  </r>
  <r>
    <s v="ORD000310"/>
    <s v="PROD00375"/>
    <n v="1"/>
    <x v="0"/>
    <n v="16.88"/>
    <n v="16.88"/>
    <x v="274"/>
  </r>
  <r>
    <s v="ORD000311"/>
    <s v="PROD00438"/>
    <n v="1"/>
    <x v="6"/>
    <n v="54.41"/>
    <n v="54.41"/>
    <x v="155"/>
  </r>
  <r>
    <s v="ORD000312"/>
    <s v="PROD00393"/>
    <n v="1"/>
    <x v="1"/>
    <n v="49.13"/>
    <n v="49.13"/>
    <x v="275"/>
  </r>
  <r>
    <s v="ORD000312"/>
    <s v="PROD00441"/>
    <n v="1"/>
    <x v="6"/>
    <n v="26.7"/>
    <n v="26.7"/>
    <x v="111"/>
  </r>
  <r>
    <s v="ORD000313"/>
    <s v="PROD00428"/>
    <n v="1"/>
    <x v="6"/>
    <n v="114.11"/>
    <n v="114.11"/>
    <x v="50"/>
  </r>
  <r>
    <s v="ORD000314"/>
    <s v="PROD00214"/>
    <n v="1"/>
    <x v="6"/>
    <n v="32.67"/>
    <n v="32.67"/>
    <x v="80"/>
  </r>
  <r>
    <s v="ORD000315"/>
    <s v="PROD00409"/>
    <n v="1"/>
    <x v="5"/>
    <n v="64.84"/>
    <n v="64.84"/>
    <x v="11"/>
  </r>
  <r>
    <s v="ORD000316"/>
    <s v="PROD00038"/>
    <n v="1"/>
    <x v="6"/>
    <n v="45.46"/>
    <n v="45.46"/>
    <x v="113"/>
  </r>
  <r>
    <s v="ORD000316"/>
    <s v="PROD00201"/>
    <n v="1"/>
    <x v="6"/>
    <n v="72.790000000000006"/>
    <n v="72.790000000000006"/>
    <x v="133"/>
  </r>
  <r>
    <s v="ORD000317"/>
    <s v="PROD00021"/>
    <n v="1"/>
    <x v="6"/>
    <n v="113.99"/>
    <n v="113.99"/>
    <x v="276"/>
  </r>
  <r>
    <s v="ORD000318"/>
    <s v="PROD00333"/>
    <n v="1"/>
    <x v="7"/>
    <n v="32.299999999999997"/>
    <n v="32.299999999999997"/>
    <x v="277"/>
  </r>
  <r>
    <s v="ORD000318"/>
    <s v="PROD00404"/>
    <n v="1"/>
    <x v="6"/>
    <n v="81.02"/>
    <n v="81.02"/>
    <x v="30"/>
  </r>
  <r>
    <s v="ORD000319"/>
    <s v="PROD00017"/>
    <n v="1"/>
    <x v="6"/>
    <n v="13.71"/>
    <n v="13.71"/>
    <x v="99"/>
  </r>
  <r>
    <s v="ORD000319"/>
    <s v="PROD00066"/>
    <n v="1"/>
    <x v="6"/>
    <n v="21.37"/>
    <n v="21.37"/>
    <x v="105"/>
  </r>
  <r>
    <s v="ORD000319"/>
    <s v="PROD00443"/>
    <n v="2"/>
    <x v="6"/>
    <n v="80.069999999999993"/>
    <n v="160.13999999999999"/>
    <x v="151"/>
  </r>
  <r>
    <s v="ORD000320"/>
    <s v="PROD00219"/>
    <n v="1"/>
    <x v="6"/>
    <n v="74.39"/>
    <n v="74.39"/>
    <x v="219"/>
  </r>
  <r>
    <s v="ORD000321"/>
    <s v="PROD00214"/>
    <n v="1"/>
    <x v="6"/>
    <n v="32.67"/>
    <n v="32.67"/>
    <x v="80"/>
  </r>
  <r>
    <s v="ORD000321"/>
    <s v="PROD00232"/>
    <n v="1"/>
    <x v="6"/>
    <n v="75.099999999999994"/>
    <n v="75.099999999999994"/>
    <x v="114"/>
  </r>
  <r>
    <s v="ORD000322"/>
    <s v="PROD00031"/>
    <n v="2"/>
    <x v="6"/>
    <n v="43.27"/>
    <n v="86.54"/>
    <x v="278"/>
  </r>
  <r>
    <s v="ORD000322"/>
    <s v="PROD00074"/>
    <n v="1"/>
    <x v="6"/>
    <n v="49.99"/>
    <n v="49.99"/>
    <x v="247"/>
  </r>
  <r>
    <s v="ORD000322"/>
    <s v="PROD00244"/>
    <n v="1"/>
    <x v="7"/>
    <n v="34.36"/>
    <n v="34.36"/>
    <x v="267"/>
  </r>
  <r>
    <s v="ORD000323"/>
    <s v="PROD00380"/>
    <n v="1"/>
    <x v="0"/>
    <n v="18.559999999999999"/>
    <n v="18.559999999999999"/>
    <x v="58"/>
  </r>
  <r>
    <s v="ORD000324"/>
    <s v="PROD00017"/>
    <n v="1"/>
    <x v="6"/>
    <n v="13.71"/>
    <n v="13.71"/>
    <x v="99"/>
  </r>
  <r>
    <s v="ORD000324"/>
    <s v="PROD00188"/>
    <n v="1"/>
    <x v="6"/>
    <n v="110.01"/>
    <n v="110.01"/>
    <x v="141"/>
  </r>
  <r>
    <s v="ORD000325"/>
    <s v="PROD00170"/>
    <n v="1"/>
    <x v="6"/>
    <n v="75.239999999999995"/>
    <n v="75.239999999999995"/>
    <x v="165"/>
  </r>
  <r>
    <s v="ORD000325"/>
    <s v="PROD00215"/>
    <n v="1"/>
    <x v="0"/>
    <n v="19.989999999999998"/>
    <n v="19.989999999999998"/>
    <x v="32"/>
  </r>
  <r>
    <s v="ORD000325"/>
    <s v="PROD00232"/>
    <n v="1"/>
    <x v="6"/>
    <n v="75.099999999999994"/>
    <n v="75.099999999999994"/>
    <x v="114"/>
  </r>
  <r>
    <s v="ORD000325"/>
    <s v="PROD00388"/>
    <n v="1"/>
    <x v="0"/>
    <n v="110.1"/>
    <n v="110.1"/>
    <x v="159"/>
  </r>
  <r>
    <s v="ORD000326"/>
    <s v="PROD00017"/>
    <n v="1"/>
    <x v="6"/>
    <n v="13.71"/>
    <n v="13.71"/>
    <x v="99"/>
  </r>
  <r>
    <s v="ORD000326"/>
    <s v="PROD00037"/>
    <n v="1"/>
    <x v="6"/>
    <n v="24.22"/>
    <n v="24.22"/>
    <x v="123"/>
  </r>
  <r>
    <s v="ORD000326"/>
    <s v="PROD00107"/>
    <n v="1"/>
    <x v="5"/>
    <n v="41.73"/>
    <n v="41.73"/>
    <x v="245"/>
  </r>
  <r>
    <s v="ORD000326"/>
    <s v="PROD00323"/>
    <n v="2"/>
    <x v="7"/>
    <n v="21.81"/>
    <n v="43.62"/>
    <x v="48"/>
  </r>
  <r>
    <s v="ORD000326"/>
    <s v="PROD00438"/>
    <n v="2"/>
    <x v="6"/>
    <n v="54.41"/>
    <n v="108.82"/>
    <x v="155"/>
  </r>
  <r>
    <s v="ORD000327"/>
    <s v="PROD00176"/>
    <n v="1"/>
    <x v="6"/>
    <n v="34.86"/>
    <n v="34.86"/>
    <x v="163"/>
  </r>
  <r>
    <s v="ORD000328"/>
    <s v="PROD00073"/>
    <n v="1"/>
    <x v="6"/>
    <n v="31.66"/>
    <n v="31.66"/>
    <x v="202"/>
  </r>
  <r>
    <s v="ORD000328"/>
    <s v="PROD00257"/>
    <n v="2"/>
    <x v="2"/>
    <n v="17.28"/>
    <n v="34.56"/>
    <x v="225"/>
  </r>
  <r>
    <s v="ORD000328"/>
    <s v="PROD00323"/>
    <n v="1"/>
    <x v="7"/>
    <n v="21.81"/>
    <n v="21.81"/>
    <x v="48"/>
  </r>
  <r>
    <s v="ORD000329"/>
    <s v="PROD00104"/>
    <n v="1"/>
    <x v="6"/>
    <n v="44.42"/>
    <n v="44.42"/>
    <x v="124"/>
  </r>
  <r>
    <s v="ORD000330"/>
    <s v="PROD00020"/>
    <n v="2"/>
    <x v="6"/>
    <n v="15.05"/>
    <n v="30.1"/>
    <x v="140"/>
  </r>
  <r>
    <s v="ORD000330"/>
    <s v="PROD00301"/>
    <n v="1"/>
    <x v="5"/>
    <n v="53.17"/>
    <n v="53.17"/>
    <x v="279"/>
  </r>
  <r>
    <s v="ORD000330"/>
    <s v="PROD00444"/>
    <n v="2"/>
    <x v="6"/>
    <n v="20.55"/>
    <n v="41.1"/>
    <x v="115"/>
  </r>
  <r>
    <s v="ORD000331"/>
    <s v="PROD00159"/>
    <n v="1"/>
    <x v="8"/>
    <n v="13.7"/>
    <n v="13.7"/>
    <x v="17"/>
  </r>
  <r>
    <s v="ORD000331"/>
    <s v="PROD00214"/>
    <n v="1"/>
    <x v="6"/>
    <n v="32.67"/>
    <n v="32.67"/>
    <x v="80"/>
  </r>
  <r>
    <s v="ORD000331"/>
    <s v="PROD00405"/>
    <n v="1"/>
    <x v="6"/>
    <n v="99.85"/>
    <n v="99.85"/>
    <x v="280"/>
  </r>
  <r>
    <s v="ORD000332"/>
    <s v="PROD00176"/>
    <n v="1"/>
    <x v="6"/>
    <n v="34.86"/>
    <n v="34.86"/>
    <x v="163"/>
  </r>
  <r>
    <s v="ORD000332"/>
    <s v="PROD00214"/>
    <n v="1"/>
    <x v="6"/>
    <n v="32.67"/>
    <n v="32.67"/>
    <x v="80"/>
  </r>
  <r>
    <s v="ORD000332"/>
    <s v="PROD00410"/>
    <n v="1"/>
    <x v="6"/>
    <n v="97.96"/>
    <n v="97.96"/>
    <x v="110"/>
  </r>
  <r>
    <s v="ORD000333"/>
    <s v="PROD00014"/>
    <n v="2"/>
    <x v="6"/>
    <n v="46.45"/>
    <n v="92.9"/>
    <x v="120"/>
  </r>
  <r>
    <s v="ORD000333"/>
    <s v="PROD00107"/>
    <n v="1"/>
    <x v="5"/>
    <n v="41.73"/>
    <n v="41.73"/>
    <x v="245"/>
  </r>
  <r>
    <s v="ORD000333"/>
    <s v="PROD00214"/>
    <n v="2"/>
    <x v="6"/>
    <n v="32.67"/>
    <n v="65.34"/>
    <x v="80"/>
  </r>
  <r>
    <s v="ORD000334"/>
    <s v="PROD00015"/>
    <n v="1"/>
    <x v="6"/>
    <n v="48.06"/>
    <n v="48.06"/>
    <x v="85"/>
  </r>
  <r>
    <s v="ORD000334"/>
    <s v="PROD00037"/>
    <n v="1"/>
    <x v="6"/>
    <n v="24.22"/>
    <n v="24.22"/>
    <x v="123"/>
  </r>
  <r>
    <s v="ORD000334"/>
    <s v="PROD00200"/>
    <n v="1"/>
    <x v="6"/>
    <n v="30.95"/>
    <n v="30.95"/>
    <x v="18"/>
  </r>
  <r>
    <s v="ORD000335"/>
    <s v="PROD00321"/>
    <n v="1"/>
    <x v="7"/>
    <n v="32.33"/>
    <n v="32.33"/>
    <x v="87"/>
  </r>
  <r>
    <s v="ORD000336"/>
    <s v="PROD00368"/>
    <n v="1"/>
    <x v="0"/>
    <n v="101.55"/>
    <n v="101.55"/>
    <x v="217"/>
  </r>
  <r>
    <s v="ORD000337"/>
    <s v="PROD00094"/>
    <n v="1"/>
    <x v="6"/>
    <n v="40.83"/>
    <n v="40.83"/>
    <x v="139"/>
  </r>
  <r>
    <s v="ORD000337"/>
    <s v="PROD00407"/>
    <n v="1"/>
    <x v="6"/>
    <n v="10.07"/>
    <n v="10.07"/>
    <x v="59"/>
  </r>
  <r>
    <s v="ORD000338"/>
    <s v="PROD00042"/>
    <n v="1"/>
    <x v="6"/>
    <n v="38.39"/>
    <n v="38.39"/>
    <x v="108"/>
  </r>
  <r>
    <s v="ORD000338"/>
    <s v="PROD00086"/>
    <n v="2"/>
    <x v="7"/>
    <n v="37.840000000000003"/>
    <n v="75.680000000000007"/>
    <x v="204"/>
  </r>
  <r>
    <s v="ORD000338"/>
    <s v="PROD00406"/>
    <n v="1"/>
    <x v="6"/>
    <n v="23.33"/>
    <n v="23.33"/>
    <x v="149"/>
  </r>
  <r>
    <s v="ORD000339"/>
    <s v="PROD00094"/>
    <n v="1"/>
    <x v="6"/>
    <n v="40.83"/>
    <n v="40.83"/>
    <x v="139"/>
  </r>
  <r>
    <s v="ORD000339"/>
    <s v="PROD00130"/>
    <n v="2"/>
    <x v="8"/>
    <n v="12.31"/>
    <n v="24.62"/>
    <x v="244"/>
  </r>
  <r>
    <s v="ORD000339"/>
    <s v="PROD00294"/>
    <n v="2"/>
    <x v="3"/>
    <n v="110.9"/>
    <n v="221.8"/>
    <x v="281"/>
  </r>
  <r>
    <s v="ORD000340"/>
    <s v="PROD00438"/>
    <n v="2"/>
    <x v="6"/>
    <n v="54.41"/>
    <n v="108.82"/>
    <x v="155"/>
  </r>
  <r>
    <s v="ORD000341"/>
    <s v="PROD00261"/>
    <n v="1"/>
    <x v="2"/>
    <n v="6.91"/>
    <n v="6.91"/>
    <x v="234"/>
  </r>
  <r>
    <s v="ORD000342"/>
    <s v="PROD00014"/>
    <n v="1"/>
    <x v="6"/>
    <n v="46.45"/>
    <n v="46.45"/>
    <x v="120"/>
  </r>
  <r>
    <s v="ORD000343"/>
    <s v="PROD00200"/>
    <n v="2"/>
    <x v="6"/>
    <n v="30.95"/>
    <n v="61.9"/>
    <x v="18"/>
  </r>
  <r>
    <s v="ORD000344"/>
    <s v="PROD00224"/>
    <n v="1"/>
    <x v="6"/>
    <n v="26.98"/>
    <n v="26.98"/>
    <x v="102"/>
  </r>
  <r>
    <s v="ORD000345"/>
    <s v="PROD00048"/>
    <n v="2"/>
    <x v="0"/>
    <n v="34.869999999999997"/>
    <n v="69.739999999999995"/>
    <x v="40"/>
  </r>
  <r>
    <s v="ORD000345"/>
    <s v="PROD00200"/>
    <n v="2"/>
    <x v="6"/>
    <n v="30.95"/>
    <n v="61.9"/>
    <x v="18"/>
  </r>
  <r>
    <s v="ORD000346"/>
    <s v="PROD00020"/>
    <n v="1"/>
    <x v="6"/>
    <n v="15.05"/>
    <n v="15.05"/>
    <x v="140"/>
  </r>
  <r>
    <s v="ORD000346"/>
    <s v="PROD00419"/>
    <n v="1"/>
    <x v="8"/>
    <n v="26.9"/>
    <n v="26.9"/>
    <x v="220"/>
  </r>
  <r>
    <s v="ORD000346"/>
    <s v="PROD00432"/>
    <n v="1"/>
    <x v="6"/>
    <n v="57.98"/>
    <n v="57.98"/>
    <x v="282"/>
  </r>
  <r>
    <s v="ORD000347"/>
    <s v="PROD00214"/>
    <n v="2"/>
    <x v="6"/>
    <n v="32.67"/>
    <n v="65.34"/>
    <x v="80"/>
  </r>
  <r>
    <s v="ORD000347"/>
    <s v="PROD00240"/>
    <n v="2"/>
    <x v="6"/>
    <n v="51.74"/>
    <n v="103.48"/>
    <x v="9"/>
  </r>
  <r>
    <s v="ORD000348"/>
    <s v="PROD00066"/>
    <n v="1"/>
    <x v="6"/>
    <n v="21.37"/>
    <n v="21.37"/>
    <x v="105"/>
  </r>
  <r>
    <s v="ORD000348"/>
    <s v="PROD00407"/>
    <n v="1"/>
    <x v="6"/>
    <n v="10.07"/>
    <n v="10.07"/>
    <x v="59"/>
  </r>
  <r>
    <s v="ORD000349"/>
    <s v="PROD00028"/>
    <n v="1"/>
    <x v="4"/>
    <n v="8.39"/>
    <n v="8.39"/>
    <x v="91"/>
  </r>
  <r>
    <s v="ORD000349"/>
    <s v="PROD00157"/>
    <n v="2"/>
    <x v="2"/>
    <n v="16.149999999999999"/>
    <n v="32.299999999999997"/>
    <x v="283"/>
  </r>
  <r>
    <s v="ORD000349"/>
    <s v="PROD00219"/>
    <n v="1"/>
    <x v="6"/>
    <n v="74.39"/>
    <n v="74.39"/>
    <x v="219"/>
  </r>
  <r>
    <s v="ORD000350"/>
    <s v="PROD00236"/>
    <n v="1"/>
    <x v="5"/>
    <n v="34.22"/>
    <n v="34.22"/>
    <x v="42"/>
  </r>
  <r>
    <s v="ORD000351"/>
    <s v="PROD00018"/>
    <n v="2"/>
    <x v="6"/>
    <n v="40.119999999999997"/>
    <n v="80.239999999999995"/>
    <x v="120"/>
  </r>
  <r>
    <s v="ORD000351"/>
    <s v="PROD00200"/>
    <n v="2"/>
    <x v="6"/>
    <n v="30.95"/>
    <n v="61.9"/>
    <x v="18"/>
  </r>
  <r>
    <s v="ORD000351"/>
    <s v="PROD00423"/>
    <n v="1"/>
    <x v="6"/>
    <n v="97.17"/>
    <n v="97.17"/>
    <x v="237"/>
  </r>
  <r>
    <s v="ORD000352"/>
    <s v="PROD00407"/>
    <n v="1"/>
    <x v="6"/>
    <n v="10.07"/>
    <n v="10.07"/>
    <x v="59"/>
  </r>
  <r>
    <s v="ORD000353"/>
    <s v="PROD00409"/>
    <n v="2"/>
    <x v="5"/>
    <n v="64.84"/>
    <n v="129.68"/>
    <x v="11"/>
  </r>
  <r>
    <s v="ORD000354"/>
    <s v="PROD00207"/>
    <n v="1"/>
    <x v="2"/>
    <n v="32.01"/>
    <n v="32.01"/>
    <x v="284"/>
  </r>
  <r>
    <s v="ORD000354"/>
    <s v="PROD00424"/>
    <n v="2"/>
    <x v="6"/>
    <n v="25.41"/>
    <n v="50.82"/>
    <x v="103"/>
  </r>
  <r>
    <s v="ORD000355"/>
    <s v="PROD00020"/>
    <n v="1"/>
    <x v="6"/>
    <n v="15.05"/>
    <n v="15.05"/>
    <x v="140"/>
  </r>
  <r>
    <s v="ORD000355"/>
    <s v="PROD00296"/>
    <n v="2"/>
    <x v="3"/>
    <n v="49.85"/>
    <n v="99.7"/>
    <x v="75"/>
  </r>
  <r>
    <s v="ORD000356"/>
    <s v="PROD00421"/>
    <n v="1"/>
    <x v="6"/>
    <n v="66.94"/>
    <n v="66.94"/>
    <x v="154"/>
  </r>
  <r>
    <s v="ORD000357"/>
    <s v="PROD00407"/>
    <n v="1"/>
    <x v="6"/>
    <n v="10.07"/>
    <n v="10.07"/>
    <x v="59"/>
  </r>
  <r>
    <s v="ORD000357"/>
    <s v="PROD00438"/>
    <n v="1"/>
    <x v="6"/>
    <n v="54.41"/>
    <n v="54.41"/>
    <x v="155"/>
  </r>
  <r>
    <s v="ORD000358"/>
    <s v="PROD00042"/>
    <n v="1"/>
    <x v="6"/>
    <n v="38.39"/>
    <n v="38.39"/>
    <x v="108"/>
  </r>
  <r>
    <s v="ORD000359"/>
    <s v="PROD00333"/>
    <n v="1"/>
    <x v="7"/>
    <n v="32.299999999999997"/>
    <n v="32.299999999999997"/>
    <x v="277"/>
  </r>
  <r>
    <s v="ORD000360"/>
    <s v="PROD00022"/>
    <n v="2"/>
    <x v="6"/>
    <n v="27.05"/>
    <n v="54.1"/>
    <x v="142"/>
  </r>
  <r>
    <s v="ORD000360"/>
    <s v="PROD00200"/>
    <n v="1"/>
    <x v="6"/>
    <n v="30.95"/>
    <n v="30.95"/>
    <x v="18"/>
  </r>
  <r>
    <s v="ORD000360"/>
    <s v="PROD00222"/>
    <n v="1"/>
    <x v="6"/>
    <n v="93.44"/>
    <n v="93.44"/>
    <x v="164"/>
  </r>
  <r>
    <s v="ORD000360"/>
    <s v="PROD00407"/>
    <n v="1"/>
    <x v="6"/>
    <n v="10.07"/>
    <n v="10.07"/>
    <x v="59"/>
  </r>
  <r>
    <s v="ORD000361"/>
    <s v="PROD00414"/>
    <n v="1"/>
    <x v="6"/>
    <n v="67.33"/>
    <n v="67.33"/>
    <x v="167"/>
  </r>
  <r>
    <s v="ORD000362"/>
    <s v="PROD00205"/>
    <n v="1"/>
    <x v="5"/>
    <n v="52.53"/>
    <n v="52.53"/>
    <x v="285"/>
  </r>
  <r>
    <s v="ORD000363"/>
    <s v="PROD00231"/>
    <n v="1"/>
    <x v="1"/>
    <n v="59.4"/>
    <n v="59.4"/>
    <x v="286"/>
  </r>
  <r>
    <s v="ORD000364"/>
    <s v="PROD00089"/>
    <n v="1"/>
    <x v="6"/>
    <n v="43.42"/>
    <n v="43.42"/>
    <x v="161"/>
  </r>
  <r>
    <s v="ORD000365"/>
    <s v="PROD00158"/>
    <n v="1"/>
    <x v="3"/>
    <n v="88.29"/>
    <n v="88.29"/>
    <x v="84"/>
  </r>
  <r>
    <s v="ORD000365"/>
    <s v="PROD00232"/>
    <n v="1"/>
    <x v="6"/>
    <n v="75.099999999999994"/>
    <n v="75.099999999999994"/>
    <x v="114"/>
  </r>
  <r>
    <s v="ORD000366"/>
    <s v="PROD00186"/>
    <n v="2"/>
    <x v="8"/>
    <n v="18.989999999999998"/>
    <n v="37.979999999999997"/>
    <x v="287"/>
  </r>
  <r>
    <s v="ORD000366"/>
    <s v="PROD00405"/>
    <n v="1"/>
    <x v="6"/>
    <n v="99.85"/>
    <n v="99.85"/>
    <x v="280"/>
  </r>
  <r>
    <s v="ORD000367"/>
    <s v="PROD00024"/>
    <n v="2"/>
    <x v="6"/>
    <n v="23.99"/>
    <n v="47.98"/>
    <x v="109"/>
  </r>
  <r>
    <s v="ORD000367"/>
    <s v="PROD00444"/>
    <n v="1"/>
    <x v="6"/>
    <n v="20.55"/>
    <n v="20.55"/>
    <x v="115"/>
  </r>
  <r>
    <s v="ORD000368"/>
    <s v="PROD00080"/>
    <n v="1"/>
    <x v="7"/>
    <n v="39.36"/>
    <n v="39.36"/>
    <x v="197"/>
  </r>
  <r>
    <s v="ORD000368"/>
    <s v="PROD00298"/>
    <n v="1"/>
    <x v="3"/>
    <n v="63.55"/>
    <n v="63.55"/>
    <x v="272"/>
  </r>
  <r>
    <s v="ORD000369"/>
    <s v="PROD00070"/>
    <n v="1"/>
    <x v="6"/>
    <n v="117.79"/>
    <n v="117.79"/>
    <x v="125"/>
  </r>
  <r>
    <s v="ORD000370"/>
    <s v="PROD00135"/>
    <n v="1"/>
    <x v="6"/>
    <n v="48.81"/>
    <n v="48.81"/>
    <x v="106"/>
  </r>
  <r>
    <s v="ORD000371"/>
    <s v="PROD00214"/>
    <n v="1"/>
    <x v="6"/>
    <n v="32.67"/>
    <n v="32.67"/>
    <x v="80"/>
  </r>
  <r>
    <s v="ORD000371"/>
    <s v="PROD00349"/>
    <n v="1"/>
    <x v="2"/>
    <n v="15.83"/>
    <n v="15.83"/>
    <x v="251"/>
  </r>
  <r>
    <s v="ORD000371"/>
    <s v="PROD00407"/>
    <n v="2"/>
    <x v="6"/>
    <n v="10.07"/>
    <n v="20.14"/>
    <x v="59"/>
  </r>
  <r>
    <s v="ORD000372"/>
    <s v="PROD00081"/>
    <n v="2"/>
    <x v="1"/>
    <n v="20.59"/>
    <n v="41.18"/>
    <x v="7"/>
  </r>
  <r>
    <s v="ORD000372"/>
    <s v="PROD00424"/>
    <n v="2"/>
    <x v="6"/>
    <n v="25.41"/>
    <n v="50.82"/>
    <x v="103"/>
  </r>
  <r>
    <s v="ORD000373"/>
    <s v="PROD00156"/>
    <n v="1"/>
    <x v="5"/>
    <n v="37.99"/>
    <n v="37.99"/>
    <x v="96"/>
  </r>
  <r>
    <s v="ORD000373"/>
    <s v="PROD00444"/>
    <n v="2"/>
    <x v="6"/>
    <n v="20.55"/>
    <n v="41.1"/>
    <x v="115"/>
  </r>
  <r>
    <s v="ORD000374"/>
    <s v="PROD00067"/>
    <n v="1"/>
    <x v="8"/>
    <n v="23.3"/>
    <n v="23.3"/>
    <x v="242"/>
  </r>
  <r>
    <s v="ORD000375"/>
    <s v="PROD00323"/>
    <n v="1"/>
    <x v="7"/>
    <n v="21.81"/>
    <n v="21.81"/>
    <x v="48"/>
  </r>
  <r>
    <s v="ORD000376"/>
    <s v="PROD00031"/>
    <n v="1"/>
    <x v="6"/>
    <n v="43.27"/>
    <n v="43.27"/>
    <x v="278"/>
  </r>
  <r>
    <s v="ORD000377"/>
    <s v="PROD00093"/>
    <n v="2"/>
    <x v="4"/>
    <n v="12.88"/>
    <n v="25.76"/>
    <x v="52"/>
  </r>
  <r>
    <s v="ORD000377"/>
    <s v="PROD00200"/>
    <n v="2"/>
    <x v="6"/>
    <n v="30.95"/>
    <n v="61.9"/>
    <x v="18"/>
  </r>
  <r>
    <s v="ORD000377"/>
    <s v="PROD00240"/>
    <n v="1"/>
    <x v="6"/>
    <n v="51.74"/>
    <n v="51.74"/>
    <x v="9"/>
  </r>
  <r>
    <s v="ORD000377"/>
    <s v="PROD00272"/>
    <n v="1"/>
    <x v="2"/>
    <n v="13.25"/>
    <n v="13.25"/>
    <x v="162"/>
  </r>
  <r>
    <s v="ORD000378"/>
    <s v="PROD00017"/>
    <n v="1"/>
    <x v="6"/>
    <n v="13.71"/>
    <n v="13.71"/>
    <x v="99"/>
  </r>
  <r>
    <s v="ORD000380"/>
    <s v="PROD00013"/>
    <n v="2"/>
    <x v="9"/>
    <n v="37.4"/>
    <n v="74.8"/>
    <x v="288"/>
  </r>
  <r>
    <s v="ORD000380"/>
    <s v="PROD00042"/>
    <n v="1"/>
    <x v="6"/>
    <n v="38.39"/>
    <n v="38.39"/>
    <x v="108"/>
  </r>
  <r>
    <s v="ORD000380"/>
    <s v="PROD00334"/>
    <n v="1"/>
    <x v="9"/>
    <n v="75.05"/>
    <n v="75.05"/>
    <x v="261"/>
  </r>
  <r>
    <s v="ORD000381"/>
    <s v="PROD00032"/>
    <n v="2"/>
    <x v="6"/>
    <n v="115.39"/>
    <n v="230.78"/>
    <x v="101"/>
  </r>
  <r>
    <s v="ORD000381"/>
    <s v="PROD00094"/>
    <n v="1"/>
    <x v="6"/>
    <n v="40.83"/>
    <n v="40.83"/>
    <x v="139"/>
  </r>
  <r>
    <s v="ORD000381"/>
    <s v="PROD00268"/>
    <n v="1"/>
    <x v="2"/>
    <n v="16.11"/>
    <n v="16.11"/>
    <x v="289"/>
  </r>
  <r>
    <s v="ORD000382"/>
    <s v="PROD00387"/>
    <n v="1"/>
    <x v="0"/>
    <n v="21.89"/>
    <n v="21.89"/>
    <x v="158"/>
  </r>
  <r>
    <s v="ORD000383"/>
    <s v="PROD00042"/>
    <n v="1"/>
    <x v="6"/>
    <n v="38.39"/>
    <n v="38.39"/>
    <x v="108"/>
  </r>
  <r>
    <s v="ORD000384"/>
    <s v="PROD00017"/>
    <n v="2"/>
    <x v="6"/>
    <n v="13.71"/>
    <n v="27.42"/>
    <x v="99"/>
  </r>
  <r>
    <s v="ORD000384"/>
    <s v="PROD00235"/>
    <n v="2"/>
    <x v="5"/>
    <n v="20.75"/>
    <n v="41.5"/>
    <x v="186"/>
  </r>
  <r>
    <s v="ORD000385"/>
    <s v="PROD00010"/>
    <n v="1"/>
    <x v="5"/>
    <n v="30.71"/>
    <n v="30.71"/>
    <x v="81"/>
  </r>
  <r>
    <s v="ORD000385"/>
    <s v="PROD00116"/>
    <n v="1"/>
    <x v="6"/>
    <n v="55.56"/>
    <n v="55.56"/>
    <x v="290"/>
  </r>
  <r>
    <s v="ORD000386"/>
    <s v="PROD00070"/>
    <n v="1"/>
    <x v="6"/>
    <n v="117.79"/>
    <n v="117.79"/>
    <x v="125"/>
  </r>
  <r>
    <s v="ORD000387"/>
    <s v="PROD00259"/>
    <n v="1"/>
    <x v="2"/>
    <n v="22.28"/>
    <n v="22.28"/>
    <x v="258"/>
  </r>
  <r>
    <s v="ORD000388"/>
    <s v="PROD00091"/>
    <n v="1"/>
    <x v="5"/>
    <n v="27.76"/>
    <n v="27.76"/>
    <x v="263"/>
  </r>
  <r>
    <s v="ORD000388"/>
    <s v="PROD00210"/>
    <n v="1"/>
    <x v="5"/>
    <n v="53.17"/>
    <n v="53.17"/>
    <x v="291"/>
  </r>
  <r>
    <s v="ORD000389"/>
    <s v="PROD00256"/>
    <n v="1"/>
    <x v="6"/>
    <n v="48.14"/>
    <n v="48.14"/>
    <x v="183"/>
  </r>
  <r>
    <s v="ORD000389"/>
    <s v="PROD00426"/>
    <n v="1"/>
    <x v="6"/>
    <n v="27.32"/>
    <n v="27.32"/>
    <x v="55"/>
  </r>
  <r>
    <s v="ORD000389"/>
    <s v="PROD00439"/>
    <n v="1"/>
    <x v="6"/>
    <n v="60.6"/>
    <n v="60.6"/>
    <x v="193"/>
  </r>
  <r>
    <s v="ORD000390"/>
    <s v="PROD00031"/>
    <n v="1"/>
    <x v="6"/>
    <n v="43.27"/>
    <n v="43.27"/>
    <x v="278"/>
  </r>
  <r>
    <s v="ORD000390"/>
    <s v="PROD00391"/>
    <n v="2"/>
    <x v="0"/>
    <n v="48.51"/>
    <n v="97.02"/>
    <x v="292"/>
  </r>
  <r>
    <s v="ORD000390"/>
    <s v="PROD00441"/>
    <n v="1"/>
    <x v="6"/>
    <n v="26.7"/>
    <n v="26.7"/>
    <x v="111"/>
  </r>
  <r>
    <s v="ORD000391"/>
    <s v="PROD00060"/>
    <n v="1"/>
    <x v="2"/>
    <n v="13.58"/>
    <n v="13.58"/>
    <x v="293"/>
  </r>
  <r>
    <s v="ORD000391"/>
    <s v="PROD00066"/>
    <n v="1"/>
    <x v="6"/>
    <n v="21.37"/>
    <n v="21.37"/>
    <x v="105"/>
  </r>
  <r>
    <s v="ORD000392"/>
    <s v="PROD00032"/>
    <n v="1"/>
    <x v="6"/>
    <n v="115.39"/>
    <n v="115.39"/>
    <x v="101"/>
  </r>
  <r>
    <s v="ORD000392"/>
    <s v="PROD00407"/>
    <n v="1"/>
    <x v="6"/>
    <n v="10.07"/>
    <n v="10.07"/>
    <x v="59"/>
  </r>
  <r>
    <s v="ORD000393"/>
    <s v="PROD00024"/>
    <n v="1"/>
    <x v="6"/>
    <n v="23.99"/>
    <n v="23.99"/>
    <x v="109"/>
  </r>
  <r>
    <s v="ORD000393"/>
    <s v="PROD00068"/>
    <n v="1"/>
    <x v="7"/>
    <n v="16.940000000000001"/>
    <n v="16.940000000000001"/>
    <x v="294"/>
  </r>
  <r>
    <s v="ORD000393"/>
    <s v="PROD00284"/>
    <n v="1"/>
    <x v="5"/>
    <n v="33.89"/>
    <n v="33.89"/>
    <x v="295"/>
  </r>
  <r>
    <s v="ORD000394"/>
    <s v="PROD00017"/>
    <n v="1"/>
    <x v="6"/>
    <n v="13.71"/>
    <n v="13.71"/>
    <x v="99"/>
  </r>
  <r>
    <s v="ORD000394"/>
    <s v="PROD00333"/>
    <n v="1"/>
    <x v="7"/>
    <n v="32.299999999999997"/>
    <n v="32.299999999999997"/>
    <x v="277"/>
  </r>
  <r>
    <s v="ORD000395"/>
    <s v="PROD00197"/>
    <n v="1"/>
    <x v="9"/>
    <n v="40.75"/>
    <n v="40.75"/>
    <x v="27"/>
  </r>
  <r>
    <s v="ORD000396"/>
    <s v="PROD00217"/>
    <n v="1"/>
    <x v="1"/>
    <n v="54.03"/>
    <n v="54.03"/>
    <x v="296"/>
  </r>
  <r>
    <s v="ORD000396"/>
    <s v="PROD00232"/>
    <n v="1"/>
    <x v="6"/>
    <n v="75.099999999999994"/>
    <n v="75.099999999999994"/>
    <x v="114"/>
  </r>
  <r>
    <s v="ORD000397"/>
    <s v="PROD00214"/>
    <n v="2"/>
    <x v="6"/>
    <n v="32.67"/>
    <n v="65.34"/>
    <x v="80"/>
  </r>
  <r>
    <s v="ORD000397"/>
    <s v="PROD00461"/>
    <n v="1"/>
    <x v="6"/>
    <n v="21"/>
    <n v="21"/>
    <x v="297"/>
  </r>
  <r>
    <s v="ORD000398"/>
    <s v="PROD00042"/>
    <n v="1"/>
    <x v="6"/>
    <n v="38.39"/>
    <n v="38.39"/>
    <x v="108"/>
  </r>
  <r>
    <s v="ORD000399"/>
    <s v="PROD00407"/>
    <n v="1"/>
    <x v="6"/>
    <n v="10.07"/>
    <n v="10.07"/>
    <x v="59"/>
  </r>
  <r>
    <s v="ORD000400"/>
    <s v="PROD00152"/>
    <n v="1"/>
    <x v="5"/>
    <n v="42.11"/>
    <n v="42.11"/>
    <x v="298"/>
  </r>
  <r>
    <s v="ORD000401"/>
    <s v="PROD00416"/>
    <n v="1"/>
    <x v="6"/>
    <n v="63.89"/>
    <n v="63.89"/>
    <x v="95"/>
  </r>
  <r>
    <s v="ORD000402"/>
    <s v="PROD00406"/>
    <n v="1"/>
    <x v="6"/>
    <n v="23.33"/>
    <n v="23.33"/>
    <x v="149"/>
  </r>
  <r>
    <s v="ORD000403"/>
    <s v="PROD00066"/>
    <n v="1"/>
    <x v="6"/>
    <n v="21.37"/>
    <n v="21.37"/>
    <x v="105"/>
  </r>
  <r>
    <s v="ORD000403"/>
    <s v="PROD00384"/>
    <n v="1"/>
    <x v="0"/>
    <n v="116.81"/>
    <n v="116.81"/>
    <x v="228"/>
  </r>
  <r>
    <s v="ORD000403"/>
    <s v="PROD00407"/>
    <n v="1"/>
    <x v="6"/>
    <n v="10.07"/>
    <n v="10.07"/>
    <x v="59"/>
  </r>
  <r>
    <s v="ORD000404"/>
    <s v="PROD00407"/>
    <n v="1"/>
    <x v="6"/>
    <n v="10.07"/>
    <n v="10.07"/>
    <x v="59"/>
  </r>
  <r>
    <s v="ORD000405"/>
    <s v="PROD00098"/>
    <n v="1"/>
    <x v="6"/>
    <n v="115.39"/>
    <n v="115.39"/>
    <x v="101"/>
  </r>
  <r>
    <s v="ORD000406"/>
    <s v="PROD00416"/>
    <n v="1"/>
    <x v="6"/>
    <n v="63.89"/>
    <n v="63.89"/>
    <x v="95"/>
  </r>
  <r>
    <s v="ORD000407"/>
    <s v="PROD00232"/>
    <n v="1"/>
    <x v="6"/>
    <n v="75.099999999999994"/>
    <n v="75.099999999999994"/>
    <x v="114"/>
  </r>
  <r>
    <s v="ORD000407"/>
    <s v="PROD00284"/>
    <n v="1"/>
    <x v="5"/>
    <n v="33.89"/>
    <n v="33.89"/>
    <x v="295"/>
  </r>
  <r>
    <s v="ORD000408"/>
    <s v="PROD00416"/>
    <n v="1"/>
    <x v="6"/>
    <n v="63.89"/>
    <n v="63.89"/>
    <x v="95"/>
  </r>
  <r>
    <s v="ORD000409"/>
    <s v="PROD00017"/>
    <n v="1"/>
    <x v="6"/>
    <n v="13.71"/>
    <n v="13.71"/>
    <x v="99"/>
  </r>
  <r>
    <s v="ORD000409"/>
    <s v="PROD00421"/>
    <n v="1"/>
    <x v="6"/>
    <n v="66.94"/>
    <n v="66.94"/>
    <x v="154"/>
  </r>
  <r>
    <s v="ORD000410"/>
    <s v="PROD00176"/>
    <n v="1"/>
    <x v="6"/>
    <n v="34.86"/>
    <n v="34.86"/>
    <x v="163"/>
  </r>
  <r>
    <s v="ORD000411"/>
    <s v="PROD00200"/>
    <n v="1"/>
    <x v="6"/>
    <n v="30.95"/>
    <n v="30.95"/>
    <x v="18"/>
  </r>
  <r>
    <s v="ORD000411"/>
    <s v="PROD00405"/>
    <n v="2"/>
    <x v="6"/>
    <n v="99.85"/>
    <n v="199.7"/>
    <x v="280"/>
  </r>
  <r>
    <s v="ORD000412"/>
    <s v="PROD00314"/>
    <n v="1"/>
    <x v="3"/>
    <n v="63.84"/>
    <n v="63.84"/>
    <x v="232"/>
  </r>
  <r>
    <s v="ORD000412"/>
    <s v="PROD00386"/>
    <n v="1"/>
    <x v="0"/>
    <n v="65.459999999999994"/>
    <n v="65.459999999999994"/>
    <x v="224"/>
  </r>
  <r>
    <s v="ORD000413"/>
    <s v="PROD00423"/>
    <n v="1"/>
    <x v="6"/>
    <n v="97.17"/>
    <n v="97.17"/>
    <x v="237"/>
  </r>
  <r>
    <s v="ORD000414"/>
    <s v="PROD00006"/>
    <n v="1"/>
    <x v="4"/>
    <n v="4.47"/>
    <n v="4.47"/>
    <x v="146"/>
  </r>
  <r>
    <s v="ORD000414"/>
    <s v="PROD00424"/>
    <n v="2"/>
    <x v="6"/>
    <n v="25.41"/>
    <n v="50.82"/>
    <x v="103"/>
  </r>
  <r>
    <s v="ORD000415"/>
    <s v="PROD00235"/>
    <n v="1"/>
    <x v="5"/>
    <n v="20.75"/>
    <n v="20.75"/>
    <x v="186"/>
  </r>
  <r>
    <s v="ORD000415"/>
    <s v="PROD00342"/>
    <n v="1"/>
    <x v="9"/>
    <n v="60.86"/>
    <n v="60.86"/>
    <x v="70"/>
  </r>
  <r>
    <s v="ORD000416"/>
    <s v="PROD00018"/>
    <n v="1"/>
    <x v="6"/>
    <n v="40.119999999999997"/>
    <n v="40.119999999999997"/>
    <x v="120"/>
  </r>
  <r>
    <s v="ORD000417"/>
    <s v="PROD00431"/>
    <n v="1"/>
    <x v="6"/>
    <n v="55.99"/>
    <n v="55.99"/>
    <x v="271"/>
  </r>
  <r>
    <s v="ORD000418"/>
    <s v="PROD00042"/>
    <n v="1"/>
    <x v="6"/>
    <n v="38.39"/>
    <n v="38.39"/>
    <x v="108"/>
  </r>
  <r>
    <s v="ORD000419"/>
    <s v="PROD00017"/>
    <n v="1"/>
    <x v="6"/>
    <n v="13.71"/>
    <n v="13.71"/>
    <x v="99"/>
  </r>
  <r>
    <s v="ORD000419"/>
    <s v="PROD00403"/>
    <n v="1"/>
    <x v="6"/>
    <n v="48.82"/>
    <n v="48.82"/>
    <x v="299"/>
  </r>
  <r>
    <s v="ORD000420"/>
    <s v="PROD00404"/>
    <n v="1"/>
    <x v="6"/>
    <n v="81.02"/>
    <n v="81.02"/>
    <x v="30"/>
  </r>
  <r>
    <s v="ORD000421"/>
    <s v="PROD00407"/>
    <n v="1"/>
    <x v="6"/>
    <n v="10.07"/>
    <n v="10.07"/>
    <x v="59"/>
  </r>
  <r>
    <s v="ORD000422"/>
    <s v="PROD00020"/>
    <n v="1"/>
    <x v="6"/>
    <n v="15.05"/>
    <n v="15.05"/>
    <x v="140"/>
  </r>
  <r>
    <s v="ORD000424"/>
    <s v="PROD00436"/>
    <n v="1"/>
    <x v="9"/>
    <n v="20.39"/>
    <n v="20.39"/>
    <x v="300"/>
  </r>
  <r>
    <s v="ORD000425"/>
    <s v="PROD00089"/>
    <n v="1"/>
    <x v="6"/>
    <n v="43.42"/>
    <n v="43.42"/>
    <x v="161"/>
  </r>
  <r>
    <s v="ORD000426"/>
    <s v="PROD00214"/>
    <n v="1"/>
    <x v="6"/>
    <n v="32.67"/>
    <n v="32.67"/>
    <x v="80"/>
  </r>
  <r>
    <s v="ORD000427"/>
    <s v="PROD00107"/>
    <n v="1"/>
    <x v="5"/>
    <n v="41.73"/>
    <n v="41.73"/>
    <x v="245"/>
  </r>
  <r>
    <s v="ORD000427"/>
    <s v="PROD00126"/>
    <n v="1"/>
    <x v="4"/>
    <n v="5.49"/>
    <n v="5.49"/>
    <x v="168"/>
  </r>
  <r>
    <s v="ORD000428"/>
    <s v="PROD00448"/>
    <n v="1"/>
    <x v="4"/>
    <n v="5.1100000000000003"/>
    <n v="5.1100000000000003"/>
    <x v="65"/>
  </r>
  <r>
    <s v="ORD000429"/>
    <s v="PROD00135"/>
    <n v="1"/>
    <x v="6"/>
    <n v="48.81"/>
    <n v="48.81"/>
    <x v="106"/>
  </r>
  <r>
    <s v="ORD000430"/>
    <s v="PROD00057"/>
    <n v="1"/>
    <x v="3"/>
    <n v="26.58"/>
    <n v="26.58"/>
    <x v="92"/>
  </r>
  <r>
    <s v="ORD000430"/>
    <s v="PROD00189"/>
    <n v="1"/>
    <x v="6"/>
    <n v="35.08"/>
    <n v="35.08"/>
    <x v="301"/>
  </r>
  <r>
    <s v="ORD000430"/>
    <s v="PROD00313"/>
    <n v="2"/>
    <x v="3"/>
    <n v="63.84"/>
    <n v="127.68"/>
    <x v="66"/>
  </r>
  <r>
    <s v="ORD000430"/>
    <s v="PROD00372"/>
    <n v="1"/>
    <x v="0"/>
    <n v="119.75"/>
    <n v="119.75"/>
    <x v="302"/>
  </r>
  <r>
    <s v="ORD000431"/>
    <s v="PROD00128"/>
    <n v="2"/>
    <x v="7"/>
    <n v="37.340000000000003"/>
    <n v="74.680000000000007"/>
    <x v="74"/>
  </r>
  <r>
    <s v="ORD000431"/>
    <s v="PROD00306"/>
    <n v="1"/>
    <x v="3"/>
    <n v="92.77"/>
    <n v="92.77"/>
    <x v="83"/>
  </r>
  <r>
    <s v="ORD000433"/>
    <s v="PROD00184"/>
    <n v="1"/>
    <x v="0"/>
    <n v="83.03"/>
    <n v="83.03"/>
    <x v="303"/>
  </r>
  <r>
    <s v="ORD000434"/>
    <s v="PROD00152"/>
    <n v="1"/>
    <x v="5"/>
    <n v="42.11"/>
    <n v="42.11"/>
    <x v="298"/>
  </r>
  <r>
    <s v="ORD000435"/>
    <s v="PROD00100"/>
    <n v="1"/>
    <x v="1"/>
    <n v="58.45"/>
    <n v="58.45"/>
    <x v="262"/>
  </r>
  <r>
    <s v="ORD000435"/>
    <s v="PROD00319"/>
    <n v="1"/>
    <x v="7"/>
    <n v="24.92"/>
    <n v="24.92"/>
    <x v="188"/>
  </r>
  <r>
    <s v="ORD000436"/>
    <s v="PROD00264"/>
    <n v="1"/>
    <x v="2"/>
    <n v="32.26"/>
    <n v="32.26"/>
    <x v="45"/>
  </r>
  <r>
    <s v="ORD000436"/>
    <s v="PROD00269"/>
    <n v="2"/>
    <x v="2"/>
    <n v="26.2"/>
    <n v="52.4"/>
    <x v="45"/>
  </r>
  <r>
    <s v="ORD000436"/>
    <s v="PROD00393"/>
    <n v="1"/>
    <x v="1"/>
    <n v="49.13"/>
    <n v="49.13"/>
    <x v="275"/>
  </r>
  <r>
    <s v="ORD000437"/>
    <s v="PROD00107"/>
    <n v="1"/>
    <x v="5"/>
    <n v="41.73"/>
    <n v="41.73"/>
    <x v="245"/>
  </r>
  <r>
    <s v="ORD000438"/>
    <s v="PROD00382"/>
    <n v="1"/>
    <x v="0"/>
    <n v="85.1"/>
    <n v="85.1"/>
    <x v="58"/>
  </r>
  <r>
    <s v="ORD000438"/>
    <s v="PROD00459"/>
    <n v="1"/>
    <x v="8"/>
    <n v="26.48"/>
    <n v="26.48"/>
    <x v="297"/>
  </r>
  <r>
    <s v="ORD000439"/>
    <s v="PROD00200"/>
    <n v="2"/>
    <x v="6"/>
    <n v="30.95"/>
    <n v="61.9"/>
    <x v="18"/>
  </r>
  <r>
    <s v="ORD000439"/>
    <s v="PROD00253"/>
    <n v="2"/>
    <x v="7"/>
    <n v="19.09"/>
    <n v="38.18"/>
    <x v="72"/>
  </r>
  <r>
    <s v="ORD000439"/>
    <s v="PROD00307"/>
    <n v="1"/>
    <x v="3"/>
    <n v="63.84"/>
    <n v="63.84"/>
    <x v="122"/>
  </r>
  <r>
    <s v="ORD000440"/>
    <s v="PROD00315"/>
    <n v="2"/>
    <x v="3"/>
    <n v="36.57"/>
    <n v="73.14"/>
    <x v="29"/>
  </r>
  <r>
    <s v="ORD000440"/>
    <s v="PROD00367"/>
    <n v="1"/>
    <x v="0"/>
    <n v="29.92"/>
    <n v="29.92"/>
    <x v="268"/>
  </r>
  <r>
    <s v="ORD000440"/>
    <s v="PROD00431"/>
    <n v="1"/>
    <x v="6"/>
    <n v="55.99"/>
    <n v="55.99"/>
    <x v="271"/>
  </r>
  <r>
    <s v="ORD000441"/>
    <s v="PROD00297"/>
    <n v="1"/>
    <x v="3"/>
    <n v="97.88"/>
    <n v="97.88"/>
    <x v="75"/>
  </r>
  <r>
    <s v="ORD000442"/>
    <s v="PROD00008"/>
    <n v="1"/>
    <x v="8"/>
    <n v="38.25"/>
    <n v="38.25"/>
    <x v="196"/>
  </r>
  <r>
    <s v="ORD000442"/>
    <s v="PROD00222"/>
    <n v="1"/>
    <x v="6"/>
    <n v="93.44"/>
    <n v="93.44"/>
    <x v="164"/>
  </r>
  <r>
    <s v="ORD000443"/>
    <s v="PROD00343"/>
    <n v="1"/>
    <x v="9"/>
    <n v="77.97"/>
    <n v="77.97"/>
    <x v="304"/>
  </r>
  <r>
    <s v="ORD000444"/>
    <s v="PROD00019"/>
    <n v="1"/>
    <x v="2"/>
    <n v="10.94"/>
    <n v="10.94"/>
    <x v="10"/>
  </r>
  <r>
    <s v="ORD000445"/>
    <s v="PROD00227"/>
    <n v="1"/>
    <x v="7"/>
    <n v="19.03"/>
    <n v="19.03"/>
    <x v="248"/>
  </r>
  <r>
    <s v="ORD000445"/>
    <s v="PROD00237"/>
    <n v="1"/>
    <x v="4"/>
    <n v="2.1800000000000002"/>
    <n v="2.1800000000000002"/>
    <x v="147"/>
  </r>
  <r>
    <s v="ORD000446"/>
    <s v="PROD00095"/>
    <n v="1"/>
    <x v="8"/>
    <n v="20.13"/>
    <n v="20.13"/>
    <x v="305"/>
  </r>
  <r>
    <s v="ORD000447"/>
    <s v="PROD00195"/>
    <n v="1"/>
    <x v="2"/>
    <n v="25.78"/>
    <n v="25.78"/>
    <x v="98"/>
  </r>
  <r>
    <s v="ORD000447"/>
    <s v="PROD00252"/>
    <n v="1"/>
    <x v="5"/>
    <n v="56.67"/>
    <n v="56.67"/>
    <x v="273"/>
  </r>
  <r>
    <s v="ORD000448"/>
    <s v="PROD00137"/>
    <n v="1"/>
    <x v="4"/>
    <n v="7.57"/>
    <n v="7.57"/>
    <x v="37"/>
  </r>
  <r>
    <s v="ORD000448"/>
    <s v="PROD00173"/>
    <n v="1"/>
    <x v="1"/>
    <n v="29"/>
    <n v="29"/>
    <x v="208"/>
  </r>
  <r>
    <s v="ORD000449"/>
    <s v="PROD00024"/>
    <n v="1"/>
    <x v="6"/>
    <n v="23.99"/>
    <n v="23.99"/>
    <x v="109"/>
  </r>
  <r>
    <s v="ORD000449"/>
    <s v="PROD00286"/>
    <n v="1"/>
    <x v="5"/>
    <n v="54.51"/>
    <n v="54.51"/>
    <x v="93"/>
  </r>
  <r>
    <s v="ORD000450"/>
    <s v="PROD00286"/>
    <n v="2"/>
    <x v="5"/>
    <n v="54.51"/>
    <n v="109.02"/>
    <x v="93"/>
  </r>
  <r>
    <s v="ORD000451"/>
    <s v="PROD00121"/>
    <n v="1"/>
    <x v="0"/>
    <n v="16.809999999999999"/>
    <n v="16.809999999999999"/>
    <x v="306"/>
  </r>
  <r>
    <s v="ORD000452"/>
    <s v="PROD00073"/>
    <n v="1"/>
    <x v="6"/>
    <n v="31.66"/>
    <n v="31.66"/>
    <x v="202"/>
  </r>
  <r>
    <s v="ORD000452"/>
    <s v="PROD00456"/>
    <n v="1"/>
    <x v="8"/>
    <n v="17.5"/>
    <n v="17.5"/>
    <x v="307"/>
  </r>
  <r>
    <s v="ORD000453"/>
    <s v="PROD00085"/>
    <n v="1"/>
    <x v="7"/>
    <n v="22.33"/>
    <n v="22.33"/>
    <x v="222"/>
  </r>
  <r>
    <s v="ORD000453"/>
    <s v="PROD00240"/>
    <n v="1"/>
    <x v="6"/>
    <n v="51.74"/>
    <n v="51.74"/>
    <x v="9"/>
  </r>
  <r>
    <s v="ORD000453"/>
    <s v="PROD00374"/>
    <n v="2"/>
    <x v="0"/>
    <n v="100.7"/>
    <n v="201.4"/>
    <x v="110"/>
  </r>
  <r>
    <s v="ORD000454"/>
    <s v="PROD00360"/>
    <n v="1"/>
    <x v="0"/>
    <n v="20.79"/>
    <n v="20.79"/>
    <x v="22"/>
  </r>
  <r>
    <s v="ORD000454"/>
    <s v="PROD00397"/>
    <n v="1"/>
    <x v="1"/>
    <n v="37.76"/>
    <n v="37.76"/>
    <x v="68"/>
  </r>
  <r>
    <s v="ORD000455"/>
    <s v="PROD00143"/>
    <n v="1"/>
    <x v="9"/>
    <n v="49.21"/>
    <n v="49.21"/>
    <x v="308"/>
  </r>
  <r>
    <s v="ORD000456"/>
    <s v="PROD00272"/>
    <n v="1"/>
    <x v="2"/>
    <n v="13.25"/>
    <n v="13.25"/>
    <x v="162"/>
  </r>
  <r>
    <s v="ORD000456"/>
    <s v="PROD00368"/>
    <n v="1"/>
    <x v="0"/>
    <n v="101.55"/>
    <n v="101.55"/>
    <x v="217"/>
  </r>
  <r>
    <s v="ORD000457"/>
    <s v="PROD00130"/>
    <n v="2"/>
    <x v="8"/>
    <n v="12.31"/>
    <n v="24.62"/>
    <x v="244"/>
  </r>
  <r>
    <s v="ORD000457"/>
    <s v="PROD00138"/>
    <n v="1"/>
    <x v="4"/>
    <n v="8.36"/>
    <n v="8.36"/>
    <x v="309"/>
  </r>
  <r>
    <s v="ORD000457"/>
    <s v="PROD00170"/>
    <n v="1"/>
    <x v="6"/>
    <n v="75.239999999999995"/>
    <n v="75.239999999999995"/>
    <x v="165"/>
  </r>
  <r>
    <s v="ORD000457"/>
    <s v="PROD00176"/>
    <n v="1"/>
    <x v="6"/>
    <n v="34.86"/>
    <n v="34.86"/>
    <x v="163"/>
  </r>
  <r>
    <s v="ORD000457"/>
    <s v="PROD00453"/>
    <n v="1"/>
    <x v="4"/>
    <n v="14.36"/>
    <n v="14.36"/>
    <x v="241"/>
  </r>
  <r>
    <s v="ORD000458"/>
    <s v="PROD00214"/>
    <n v="1"/>
    <x v="6"/>
    <n v="32.67"/>
    <n v="32.67"/>
    <x v="80"/>
  </r>
  <r>
    <s v="ORD000458"/>
    <s v="PROD00227"/>
    <n v="1"/>
    <x v="7"/>
    <n v="19.03"/>
    <n v="19.03"/>
    <x v="248"/>
  </r>
  <r>
    <s v="ORD000459"/>
    <s v="PROD00093"/>
    <n v="1"/>
    <x v="4"/>
    <n v="12.88"/>
    <n v="12.88"/>
    <x v="52"/>
  </r>
  <r>
    <s v="ORD000459"/>
    <s v="PROD00170"/>
    <n v="1"/>
    <x v="6"/>
    <n v="75.239999999999995"/>
    <n v="75.239999999999995"/>
    <x v="165"/>
  </r>
  <r>
    <s v="ORD000459"/>
    <s v="PROD00231"/>
    <n v="1"/>
    <x v="1"/>
    <n v="59.4"/>
    <n v="59.4"/>
    <x v="286"/>
  </r>
  <r>
    <s v="ORD000460"/>
    <s v="PROD00027"/>
    <n v="1"/>
    <x v="1"/>
    <n v="28.22"/>
    <n v="28.22"/>
    <x v="143"/>
  </r>
  <r>
    <s v="ORD000460"/>
    <s v="PROD00239"/>
    <n v="1"/>
    <x v="9"/>
    <n v="79.16"/>
    <n v="79.16"/>
    <x v="62"/>
  </r>
  <r>
    <s v="ORD000460"/>
    <s v="PROD00324"/>
    <n v="2"/>
    <x v="7"/>
    <n v="33.89"/>
    <n v="67.78"/>
    <x v="13"/>
  </r>
  <r>
    <s v="ORD000461"/>
    <s v="PROD00151"/>
    <n v="1"/>
    <x v="8"/>
    <n v="24.94"/>
    <n v="24.94"/>
    <x v="310"/>
  </r>
  <r>
    <s v="ORD000462"/>
    <s v="PROD00326"/>
    <n v="1"/>
    <x v="7"/>
    <n v="32.71"/>
    <n v="32.71"/>
    <x v="311"/>
  </r>
  <r>
    <s v="ORD000463"/>
    <s v="PROD00067"/>
    <n v="1"/>
    <x v="8"/>
    <n v="23.3"/>
    <n v="23.3"/>
    <x v="242"/>
  </r>
  <r>
    <s v="ORD000464"/>
    <s v="PROD00447"/>
    <n v="1"/>
    <x v="4"/>
    <n v="3.23"/>
    <n v="3.23"/>
    <x v="312"/>
  </r>
  <r>
    <s v="ORD000465"/>
    <s v="PROD00218"/>
    <n v="1"/>
    <x v="2"/>
    <n v="22.23"/>
    <n v="22.23"/>
    <x v="313"/>
  </r>
  <r>
    <s v="ORD000466"/>
    <s v="PROD00351"/>
    <n v="1"/>
    <x v="2"/>
    <n v="17.829999999999998"/>
    <n v="17.829999999999998"/>
    <x v="119"/>
  </r>
  <r>
    <s v="ORD000467"/>
    <s v="PROD00043"/>
    <n v="1"/>
    <x v="6"/>
    <n v="55.89"/>
    <n v="55.89"/>
    <x v="215"/>
  </r>
  <r>
    <s v="ORD000467"/>
    <s v="PROD00256"/>
    <n v="1"/>
    <x v="6"/>
    <n v="48.14"/>
    <n v="48.14"/>
    <x v="183"/>
  </r>
  <r>
    <s v="ORD000468"/>
    <s v="PROD00306"/>
    <n v="1"/>
    <x v="3"/>
    <n v="92.77"/>
    <n v="92.77"/>
    <x v="83"/>
  </r>
  <r>
    <s v="ORD000469"/>
    <s v="PROD00342"/>
    <n v="1"/>
    <x v="9"/>
    <n v="60.86"/>
    <n v="60.86"/>
    <x v="70"/>
  </r>
  <r>
    <s v="ORD000470"/>
    <s v="PROD00304"/>
    <n v="1"/>
    <x v="3"/>
    <n v="115.55"/>
    <n v="115.55"/>
    <x v="83"/>
  </r>
  <r>
    <s v="ORD000471"/>
    <s v="PROD00200"/>
    <n v="1"/>
    <x v="6"/>
    <n v="30.95"/>
    <n v="30.95"/>
    <x v="18"/>
  </r>
  <r>
    <s v="ORD000471"/>
    <s v="PROD00442"/>
    <n v="1"/>
    <x v="6"/>
    <n v="44.92"/>
    <n v="44.92"/>
    <x v="111"/>
  </r>
  <r>
    <s v="ORD000472"/>
    <s v="PROD00315"/>
    <n v="1"/>
    <x v="3"/>
    <n v="36.57"/>
    <n v="36.57"/>
    <x v="29"/>
  </r>
  <r>
    <s v="ORD000472"/>
    <s v="PROD00401"/>
    <n v="1"/>
    <x v="1"/>
    <n v="39.04"/>
    <n v="39.04"/>
    <x v="38"/>
  </r>
  <r>
    <s v="ORD000472"/>
    <s v="PROD00404"/>
    <n v="1"/>
    <x v="6"/>
    <n v="81.02"/>
    <n v="81.02"/>
    <x v="30"/>
  </r>
  <r>
    <s v="ORD000473"/>
    <s v="PROD00143"/>
    <n v="1"/>
    <x v="9"/>
    <n v="49.21"/>
    <n v="49.21"/>
    <x v="308"/>
  </r>
  <r>
    <s v="ORD000474"/>
    <s v="PROD00228"/>
    <n v="1"/>
    <x v="0"/>
    <n v="64.55"/>
    <n v="64.55"/>
    <x v="20"/>
  </r>
  <r>
    <s v="ORD000474"/>
    <s v="PROD00276"/>
    <n v="2"/>
    <x v="5"/>
    <n v="44.13"/>
    <n v="88.26"/>
    <x v="33"/>
  </r>
  <r>
    <s v="ORD000475"/>
    <s v="PROD00308"/>
    <n v="1"/>
    <x v="3"/>
    <n v="63.84"/>
    <n v="63.84"/>
    <x v="232"/>
  </r>
  <r>
    <s v="ORD000476"/>
    <s v="PROD00362"/>
    <n v="1"/>
    <x v="0"/>
    <n v="115.49"/>
    <n v="115.49"/>
    <x v="26"/>
  </r>
  <r>
    <s v="ORD000476"/>
    <s v="PROD00430"/>
    <n v="1"/>
    <x v="6"/>
    <n v="96.77"/>
    <n v="96.77"/>
    <x v="314"/>
  </r>
  <r>
    <s v="ORD000477"/>
    <s v="PROD00087"/>
    <n v="1"/>
    <x v="0"/>
    <n v="82.88"/>
    <n v="82.88"/>
    <x v="31"/>
  </r>
  <r>
    <s v="ORD000478"/>
    <s v="PROD00105"/>
    <n v="1"/>
    <x v="9"/>
    <n v="26.98"/>
    <n v="26.98"/>
    <x v="315"/>
  </r>
  <r>
    <s v="ORD000478"/>
    <s v="PROD00197"/>
    <n v="1"/>
    <x v="9"/>
    <n v="40.75"/>
    <n v="40.75"/>
    <x v="27"/>
  </r>
  <r>
    <s v="ORD000478"/>
    <s v="PROD00370"/>
    <n v="2"/>
    <x v="0"/>
    <n v="24.23"/>
    <n v="48.46"/>
    <x v="206"/>
  </r>
  <r>
    <m/>
    <m/>
    <m/>
    <x v="10"/>
    <m/>
    <m/>
    <x v="316"/>
  </r>
  <r>
    <m/>
    <m/>
    <m/>
    <x v="10"/>
    <m/>
    <m/>
    <x v="316"/>
  </r>
  <r>
    <m/>
    <m/>
    <m/>
    <x v="10"/>
    <m/>
    <m/>
    <x v="316"/>
  </r>
  <r>
    <m/>
    <m/>
    <m/>
    <x v="10"/>
    <m/>
    <m/>
    <x v="316"/>
  </r>
  <r>
    <m/>
    <m/>
    <m/>
    <x v="10"/>
    <m/>
    <m/>
    <x v="316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2">
  <r>
    <s v="SELL0001"/>
    <s v="beauty4everyone"/>
    <s v="Mariah"/>
    <s v="Davila"/>
    <s v="mdavila8@gmail.com"/>
    <s v="Cloncurry"/>
    <x v="0"/>
  </r>
  <r>
    <s v="SELL0002"/>
    <s v="wan-yifu"/>
    <s v="Li"/>
    <s v="Mei"/>
    <s v="lmei@hotmail.com"/>
    <s v="Adelaide"/>
    <x v="1"/>
  </r>
  <r>
    <s v="SELL0003"/>
    <s v="electroshop"/>
    <s v="Persephone"/>
    <s v="Horne"/>
    <s v="electroshop@aol.com"/>
    <s v="Albany"/>
    <x v="2"/>
  </r>
  <r>
    <s v="SELL0004"/>
    <s v="nol6svwlnf"/>
    <s v="Zee"/>
    <s v="Dodson"/>
    <s v="nol6svwlnf@optusnet.com.au"/>
    <s v="Gawler"/>
    <x v="1"/>
  </r>
  <r>
    <s v="SELL0005"/>
    <s v="pensandthings"/>
    <s v="Etta"/>
    <s v="Conway"/>
    <s v="ett-conway72@gmail.com"/>
    <s v="Launceston"/>
    <x v="3"/>
  </r>
  <r>
    <s v="SELL0006"/>
    <s v="toysyay"/>
    <s v="Oliver"/>
    <s v="Flowers"/>
    <s v="oflowers7@microsoft.com"/>
    <s v="Bendigo"/>
    <x v="0"/>
  </r>
  <r>
    <s v="SELL0007"/>
    <s v="healthy_habits"/>
    <s v="Ariya"/>
    <s v="Harmon"/>
    <s v="healthy_habits@gmail.com"/>
    <s v="Townsville"/>
    <x v="4"/>
  </r>
  <r>
    <s v="SELL0008"/>
    <s v="peterpiper"/>
    <s v="Peter"/>
    <s v="Stafford"/>
    <s v="peter-stafford1982@gmail.com"/>
    <s v="Winton"/>
    <x v="4"/>
  </r>
  <r>
    <s v="SELL0009"/>
    <s v="bootsandcamping"/>
    <s v="Bridget"/>
    <s v="Fisher"/>
    <s v="bridget_fisher@microsoft.com"/>
    <s v="Toowoomba"/>
    <x v="4"/>
  </r>
  <r>
    <s v="SELL0010"/>
    <s v="hobbylobby"/>
    <s v="Gordon"/>
    <s v="O'Flannagan"/>
    <s v="hobbylobby@microsoft.com"/>
    <s v="Melbourne"/>
    <x v="0"/>
  </r>
  <r>
    <s v="SELL0011"/>
    <s v="dr-green"/>
    <s v="Giuliana"/>
    <s v="Green"/>
    <s v="ggreen@optusnet.com.au"/>
    <s v="Brisbane"/>
    <x v="4"/>
  </r>
  <r>
    <s v="SELL0012"/>
    <s v="jane-outside"/>
    <s v="Jane"/>
    <s v="Little"/>
    <s v="jane-little@gmail.com"/>
    <s v="Kalgoorlie"/>
    <x v="2"/>
  </r>
  <r>
    <s v="SELL0013"/>
    <s v="slln3xj7zl"/>
    <s v="Alice"/>
    <s v="Daniels"/>
    <s v="alidaniels58@gmail.com"/>
    <s v="Adelaide"/>
    <x v="1"/>
  </r>
  <r>
    <s v="SELL0014"/>
    <s v="gardenandco"/>
    <s v="Xander"/>
    <s v="Lester"/>
    <s v="xlester@hotmail.com"/>
    <s v="Canberra"/>
    <x v="5"/>
  </r>
  <r>
    <s v="SELL0015"/>
    <s v="outhomelovely"/>
    <s v="Averi"/>
    <s v="Glenn"/>
    <s v="aglenn@hotmail.com"/>
    <s v="Newcastle"/>
    <x v="6"/>
  </r>
  <r>
    <s v="SELL0016"/>
    <s v="abracadabra_002"/>
    <s v="Zaid"/>
    <s v="Blake"/>
    <s v="zaid-blake@gmail.com"/>
    <s v="Strahan"/>
    <x v="3"/>
  </r>
  <r>
    <s v="SELL0017"/>
    <s v="7e16xoz37j"/>
    <s v="Amanda"/>
    <s v="Doyle"/>
    <s v="adoyle8@live.au"/>
    <s v="Rockhampton"/>
    <x v="4"/>
  </r>
  <r>
    <s v="SELL0018"/>
    <s v="darwin_beauty"/>
    <s v="Karly"/>
    <s v="Bowers"/>
    <s v="k.bowers@gmail.com"/>
    <s v="Darwin"/>
    <x v="7"/>
  </r>
  <r>
    <s v="SELL0019"/>
    <s v="buyingtime"/>
    <s v="Elisa"/>
    <s v="Foster"/>
    <s v="elisa_foster1993@gmail.com"/>
    <s v="Mareeba"/>
    <x v="4"/>
  </r>
  <r>
    <s v="SELL0020"/>
    <s v="staion-bonanza"/>
    <s v="Christian"/>
    <s v="Mcdonald"/>
    <s v="staion-bonanza@hotmail.com"/>
    <s v="Darwin"/>
    <x v="7"/>
  </r>
  <r>
    <s v="SELL0021"/>
    <s v="stuff-on-sale"/>
    <s v="Daisy"/>
    <s v="Cano"/>
    <s v="dcano@hotmail.com"/>
    <s v="Melbourne"/>
    <x v="0"/>
  </r>
  <r>
    <s v="SELL0022"/>
    <s v="g5x9v55sct"/>
    <s v="Terry"/>
    <s v="Gibbs"/>
    <s v="tgibbs5@microsoft.com"/>
    <s v="Bunbury"/>
    <x v="2"/>
  </r>
  <r>
    <s v="SELL0023"/>
    <s v="cleaning_out_my_shed"/>
    <s v="Colin"/>
    <s v="Curry"/>
    <s v="c.curry@gmail.com"/>
    <s v="Bendigo"/>
    <x v="0"/>
  </r>
  <r>
    <s v="SELL0024"/>
    <s v="ELEC25B"/>
    <s v="Bonnie"/>
    <s v="Hunt"/>
    <s v="elec25b@microsoft.com"/>
    <s v="Geelong"/>
    <x v="0"/>
  </r>
  <r>
    <s v="SELL0025"/>
    <s v="clothes832"/>
    <s v="Genevieve"/>
    <s v="Grimes"/>
    <s v="genevievegrimes2002@microsoft.com"/>
    <s v="Geelong"/>
    <x v="0"/>
  </r>
  <r>
    <s v="SELL0026"/>
    <s v="buyeverything-1"/>
    <s v="Harry"/>
    <s v="Sawyer"/>
    <s v="h.sawyer@gmail.com"/>
    <s v="Orange"/>
    <x v="6"/>
  </r>
  <r>
    <s v="SELL0027"/>
    <s v="home458"/>
    <s v="Marina"/>
    <s v="Delacruz"/>
    <s v="mdelacruz9@hotmail.com"/>
    <s v="Port Lincoln"/>
    <x v="4"/>
  </r>
  <r>
    <s v="SELL0028"/>
    <s v="goodsahoy"/>
    <s v="Archie"/>
    <s v="Pearson"/>
    <s v="arc-pearson56@microsoft.com"/>
    <s v="Katherine"/>
    <x v="7"/>
  </r>
  <r>
    <s v="SELL0029"/>
    <s v="general-goods"/>
    <s v="Ciara"/>
    <s v="Fletcher"/>
    <s v="ciara-fletcher@optusnet.com.au"/>
    <s v="Adelaide"/>
    <x v="1"/>
  </r>
  <r>
    <s v="SELL0030"/>
    <s v="liz1974"/>
    <s v="Jay"/>
    <s v="Davila"/>
    <s v="jay-davila@aol.com"/>
    <s v="Darwin"/>
    <x v="7"/>
  </r>
  <r>
    <s v="SELL0031"/>
    <s v="keepwells"/>
    <s v="Micah"/>
    <s v="Rewiti"/>
    <s v="micahrewiti@gmail.com"/>
    <s v="Bendigo"/>
    <x v="0"/>
  </r>
  <r>
    <s v="SELL0032"/>
    <s v="buydongxi25"/>
    <s v="Raymond"/>
    <s v="Wu"/>
    <s v="rwu@hotmail.com"/>
    <s v="Geelong"/>
    <x v="0"/>
  </r>
  <r>
    <s v="SELL0033"/>
    <s v="1bt8plshsf"/>
    <s v="Adelynn"/>
    <s v="Coleman"/>
    <s v="acoleman2@microsoft.com"/>
    <s v="Broken Hill"/>
    <x v="6"/>
  </r>
  <r>
    <s v="SELL0034"/>
    <s v="outer40"/>
    <s v="Thaddeus"/>
    <s v="Arellano"/>
    <s v="tarellano2@hotmail.com"/>
    <s v="Strahan"/>
    <x v="7"/>
  </r>
  <r>
    <s v="SELL0035"/>
    <s v="maddie-sells"/>
    <s v="Faye"/>
    <s v="Rivers"/>
    <s v="frivers4@microsoft.com"/>
    <s v="Canberra"/>
    <x v="5"/>
  </r>
  <r>
    <s v="SELL0036"/>
    <s v="goodqualityemporium"/>
    <s v="Barry"/>
    <s v="Rosas"/>
    <s v="barry.rosas1991@live.au"/>
    <s v="Darwin"/>
    <x v="7"/>
  </r>
  <r>
    <s v="SELL0037"/>
    <s v="storeshop"/>
    <s v="Joelle"/>
    <s v="Soto"/>
    <s v="joelle.soto2006@gmail.com"/>
    <s v="Geelong"/>
    <x v="0"/>
  </r>
  <r>
    <s v="SELL0038"/>
    <s v="compradadonut"/>
    <s v="Barrett"/>
    <s v="Pomare"/>
    <s v="b.pomare@microsoft.com"/>
    <s v="Winton"/>
    <x v="1"/>
  </r>
  <r>
    <s v="SELL0039"/>
    <s v="zmkizlf6t6"/>
    <s v="Haley"/>
    <s v="Adams"/>
    <s v="hadams@hotmail.com"/>
    <s v="Penguin"/>
    <x v="4"/>
  </r>
  <r>
    <s v="SELL0040"/>
    <s v="cheapandgood27"/>
    <s v="Harry"/>
    <s v="Frank"/>
    <s v="har.frank79@gmail.com"/>
    <s v="Hobart"/>
    <x v="3"/>
  </r>
  <r>
    <s v="SELL0041"/>
    <s v="wcs62ctlxh"/>
    <s v="Malaysia"/>
    <s v="Combs"/>
    <s v="mcombs5@gmail.com"/>
    <s v="Port Lincoln"/>
    <x v="7"/>
  </r>
  <r>
    <s v="SELL0042"/>
    <s v="beauty490"/>
    <s v="Ahmad"/>
    <s v="Burgess"/>
    <s v="beauty490@aol.com"/>
    <s v="Karratha"/>
    <x v="2"/>
  </r>
  <r>
    <s v="SELL0043"/>
    <s v="g9x1rt9dw8"/>
    <s v="Emilia-Jane"/>
    <s v="Little"/>
    <s v="elittle9@aol.com"/>
    <s v="Karratha"/>
    <x v="2"/>
  </r>
  <r>
    <s v="SELL0044"/>
    <s v="everything_nmore"/>
    <s v="Lenny"/>
    <s v="Norris"/>
    <s v="lennorris54@gmail.com"/>
    <s v="Gold Coast"/>
    <x v="4"/>
  </r>
  <r>
    <s v="SELL0045"/>
    <s v="s22ods7z5m"/>
    <s v="Arielle"/>
    <s v="Holt"/>
    <s v="aholt1@microsoft.com"/>
    <s v="Strahan"/>
    <x v="7"/>
  </r>
  <r>
    <s v="SELL0046"/>
    <s v="find_what_u_need"/>
    <s v="Niko"/>
    <s v="Peralta"/>
    <s v="niko_peralta@gmail.com"/>
    <s v="Launceston"/>
    <x v="3"/>
  </r>
  <r>
    <s v="SELL0047"/>
    <s v="toymajoy"/>
    <s v="Michaela"/>
    <s v="Vo"/>
    <s v="michaela-vo@gmail.com"/>
    <s v="Darwin"/>
    <x v="7"/>
  </r>
  <r>
    <s v="SELL0048"/>
    <s v="jy9binq4v9"/>
    <s v="Gordon"/>
    <s v="Friedman"/>
    <s v="gor_friedman60@gmail.com"/>
    <s v="Port Lincoln"/>
    <x v="0"/>
  </r>
  <r>
    <s v="SELL0049"/>
    <s v="beautifullife472"/>
    <s v="Ben"/>
    <s v="Lawson"/>
    <s v="blawson@hotmail.com"/>
    <s v="Geelong"/>
    <x v="0"/>
  </r>
  <r>
    <s v="SELL0050"/>
    <s v="m5meym5ci2"/>
    <s v="Leila"/>
    <s v="Hahn"/>
    <s v="lhahn9@aol.com"/>
    <s v="Canberra"/>
    <x v="5"/>
  </r>
  <r>
    <s v="SELL0051"/>
    <s v="healthway"/>
    <s v="Felicity"/>
    <s v="Lynch"/>
    <s v="flynch@gmail.com"/>
    <s v="Winton"/>
    <x v="7"/>
  </r>
  <r>
    <s v="SELL0052"/>
    <s v="qih5ceral2"/>
    <s v="Zane"/>
    <s v="El-Hadj"/>
    <s v="qih5ceral2@microsoft.com"/>
    <s v="Perth"/>
    <x v="2"/>
  </r>
  <r>
    <s v="SELL0053"/>
    <s v="homedeliver"/>
    <s v="Frances"/>
    <s v="Parker"/>
    <s v="frances-parker1987@microsoft.com"/>
    <s v="Canberra"/>
    <x v="5"/>
  </r>
  <r>
    <s v="SELL0054"/>
    <s v="b8iv8o4c65"/>
    <s v="Caleb"/>
    <s v="Griffiths"/>
    <s v="cgriffiths@gmail.com"/>
    <s v="Canberra"/>
    <x v="5"/>
  </r>
  <r>
    <s v="SELL0055"/>
    <s v="hill25doors"/>
    <s v="Alicia"/>
    <s v="Ibarra"/>
    <s v="a.ibarra@hotmail.com"/>
    <s v="Broken Hill"/>
    <x v="6"/>
  </r>
  <r>
    <s v="SELL0056"/>
    <s v="feelgood_attire"/>
    <s v="Asa"/>
    <s v="Michael"/>
    <s v="asa-michael67@live.au"/>
    <s v="Fremantle"/>
    <x v="2"/>
  </r>
  <r>
    <s v="SELL0057"/>
    <s v="buildmydream"/>
    <s v="Antonella"/>
    <s v="Hansen"/>
    <s v="buildmydream@gmail.com"/>
    <s v="Devonport"/>
    <x v="3"/>
  </r>
  <r>
    <s v="SELL0058"/>
    <s v="au6ynzdcy5"/>
    <s v="Charlie"/>
    <s v="Harmon"/>
    <s v="charmon9@gmail.com"/>
    <s v="Mareeba"/>
    <x v="4"/>
  </r>
  <r>
    <s v="SELL0059"/>
    <s v="glitterymagpie"/>
    <s v="Maeve"/>
    <s v="Hull"/>
    <s v="maeve-hull@microsoft.com"/>
    <s v="Wollongong"/>
    <x v="6"/>
  </r>
  <r>
    <s v="SELL0060"/>
    <s v="shop689"/>
    <s v="Salem"/>
    <s v="Bass"/>
    <s v="salbass61@gmail.com"/>
    <s v="Melbourne"/>
    <x v="0"/>
  </r>
  <r>
    <s v="SELL0061"/>
    <s v="ky7urd3k6y"/>
    <s v="Zahra"/>
    <s v="Mejia"/>
    <s v="zah-mejia78@hotmail.com"/>
    <s v="Port Lincoln"/>
    <x v="0"/>
  </r>
  <r>
    <s v="SELL0062"/>
    <s v="queenslandqweenie"/>
    <s v="Lara"/>
    <s v="Mcguire"/>
    <s v="laramcguire@gmail.com"/>
    <s v="Gold Coast"/>
    <x v="4"/>
  </r>
  <r>
    <s v="SELL0063"/>
    <s v="uqcoiiv4s9"/>
    <s v="April"/>
    <s v="Lindsey"/>
    <s v="aprlindsey58@hotmail.com"/>
    <s v="Adelaide"/>
    <x v="1"/>
  </r>
  <r>
    <s v="SELL0064"/>
    <s v="fungamesandtoys"/>
    <s v="Jason"/>
    <s v="Simons"/>
    <s v="j.simons@microsoft.com"/>
    <s v="Port Augusta"/>
    <x v="1"/>
  </r>
  <r>
    <s v="SELL0065"/>
    <s v="fq9rb8o3qr"/>
    <s v="Kayleigh"/>
    <s v="Schultz"/>
    <s v="kschultz5@live.au"/>
    <s v="Canberra"/>
    <x v="5"/>
  </r>
  <r>
    <s v="SELL0066"/>
    <s v="healthcarehelp"/>
    <s v="Colby"/>
    <s v="Long"/>
    <s v="colbylong2007@gmail.com"/>
    <s v="Shepparton"/>
    <x v="0"/>
  </r>
  <r>
    <s v="SELL0067"/>
    <s v="w71bv3mee1"/>
    <s v="Jade"/>
    <s v="Kaur"/>
    <s v="jadekaur2006@hotmail.com"/>
    <s v="Winton"/>
    <x v="2"/>
  </r>
  <r>
    <s v="SELL0068"/>
    <s v="wearitall"/>
    <s v="Augustine"/>
    <s v="Fernandez"/>
    <s v="augustinefernandez2007@gmail.com"/>
    <s v="Devonport"/>
    <x v="3"/>
  </r>
  <r>
    <s v="SELL0069"/>
    <s v="barbievend"/>
    <s v="Amara"/>
    <s v="Rich"/>
    <s v="a.rich@hotmail.com"/>
    <s v="Inverell"/>
    <x v="0"/>
  </r>
  <r>
    <s v="SELL0070"/>
    <s v="homeandaways"/>
    <s v="Mohamed"/>
    <s v="Russell"/>
    <s v="mohamed-russell2003@gmail.com"/>
    <s v="Townsville"/>
    <x v="4"/>
  </r>
  <r>
    <s v="SELL0071"/>
    <s v="trueyou55"/>
    <s v="Raelynn"/>
    <s v="Smith"/>
    <s v="trueyou55@gmail.com"/>
    <s v="Ballarat"/>
    <x v="0"/>
  </r>
  <r>
    <s v="SELL0072"/>
    <s v="swanium"/>
    <s v="Ronan"/>
    <s v="Swan"/>
    <s v="ronan_swan1973@microsoft.com"/>
    <s v="Canberra"/>
    <x v="5"/>
  </r>
  <r>
    <s v="SELL0073"/>
    <s v="new-south-sales"/>
    <s v="Lana"/>
    <s v="Schwartz"/>
    <s v="l.schwartz@gmail.com"/>
    <s v="Seymour"/>
    <x v="6"/>
  </r>
  <r>
    <s v="SELL0074"/>
    <s v="springlesprungle3"/>
    <s v="Edwin"/>
    <s v="Burns"/>
    <s v="edwin_burns@hotmail.com"/>
    <s v="Alice Springs"/>
    <x v="7"/>
  </r>
  <r>
    <s v="SELL0075"/>
    <s v="nhlay6j49a"/>
    <s v="Emerson"/>
    <s v="Reynolds"/>
    <s v="eme_reynolds70@gmail.com"/>
    <s v="Wollongong"/>
    <x v="6"/>
  </r>
  <r>
    <s v="SELL0076"/>
    <s v="generalstuff"/>
    <s v="Vincent"/>
    <s v="Smith"/>
    <s v="vsmith8@gmail.com"/>
    <s v="Toowoomba"/>
    <x v="4"/>
  </r>
  <r>
    <s v="SELL0077"/>
    <s v="doorsyout"/>
    <s v="Dorothy"/>
    <s v="Beard"/>
    <s v="dbeard@gmail.com"/>
    <s v="Strahan"/>
    <x v="5"/>
  </r>
  <r>
    <s v="SELL0078"/>
    <s v="r6vd2aojq8"/>
    <s v="Nathanael"/>
    <s v="Rollins"/>
    <s v="nat__rollins77@hotmail.com"/>
    <s v="Burnie"/>
    <x v="3"/>
  </r>
  <r>
    <s v="SELL0079"/>
    <s v="origin_of_purchases"/>
    <s v="Ariana"/>
    <s v="Hayden"/>
    <s v="origin_of_purchases@hotmail.com"/>
    <s v="Darwin"/>
    <x v="7"/>
  </r>
  <r>
    <s v="SELL0080"/>
    <s v="cpghfp370y"/>
    <s v="Leroy"/>
    <s v="Paul"/>
    <s v="leroypaul1979@gmail.com"/>
    <s v="Launceston"/>
    <x v="3"/>
  </r>
  <r>
    <s v="SELL0081"/>
    <s v="brizzy_bonanza_48"/>
    <s v="Daphne"/>
    <s v="Zuniga"/>
    <s v="d.zuniga@hotmail.com"/>
    <s v="Brisbane"/>
    <x v="4"/>
  </r>
  <r>
    <s v="SELL0082"/>
    <s v="blessedforall"/>
    <s v="Sally"/>
    <s v="Nguyen"/>
    <s v="sal-nguyen99@gmail.com"/>
    <s v="Bicheno"/>
    <x v="6"/>
  </r>
  <r>
    <s v="SELL0083"/>
    <s v="makeupped"/>
    <s v="Ava"/>
    <s v="Chambers"/>
    <s v="achambers3@hotmail.com"/>
    <s v="Halls Creek"/>
    <x v="2"/>
  </r>
  <r>
    <s v="SELL0084"/>
    <s v="lfmk805jw2"/>
    <s v="Orion"/>
    <s v="Ratana"/>
    <s v="orion.ratana@gmail.com"/>
    <s v="Wollongong"/>
    <x v="6"/>
  </r>
  <r>
    <s v="SELL0085"/>
    <s v="3n2ybcn0e4"/>
    <s v="Kyla"/>
    <s v="Lee"/>
    <s v="k.lee@microsoft.com"/>
    <s v="Sydney"/>
    <x v="6"/>
  </r>
  <r>
    <s v="SELL0086"/>
    <s v="clothesforlife"/>
    <s v="Damien"/>
    <s v="Lin"/>
    <s v="clothesforlife@microsoft.com"/>
    <s v="Bicheno"/>
    <x v="0"/>
  </r>
  <r>
    <s v="SELL0087"/>
    <s v="electrowave"/>
    <s v="Makenna"/>
    <s v="Ngata"/>
    <s v="m.ngata@microsoft.com"/>
    <s v="Bicheno"/>
    <x v="3"/>
  </r>
  <r>
    <s v="SELL0088"/>
    <s v="7ti9lfa6h5"/>
    <s v="Musa"/>
    <s v="Eaton"/>
    <s v="m.eaton@hotmail.com"/>
    <s v="Bicheno"/>
    <x v="3"/>
  </r>
  <r>
    <s v="SELL0089"/>
    <s v="pyrurodqk4"/>
    <s v="Mark"/>
    <s v="Weeks"/>
    <s v="mweeks@microsoft.com"/>
    <s v="Gold Coast"/>
    <x v="4"/>
  </r>
  <r>
    <s v="SELL0090"/>
    <s v="housenice"/>
    <s v="Antony"/>
    <s v="Serrano"/>
    <s v="ant_serrano69@gmail.com"/>
    <s v="Hobart"/>
    <x v="3"/>
  </r>
  <r>
    <s v="SELL0091"/>
    <s v="beautifullhome"/>
    <s v="Allie"/>
    <s v="Lambert"/>
    <s v="allielambert1970@gmail.com"/>
    <s v="Hobart"/>
    <x v="3"/>
  </r>
  <r>
    <s v="SELL0092"/>
    <s v="dress4beauty"/>
    <s v="Mario"/>
    <s v="Gibson"/>
    <s v="mar_gibson77@hotmail.com"/>
    <s v="Ballarat"/>
    <x v="0"/>
  </r>
  <r>
    <s v="SELL0093"/>
    <s v="millies-outdoor-shop"/>
    <s v="Millie"/>
    <s v="Mccullough"/>
    <s v="millies-outdoor-shop@aol.com"/>
    <s v="Katherine"/>
    <x v="7"/>
  </r>
  <r>
    <s v="SELL0094"/>
    <s v="excelinall"/>
    <s v="Bill"/>
    <s v="Ayala"/>
    <s v="b.ayala@hotmail.com"/>
    <s v="Perth"/>
    <x v="2"/>
  </r>
  <r>
    <s v="SELL0095"/>
    <s v="toybuy"/>
    <s v="Benji"/>
    <s v="Lang"/>
    <s v="blang@hotmail.com"/>
    <s v="Port Lincoln"/>
    <x v="3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  <r>
    <m/>
    <m/>
    <m/>
    <m/>
    <m/>
    <m/>
    <x v="8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95">
  <r>
    <x v="0"/>
    <s v="PROD00001"/>
    <n v="1"/>
    <n v="33.08"/>
    <n v="33.08"/>
  </r>
  <r>
    <x v="1"/>
    <s v="PROD00006"/>
    <n v="2"/>
    <n v="4.47"/>
    <n v="8.94"/>
  </r>
  <r>
    <x v="1"/>
    <s v="PROD00006"/>
    <n v="1"/>
    <n v="4.47"/>
    <n v="4.47"/>
  </r>
  <r>
    <x v="2"/>
    <s v="PROD00007"/>
    <n v="1"/>
    <n v="38.25"/>
    <n v="38.25"/>
  </r>
  <r>
    <x v="2"/>
    <s v="PROD00008"/>
    <n v="1"/>
    <n v="38.25"/>
    <n v="38.25"/>
  </r>
  <r>
    <x v="2"/>
    <s v="PROD00008"/>
    <n v="1"/>
    <n v="38.25"/>
    <n v="38.25"/>
  </r>
  <r>
    <x v="3"/>
    <s v="PROD00010"/>
    <n v="1"/>
    <n v="30.71"/>
    <n v="30.71"/>
  </r>
  <r>
    <x v="3"/>
    <s v="PROD00010"/>
    <n v="1"/>
    <n v="30.71"/>
    <n v="30.71"/>
  </r>
  <r>
    <x v="1"/>
    <s v="PROD00012"/>
    <n v="2"/>
    <n v="7.06"/>
    <n v="14.12"/>
  </r>
  <r>
    <x v="1"/>
    <s v="PROD00012"/>
    <n v="2"/>
    <n v="7.06"/>
    <n v="14.12"/>
  </r>
  <r>
    <x v="4"/>
    <s v="PROD00013"/>
    <n v="2"/>
    <n v="37.4"/>
    <n v="74.8"/>
  </r>
  <r>
    <x v="5"/>
    <s v="PROD00014"/>
    <n v="1"/>
    <n v="46.45"/>
    <n v="46.45"/>
  </r>
  <r>
    <x v="5"/>
    <s v="PROD00014"/>
    <n v="1"/>
    <n v="46.45"/>
    <n v="46.45"/>
  </r>
  <r>
    <x v="5"/>
    <s v="PROD00014"/>
    <n v="1"/>
    <n v="46.45"/>
    <n v="46.45"/>
  </r>
  <r>
    <x v="5"/>
    <s v="PROD00014"/>
    <n v="2"/>
    <n v="46.45"/>
    <n v="92.9"/>
  </r>
  <r>
    <x v="5"/>
    <s v="PROD00014"/>
    <n v="1"/>
    <n v="46.45"/>
    <n v="46.45"/>
  </r>
  <r>
    <x v="5"/>
    <s v="PROD00015"/>
    <n v="1"/>
    <n v="48.06"/>
    <n v="48.06"/>
  </r>
  <r>
    <x v="5"/>
    <s v="PROD00015"/>
    <n v="1"/>
    <n v="48.06"/>
    <n v="48.06"/>
  </r>
  <r>
    <x v="5"/>
    <s v="PROD00015"/>
    <n v="1"/>
    <n v="48.06"/>
    <n v="48.06"/>
  </r>
  <r>
    <x v="5"/>
    <s v="PROD00015"/>
    <n v="1"/>
    <n v="48.06"/>
    <n v="48.06"/>
  </r>
  <r>
    <x v="5"/>
    <s v="PROD00016"/>
    <n v="1"/>
    <n v="73.55"/>
    <n v="73.55"/>
  </r>
  <r>
    <x v="5"/>
    <s v="PROD00016"/>
    <n v="1"/>
    <n v="73.55"/>
    <n v="73.55"/>
  </r>
  <r>
    <x v="5"/>
    <s v="PROD00016"/>
    <n v="1"/>
    <n v="73.55"/>
    <n v="73.55"/>
  </r>
  <r>
    <x v="5"/>
    <s v="PROD00017"/>
    <n v="3"/>
    <n v="13.71"/>
    <n v="41.13"/>
  </r>
  <r>
    <x v="5"/>
    <s v="PROD00017"/>
    <n v="1"/>
    <n v="13.71"/>
    <n v="13.71"/>
  </r>
  <r>
    <x v="5"/>
    <s v="PROD00017"/>
    <n v="3"/>
    <n v="13.71"/>
    <n v="41.13"/>
  </r>
  <r>
    <x v="5"/>
    <s v="PROD00017"/>
    <n v="1"/>
    <n v="13.71"/>
    <n v="13.71"/>
  </r>
  <r>
    <x v="5"/>
    <s v="PROD00017"/>
    <n v="1"/>
    <n v="13.71"/>
    <n v="13.71"/>
  </r>
  <r>
    <x v="5"/>
    <s v="PROD00017"/>
    <n v="1"/>
    <n v="13.71"/>
    <n v="13.71"/>
  </r>
  <r>
    <x v="5"/>
    <s v="PROD00017"/>
    <n v="1"/>
    <n v="13.71"/>
    <n v="13.71"/>
  </r>
  <r>
    <x v="5"/>
    <s v="PROD00017"/>
    <n v="1"/>
    <n v="13.71"/>
    <n v="13.71"/>
  </r>
  <r>
    <x v="5"/>
    <s v="PROD00017"/>
    <n v="1"/>
    <n v="13.71"/>
    <n v="13.71"/>
  </r>
  <r>
    <x v="5"/>
    <s v="PROD00017"/>
    <n v="1"/>
    <n v="13.71"/>
    <n v="13.71"/>
  </r>
  <r>
    <x v="5"/>
    <s v="PROD00017"/>
    <n v="1"/>
    <n v="13.71"/>
    <n v="13.71"/>
  </r>
  <r>
    <x v="5"/>
    <s v="PROD00017"/>
    <n v="2"/>
    <n v="13.71"/>
    <n v="27.42"/>
  </r>
  <r>
    <x v="5"/>
    <s v="PROD00017"/>
    <n v="1"/>
    <n v="13.71"/>
    <n v="13.71"/>
  </r>
  <r>
    <x v="5"/>
    <s v="PROD00017"/>
    <n v="1"/>
    <n v="13.71"/>
    <n v="13.71"/>
  </r>
  <r>
    <x v="5"/>
    <s v="PROD00017"/>
    <n v="1"/>
    <n v="13.71"/>
    <n v="13.71"/>
  </r>
  <r>
    <x v="5"/>
    <s v="PROD00018"/>
    <n v="1"/>
    <n v="40.119999999999997"/>
    <n v="40.119999999999997"/>
  </r>
  <r>
    <x v="5"/>
    <s v="PROD00018"/>
    <n v="1"/>
    <n v="40.119999999999997"/>
    <n v="40.119999999999997"/>
  </r>
  <r>
    <x v="5"/>
    <s v="PROD00018"/>
    <n v="1"/>
    <n v="40.119999999999997"/>
    <n v="40.119999999999997"/>
  </r>
  <r>
    <x v="5"/>
    <s v="PROD00018"/>
    <n v="2"/>
    <n v="40.119999999999997"/>
    <n v="80.239999999999995"/>
  </r>
  <r>
    <x v="5"/>
    <s v="PROD00018"/>
    <n v="1"/>
    <n v="40.119999999999997"/>
    <n v="40.119999999999997"/>
  </r>
  <r>
    <x v="0"/>
    <s v="PROD00019"/>
    <n v="2"/>
    <n v="10.94"/>
    <n v="21.88"/>
  </r>
  <r>
    <x v="0"/>
    <s v="PROD00019"/>
    <n v="1"/>
    <n v="10.94"/>
    <n v="10.94"/>
  </r>
  <r>
    <x v="5"/>
    <s v="PROD00020"/>
    <n v="2"/>
    <n v="15.05"/>
    <n v="30.1"/>
  </r>
  <r>
    <x v="5"/>
    <s v="PROD00020"/>
    <n v="1"/>
    <n v="15.05"/>
    <n v="15.05"/>
  </r>
  <r>
    <x v="5"/>
    <s v="PROD00020"/>
    <n v="1"/>
    <n v="15.05"/>
    <n v="15.05"/>
  </r>
  <r>
    <x v="5"/>
    <s v="PROD00020"/>
    <n v="2"/>
    <n v="15.05"/>
    <n v="30.1"/>
  </r>
  <r>
    <x v="5"/>
    <s v="PROD00020"/>
    <n v="1"/>
    <n v="15.05"/>
    <n v="15.05"/>
  </r>
  <r>
    <x v="5"/>
    <s v="PROD00020"/>
    <n v="1"/>
    <n v="15.05"/>
    <n v="15.05"/>
  </r>
  <r>
    <x v="5"/>
    <s v="PROD00020"/>
    <n v="1"/>
    <n v="15.05"/>
    <n v="15.05"/>
  </r>
  <r>
    <x v="5"/>
    <s v="PROD00021"/>
    <n v="1"/>
    <n v="113.99"/>
    <n v="113.99"/>
  </r>
  <r>
    <x v="5"/>
    <s v="PROD00022"/>
    <n v="1"/>
    <n v="27.05"/>
    <n v="27.05"/>
  </r>
  <r>
    <x v="5"/>
    <s v="PROD00022"/>
    <n v="2"/>
    <n v="27.05"/>
    <n v="54.1"/>
  </r>
  <r>
    <x v="5"/>
    <s v="PROD00024"/>
    <n v="1"/>
    <n v="23.99"/>
    <n v="23.99"/>
  </r>
  <r>
    <x v="5"/>
    <s v="PROD00024"/>
    <n v="2"/>
    <n v="23.99"/>
    <n v="47.98"/>
  </r>
  <r>
    <x v="5"/>
    <s v="PROD00024"/>
    <n v="1"/>
    <n v="23.99"/>
    <n v="23.99"/>
  </r>
  <r>
    <x v="5"/>
    <s v="PROD00024"/>
    <n v="1"/>
    <n v="23.99"/>
    <n v="23.99"/>
  </r>
  <r>
    <x v="6"/>
    <s v="PROD00027"/>
    <n v="1"/>
    <n v="28.22"/>
    <n v="28.22"/>
  </r>
  <r>
    <x v="1"/>
    <s v="PROD00028"/>
    <n v="1"/>
    <n v="8.39"/>
    <n v="8.39"/>
  </r>
  <r>
    <x v="1"/>
    <s v="PROD00028"/>
    <n v="1"/>
    <n v="8.39"/>
    <n v="8.39"/>
  </r>
  <r>
    <x v="1"/>
    <s v="PROD00028"/>
    <n v="1"/>
    <n v="8.39"/>
    <n v="8.39"/>
  </r>
  <r>
    <x v="1"/>
    <s v="PROD00028"/>
    <n v="1"/>
    <n v="8.39"/>
    <n v="8.39"/>
  </r>
  <r>
    <x v="1"/>
    <s v="PROD00028"/>
    <n v="1"/>
    <n v="8.39"/>
    <n v="8.39"/>
  </r>
  <r>
    <x v="1"/>
    <s v="PROD00029"/>
    <n v="1"/>
    <n v="10.39"/>
    <n v="10.39"/>
  </r>
  <r>
    <x v="6"/>
    <s v="PROD00030"/>
    <n v="2"/>
    <n v="49.31"/>
    <n v="98.62"/>
  </r>
  <r>
    <x v="5"/>
    <s v="PROD00031"/>
    <n v="2"/>
    <n v="43.27"/>
    <n v="86.54"/>
  </r>
  <r>
    <x v="5"/>
    <s v="PROD00031"/>
    <n v="1"/>
    <n v="43.27"/>
    <n v="43.27"/>
  </r>
  <r>
    <x v="5"/>
    <s v="PROD00031"/>
    <n v="1"/>
    <n v="43.27"/>
    <n v="43.27"/>
  </r>
  <r>
    <x v="5"/>
    <s v="PROD00032"/>
    <n v="1"/>
    <n v="115.39"/>
    <n v="115.39"/>
  </r>
  <r>
    <x v="5"/>
    <s v="PROD00032"/>
    <n v="1"/>
    <n v="115.39"/>
    <n v="115.39"/>
  </r>
  <r>
    <x v="5"/>
    <s v="PROD00032"/>
    <n v="1"/>
    <n v="115.39"/>
    <n v="115.39"/>
  </r>
  <r>
    <x v="5"/>
    <s v="PROD00032"/>
    <n v="2"/>
    <n v="115.39"/>
    <n v="230.78"/>
  </r>
  <r>
    <x v="5"/>
    <s v="PROD00032"/>
    <n v="1"/>
    <n v="115.39"/>
    <n v="115.39"/>
  </r>
  <r>
    <x v="2"/>
    <s v="PROD00035"/>
    <n v="1"/>
    <n v="17.940000000000001"/>
    <n v="17.940000000000001"/>
  </r>
  <r>
    <x v="2"/>
    <s v="PROD00035"/>
    <n v="1"/>
    <n v="17.940000000000001"/>
    <n v="17.940000000000001"/>
  </r>
  <r>
    <x v="2"/>
    <s v="PROD00035"/>
    <n v="1"/>
    <n v="17.940000000000001"/>
    <n v="17.940000000000001"/>
  </r>
  <r>
    <x v="2"/>
    <s v="PROD00036"/>
    <n v="1"/>
    <n v="38.630000000000003"/>
    <n v="38.630000000000003"/>
  </r>
  <r>
    <x v="5"/>
    <s v="PROD00037"/>
    <n v="1"/>
    <n v="24.22"/>
    <n v="24.22"/>
  </r>
  <r>
    <x v="5"/>
    <s v="PROD00037"/>
    <n v="2"/>
    <n v="24.22"/>
    <n v="48.44"/>
  </r>
  <r>
    <x v="5"/>
    <s v="PROD00037"/>
    <n v="1"/>
    <n v="24.22"/>
    <n v="24.22"/>
  </r>
  <r>
    <x v="5"/>
    <s v="PROD00037"/>
    <n v="1"/>
    <n v="24.22"/>
    <n v="24.22"/>
  </r>
  <r>
    <x v="5"/>
    <s v="PROD00037"/>
    <n v="1"/>
    <n v="24.22"/>
    <n v="24.22"/>
  </r>
  <r>
    <x v="5"/>
    <s v="PROD00037"/>
    <n v="1"/>
    <n v="24.22"/>
    <n v="24.22"/>
  </r>
  <r>
    <x v="5"/>
    <s v="PROD00038"/>
    <n v="2"/>
    <n v="45.46"/>
    <n v="90.92"/>
  </r>
  <r>
    <x v="5"/>
    <s v="PROD00038"/>
    <n v="1"/>
    <n v="45.46"/>
    <n v="45.46"/>
  </r>
  <r>
    <x v="5"/>
    <s v="PROD00038"/>
    <n v="1"/>
    <n v="45.46"/>
    <n v="45.46"/>
  </r>
  <r>
    <x v="0"/>
    <s v="PROD00040"/>
    <n v="1"/>
    <n v="25.82"/>
    <n v="25.82"/>
  </r>
  <r>
    <x v="0"/>
    <s v="PROD00041"/>
    <n v="1"/>
    <n v="14.11"/>
    <n v="14.11"/>
  </r>
  <r>
    <x v="5"/>
    <s v="PROD00042"/>
    <n v="2"/>
    <n v="38.39"/>
    <n v="76.78"/>
  </r>
  <r>
    <x v="5"/>
    <s v="PROD00042"/>
    <n v="1"/>
    <n v="38.39"/>
    <n v="38.39"/>
  </r>
  <r>
    <x v="5"/>
    <s v="PROD00042"/>
    <n v="3"/>
    <n v="38.39"/>
    <n v="115.17"/>
  </r>
  <r>
    <x v="5"/>
    <s v="PROD00042"/>
    <n v="1"/>
    <n v="38.39"/>
    <n v="38.39"/>
  </r>
  <r>
    <x v="5"/>
    <s v="PROD00042"/>
    <n v="1"/>
    <n v="38.39"/>
    <n v="38.39"/>
  </r>
  <r>
    <x v="5"/>
    <s v="PROD00042"/>
    <n v="1"/>
    <n v="38.39"/>
    <n v="38.39"/>
  </r>
  <r>
    <x v="5"/>
    <s v="PROD00042"/>
    <n v="1"/>
    <n v="38.39"/>
    <n v="38.39"/>
  </r>
  <r>
    <x v="5"/>
    <s v="PROD00042"/>
    <n v="1"/>
    <n v="38.39"/>
    <n v="38.39"/>
  </r>
  <r>
    <x v="5"/>
    <s v="PROD00042"/>
    <n v="1"/>
    <n v="38.39"/>
    <n v="38.39"/>
  </r>
  <r>
    <x v="5"/>
    <s v="PROD00043"/>
    <n v="1"/>
    <n v="55.89"/>
    <n v="55.89"/>
  </r>
  <r>
    <x v="5"/>
    <s v="PROD00043"/>
    <n v="1"/>
    <n v="55.89"/>
    <n v="55.89"/>
  </r>
  <r>
    <x v="3"/>
    <s v="PROD00044"/>
    <n v="1"/>
    <n v="54.17"/>
    <n v="54.17"/>
  </r>
  <r>
    <x v="3"/>
    <s v="PROD00044"/>
    <n v="1"/>
    <n v="54.17"/>
    <n v="54.17"/>
  </r>
  <r>
    <x v="7"/>
    <s v="PROD00045"/>
    <n v="1"/>
    <n v="62.94"/>
    <n v="62.94"/>
  </r>
  <r>
    <x v="3"/>
    <s v="PROD00046"/>
    <n v="1"/>
    <n v="54.17"/>
    <n v="54.17"/>
  </r>
  <r>
    <x v="3"/>
    <s v="PROD00046"/>
    <n v="1"/>
    <n v="54.17"/>
    <n v="54.17"/>
  </r>
  <r>
    <x v="7"/>
    <s v="PROD00047"/>
    <n v="1"/>
    <n v="89.8"/>
    <n v="89.8"/>
  </r>
  <r>
    <x v="7"/>
    <s v="PROD00047"/>
    <n v="1"/>
    <n v="89.8"/>
    <n v="89.8"/>
  </r>
  <r>
    <x v="7"/>
    <s v="PROD00047"/>
    <n v="1"/>
    <n v="89.8"/>
    <n v="89.8"/>
  </r>
  <r>
    <x v="8"/>
    <s v="PROD00048"/>
    <n v="1"/>
    <n v="34.869999999999997"/>
    <n v="34.869999999999997"/>
  </r>
  <r>
    <x v="8"/>
    <s v="PROD00048"/>
    <n v="2"/>
    <n v="34.869999999999997"/>
    <n v="69.739999999999995"/>
  </r>
  <r>
    <x v="8"/>
    <s v="PROD00050"/>
    <n v="1"/>
    <n v="29.36"/>
    <n v="29.36"/>
  </r>
  <r>
    <x v="8"/>
    <s v="PROD00050"/>
    <n v="1"/>
    <n v="29.36"/>
    <n v="29.36"/>
  </r>
  <r>
    <x v="8"/>
    <s v="PROD00050"/>
    <n v="1"/>
    <n v="29.36"/>
    <n v="29.36"/>
  </r>
  <r>
    <x v="8"/>
    <s v="PROD00051"/>
    <n v="1"/>
    <n v="30.81"/>
    <n v="30.81"/>
  </r>
  <r>
    <x v="8"/>
    <s v="PROD00051"/>
    <n v="1"/>
    <n v="30.81"/>
    <n v="30.81"/>
  </r>
  <r>
    <x v="1"/>
    <s v="PROD00052"/>
    <n v="1"/>
    <n v="7.72"/>
    <n v="7.72"/>
  </r>
  <r>
    <x v="1"/>
    <s v="PROD00052"/>
    <n v="3"/>
    <n v="7.72"/>
    <n v="23.16"/>
  </r>
  <r>
    <x v="7"/>
    <s v="PROD00053"/>
    <n v="1"/>
    <n v="27.42"/>
    <n v="27.42"/>
  </r>
  <r>
    <x v="2"/>
    <s v="PROD00055"/>
    <n v="1"/>
    <n v="30.74"/>
    <n v="30.74"/>
  </r>
  <r>
    <x v="4"/>
    <s v="PROD00056"/>
    <n v="1"/>
    <n v="58.23"/>
    <n v="58.23"/>
  </r>
  <r>
    <x v="4"/>
    <s v="PROD00056"/>
    <n v="1"/>
    <n v="58.23"/>
    <n v="58.23"/>
  </r>
  <r>
    <x v="7"/>
    <s v="PROD00057"/>
    <n v="1"/>
    <n v="26.58"/>
    <n v="26.58"/>
  </r>
  <r>
    <x v="7"/>
    <s v="PROD00057"/>
    <n v="1"/>
    <n v="26.58"/>
    <n v="26.58"/>
  </r>
  <r>
    <x v="2"/>
    <s v="PROD00058"/>
    <n v="1"/>
    <n v="36.26"/>
    <n v="36.26"/>
  </r>
  <r>
    <x v="0"/>
    <s v="PROD00059"/>
    <n v="1"/>
    <n v="15.04"/>
    <n v="15.04"/>
  </r>
  <r>
    <x v="0"/>
    <s v="PROD00059"/>
    <n v="1"/>
    <n v="15.04"/>
    <n v="15.04"/>
  </r>
  <r>
    <x v="0"/>
    <s v="PROD00060"/>
    <n v="1"/>
    <n v="13.58"/>
    <n v="13.58"/>
  </r>
  <r>
    <x v="8"/>
    <s v="PROD00061"/>
    <n v="2"/>
    <n v="53.38"/>
    <n v="106.76"/>
  </r>
  <r>
    <x v="7"/>
    <s v="PROD00063"/>
    <n v="1"/>
    <n v="109.54"/>
    <n v="109.54"/>
  </r>
  <r>
    <x v="7"/>
    <s v="PROD00063"/>
    <n v="1"/>
    <n v="109.54"/>
    <n v="109.54"/>
  </r>
  <r>
    <x v="4"/>
    <s v="PROD00064"/>
    <n v="1"/>
    <n v="55.35"/>
    <n v="55.35"/>
  </r>
  <r>
    <x v="4"/>
    <s v="PROD00064"/>
    <n v="2"/>
    <n v="55.35"/>
    <n v="110.7"/>
  </r>
  <r>
    <x v="5"/>
    <s v="PROD00066"/>
    <n v="1"/>
    <n v="21.37"/>
    <n v="21.37"/>
  </r>
  <r>
    <x v="5"/>
    <s v="PROD00066"/>
    <n v="1"/>
    <n v="21.37"/>
    <n v="21.37"/>
  </r>
  <r>
    <x v="5"/>
    <s v="PROD00066"/>
    <n v="1"/>
    <n v="21.37"/>
    <n v="21.37"/>
  </r>
  <r>
    <x v="5"/>
    <s v="PROD00066"/>
    <n v="1"/>
    <n v="21.37"/>
    <n v="21.37"/>
  </r>
  <r>
    <x v="5"/>
    <s v="PROD00066"/>
    <n v="1"/>
    <n v="21.37"/>
    <n v="21.37"/>
  </r>
  <r>
    <x v="5"/>
    <s v="PROD00066"/>
    <n v="1"/>
    <n v="21.37"/>
    <n v="21.37"/>
  </r>
  <r>
    <x v="5"/>
    <s v="PROD00066"/>
    <n v="1"/>
    <n v="21.37"/>
    <n v="21.37"/>
  </r>
  <r>
    <x v="2"/>
    <s v="PROD00067"/>
    <n v="1"/>
    <n v="23.3"/>
    <n v="23.3"/>
  </r>
  <r>
    <x v="2"/>
    <s v="PROD00067"/>
    <n v="1"/>
    <n v="23.3"/>
    <n v="23.3"/>
  </r>
  <r>
    <x v="2"/>
    <s v="PROD00067"/>
    <n v="1"/>
    <n v="23.3"/>
    <n v="23.3"/>
  </r>
  <r>
    <x v="9"/>
    <s v="PROD00068"/>
    <n v="1"/>
    <n v="16.940000000000001"/>
    <n v="16.940000000000001"/>
  </r>
  <r>
    <x v="8"/>
    <s v="PROD00069"/>
    <n v="1"/>
    <n v="11.91"/>
    <n v="11.91"/>
  </r>
  <r>
    <x v="5"/>
    <s v="PROD00070"/>
    <n v="2"/>
    <n v="117.79"/>
    <n v="235.58"/>
  </r>
  <r>
    <x v="5"/>
    <s v="PROD00070"/>
    <n v="1"/>
    <n v="117.79"/>
    <n v="117.79"/>
  </r>
  <r>
    <x v="5"/>
    <s v="PROD00070"/>
    <n v="1"/>
    <n v="117.79"/>
    <n v="117.79"/>
  </r>
  <r>
    <x v="5"/>
    <s v="PROD00070"/>
    <n v="1"/>
    <n v="117.79"/>
    <n v="117.79"/>
  </r>
  <r>
    <x v="9"/>
    <s v="PROD00071"/>
    <n v="1"/>
    <n v="39.85"/>
    <n v="39.85"/>
  </r>
  <r>
    <x v="5"/>
    <s v="PROD00072"/>
    <n v="2"/>
    <n v="36.24"/>
    <n v="72.48"/>
  </r>
  <r>
    <x v="5"/>
    <s v="PROD00072"/>
    <n v="1"/>
    <n v="36.24"/>
    <n v="36.24"/>
  </r>
  <r>
    <x v="5"/>
    <s v="PROD00072"/>
    <n v="2"/>
    <n v="36.24"/>
    <n v="72.48"/>
  </r>
  <r>
    <x v="5"/>
    <s v="PROD00073"/>
    <n v="1"/>
    <n v="31.66"/>
    <n v="31.66"/>
  </r>
  <r>
    <x v="5"/>
    <s v="PROD00073"/>
    <n v="1"/>
    <n v="31.66"/>
    <n v="31.66"/>
  </r>
  <r>
    <x v="5"/>
    <s v="PROD00073"/>
    <n v="1"/>
    <n v="31.66"/>
    <n v="31.66"/>
  </r>
  <r>
    <x v="5"/>
    <s v="PROD00074"/>
    <n v="1"/>
    <n v="49.99"/>
    <n v="49.99"/>
  </r>
  <r>
    <x v="5"/>
    <s v="PROD00074"/>
    <n v="1"/>
    <n v="49.99"/>
    <n v="49.99"/>
  </r>
  <r>
    <x v="8"/>
    <s v="PROD00077"/>
    <n v="1"/>
    <n v="26.76"/>
    <n v="26.76"/>
  </r>
  <r>
    <x v="8"/>
    <s v="PROD00077"/>
    <n v="2"/>
    <n v="26.76"/>
    <n v="53.52"/>
  </r>
  <r>
    <x v="9"/>
    <s v="PROD00080"/>
    <n v="1"/>
    <n v="39.36"/>
    <n v="39.36"/>
  </r>
  <r>
    <x v="9"/>
    <s v="PROD00080"/>
    <n v="1"/>
    <n v="39.36"/>
    <n v="39.36"/>
  </r>
  <r>
    <x v="9"/>
    <s v="PROD00080"/>
    <n v="1"/>
    <n v="39.36"/>
    <n v="39.36"/>
  </r>
  <r>
    <x v="6"/>
    <s v="PROD00081"/>
    <n v="1"/>
    <n v="20.59"/>
    <n v="20.59"/>
  </r>
  <r>
    <x v="6"/>
    <s v="PROD00081"/>
    <n v="2"/>
    <n v="20.59"/>
    <n v="41.18"/>
  </r>
  <r>
    <x v="9"/>
    <s v="PROD00082"/>
    <n v="1"/>
    <n v="19.89"/>
    <n v="19.89"/>
  </r>
  <r>
    <x v="1"/>
    <s v="PROD00083"/>
    <n v="1"/>
    <n v="6.78"/>
    <n v="6.78"/>
  </r>
  <r>
    <x v="1"/>
    <s v="PROD00083"/>
    <n v="1"/>
    <n v="6.78"/>
    <n v="6.78"/>
  </r>
  <r>
    <x v="8"/>
    <s v="PROD00084"/>
    <n v="1"/>
    <n v="46.55"/>
    <n v="46.55"/>
  </r>
  <r>
    <x v="8"/>
    <s v="PROD00084"/>
    <n v="2"/>
    <n v="46.55"/>
    <n v="93.1"/>
  </r>
  <r>
    <x v="9"/>
    <s v="PROD00085"/>
    <n v="2"/>
    <n v="22.33"/>
    <n v="44.66"/>
  </r>
  <r>
    <x v="9"/>
    <s v="PROD00085"/>
    <n v="1"/>
    <n v="22.33"/>
    <n v="22.33"/>
  </r>
  <r>
    <x v="9"/>
    <s v="PROD00086"/>
    <n v="1"/>
    <n v="37.840000000000003"/>
    <n v="37.840000000000003"/>
  </r>
  <r>
    <x v="9"/>
    <s v="PROD00086"/>
    <n v="1"/>
    <n v="37.840000000000003"/>
    <n v="37.840000000000003"/>
  </r>
  <r>
    <x v="9"/>
    <s v="PROD00086"/>
    <n v="1"/>
    <n v="37.840000000000003"/>
    <n v="37.840000000000003"/>
  </r>
  <r>
    <x v="9"/>
    <s v="PROD00086"/>
    <n v="2"/>
    <n v="37.840000000000003"/>
    <n v="75.680000000000007"/>
  </r>
  <r>
    <x v="8"/>
    <s v="PROD00087"/>
    <n v="2"/>
    <n v="82.88"/>
    <n v="165.76"/>
  </r>
  <r>
    <x v="8"/>
    <s v="PROD00087"/>
    <n v="1"/>
    <n v="82.88"/>
    <n v="82.88"/>
  </r>
  <r>
    <x v="3"/>
    <s v="PROD00088"/>
    <n v="1"/>
    <n v="27.88"/>
    <n v="27.88"/>
  </r>
  <r>
    <x v="3"/>
    <s v="PROD00088"/>
    <n v="1"/>
    <n v="27.88"/>
    <n v="27.88"/>
  </r>
  <r>
    <x v="5"/>
    <s v="PROD00089"/>
    <n v="1"/>
    <n v="43.42"/>
    <n v="43.42"/>
  </r>
  <r>
    <x v="5"/>
    <s v="PROD00089"/>
    <n v="1"/>
    <n v="43.42"/>
    <n v="43.42"/>
  </r>
  <r>
    <x v="5"/>
    <s v="PROD00089"/>
    <n v="1"/>
    <n v="43.42"/>
    <n v="43.42"/>
  </r>
  <r>
    <x v="8"/>
    <s v="PROD00090"/>
    <n v="2"/>
    <n v="42.24"/>
    <n v="84.48"/>
  </r>
  <r>
    <x v="8"/>
    <s v="PROD00090"/>
    <n v="1"/>
    <n v="42.24"/>
    <n v="42.24"/>
  </r>
  <r>
    <x v="3"/>
    <s v="PROD00091"/>
    <n v="1"/>
    <n v="27.76"/>
    <n v="27.76"/>
  </r>
  <r>
    <x v="3"/>
    <s v="PROD00091"/>
    <n v="1"/>
    <n v="27.76"/>
    <n v="27.76"/>
  </r>
  <r>
    <x v="9"/>
    <s v="PROD00092"/>
    <n v="1"/>
    <n v="37.630000000000003"/>
    <n v="37.630000000000003"/>
  </r>
  <r>
    <x v="1"/>
    <s v="PROD00093"/>
    <n v="1"/>
    <n v="12.88"/>
    <n v="12.88"/>
  </r>
  <r>
    <x v="1"/>
    <s v="PROD00093"/>
    <n v="1"/>
    <n v="12.88"/>
    <n v="12.88"/>
  </r>
  <r>
    <x v="1"/>
    <s v="PROD00093"/>
    <n v="2"/>
    <n v="12.88"/>
    <n v="25.76"/>
  </r>
  <r>
    <x v="1"/>
    <s v="PROD00093"/>
    <n v="1"/>
    <n v="12.88"/>
    <n v="12.88"/>
  </r>
  <r>
    <x v="5"/>
    <s v="PROD00094"/>
    <n v="1"/>
    <n v="40.83"/>
    <n v="40.83"/>
  </r>
  <r>
    <x v="5"/>
    <s v="PROD00094"/>
    <n v="1"/>
    <n v="40.83"/>
    <n v="40.83"/>
  </r>
  <r>
    <x v="5"/>
    <s v="PROD00094"/>
    <n v="1"/>
    <n v="40.83"/>
    <n v="40.83"/>
  </r>
  <r>
    <x v="5"/>
    <s v="PROD00094"/>
    <n v="1"/>
    <n v="40.83"/>
    <n v="40.83"/>
  </r>
  <r>
    <x v="5"/>
    <s v="PROD00094"/>
    <n v="1"/>
    <n v="40.83"/>
    <n v="40.83"/>
  </r>
  <r>
    <x v="2"/>
    <s v="PROD00095"/>
    <n v="1"/>
    <n v="20.13"/>
    <n v="20.13"/>
  </r>
  <r>
    <x v="2"/>
    <s v="PROD00096"/>
    <n v="1"/>
    <n v="7.88"/>
    <n v="7.88"/>
  </r>
  <r>
    <x v="5"/>
    <s v="PROD00098"/>
    <n v="1"/>
    <n v="115.39"/>
    <n v="115.39"/>
  </r>
  <r>
    <x v="5"/>
    <s v="PROD00098"/>
    <n v="1"/>
    <n v="115.39"/>
    <n v="115.39"/>
  </r>
  <r>
    <x v="6"/>
    <s v="PROD00100"/>
    <n v="1"/>
    <n v="58.45"/>
    <n v="58.45"/>
  </r>
  <r>
    <x v="6"/>
    <s v="PROD00100"/>
    <n v="1"/>
    <n v="58.45"/>
    <n v="58.45"/>
  </r>
  <r>
    <x v="9"/>
    <s v="PROD00101"/>
    <n v="1"/>
    <n v="32.44"/>
    <n v="32.44"/>
  </r>
  <r>
    <x v="9"/>
    <s v="PROD00101"/>
    <n v="1"/>
    <n v="32.44"/>
    <n v="32.44"/>
  </r>
  <r>
    <x v="2"/>
    <s v="PROD00102"/>
    <n v="1"/>
    <n v="17.66"/>
    <n v="17.66"/>
  </r>
  <r>
    <x v="3"/>
    <s v="PROD00103"/>
    <n v="1"/>
    <n v="39.99"/>
    <n v="39.99"/>
  </r>
  <r>
    <x v="3"/>
    <s v="PROD00103"/>
    <n v="2"/>
    <n v="39.99"/>
    <n v="79.98"/>
  </r>
  <r>
    <x v="3"/>
    <s v="PROD00103"/>
    <n v="2"/>
    <n v="39.99"/>
    <n v="79.98"/>
  </r>
  <r>
    <x v="5"/>
    <s v="PROD00104"/>
    <n v="1"/>
    <n v="44.42"/>
    <n v="44.42"/>
  </r>
  <r>
    <x v="5"/>
    <s v="PROD00104"/>
    <n v="1"/>
    <n v="44.42"/>
    <n v="44.42"/>
  </r>
  <r>
    <x v="5"/>
    <s v="PROD00104"/>
    <n v="1"/>
    <n v="44.42"/>
    <n v="44.42"/>
  </r>
  <r>
    <x v="4"/>
    <s v="PROD00105"/>
    <n v="1"/>
    <n v="26.98"/>
    <n v="26.98"/>
  </r>
  <r>
    <x v="3"/>
    <s v="PROD00107"/>
    <n v="1"/>
    <n v="41.73"/>
    <n v="41.73"/>
  </r>
  <r>
    <x v="3"/>
    <s v="PROD00107"/>
    <n v="1"/>
    <n v="41.73"/>
    <n v="41.73"/>
  </r>
  <r>
    <x v="3"/>
    <s v="PROD00107"/>
    <n v="1"/>
    <n v="41.73"/>
    <n v="41.73"/>
  </r>
  <r>
    <x v="3"/>
    <s v="PROD00107"/>
    <n v="1"/>
    <n v="41.73"/>
    <n v="41.73"/>
  </r>
  <r>
    <x v="3"/>
    <s v="PROD00107"/>
    <n v="1"/>
    <n v="41.73"/>
    <n v="41.73"/>
  </r>
  <r>
    <x v="8"/>
    <s v="PROD00108"/>
    <n v="2"/>
    <n v="91.41"/>
    <n v="182.82"/>
  </r>
  <r>
    <x v="8"/>
    <s v="PROD00108"/>
    <n v="1"/>
    <n v="91.41"/>
    <n v="91.41"/>
  </r>
  <r>
    <x v="8"/>
    <s v="PROD00108"/>
    <n v="1"/>
    <n v="91.41"/>
    <n v="91.41"/>
  </r>
  <r>
    <x v="6"/>
    <s v="PROD00109"/>
    <n v="1"/>
    <n v="13.16"/>
    <n v="13.16"/>
  </r>
  <r>
    <x v="6"/>
    <s v="PROD00109"/>
    <n v="1"/>
    <n v="13.16"/>
    <n v="13.16"/>
  </r>
  <r>
    <x v="6"/>
    <s v="PROD00109"/>
    <n v="2"/>
    <n v="13.16"/>
    <n v="26.32"/>
  </r>
  <r>
    <x v="0"/>
    <s v="PROD00110"/>
    <n v="1"/>
    <n v="15.99"/>
    <n v="15.99"/>
  </r>
  <r>
    <x v="3"/>
    <s v="PROD00111"/>
    <n v="1"/>
    <n v="37.79"/>
    <n v="37.79"/>
  </r>
  <r>
    <x v="3"/>
    <s v="PROD00111"/>
    <n v="1"/>
    <n v="37.79"/>
    <n v="37.79"/>
  </r>
  <r>
    <x v="3"/>
    <s v="PROD00111"/>
    <n v="1"/>
    <n v="37.79"/>
    <n v="37.79"/>
  </r>
  <r>
    <x v="3"/>
    <s v="PROD00113"/>
    <n v="1"/>
    <n v="53.5"/>
    <n v="53.5"/>
  </r>
  <r>
    <x v="3"/>
    <s v="PROD00113"/>
    <n v="1"/>
    <n v="53.5"/>
    <n v="53.5"/>
  </r>
  <r>
    <x v="7"/>
    <s v="PROD00115"/>
    <n v="1"/>
    <n v="112.5"/>
    <n v="112.5"/>
  </r>
  <r>
    <x v="7"/>
    <s v="PROD00115"/>
    <n v="1"/>
    <n v="112.5"/>
    <n v="112.5"/>
  </r>
  <r>
    <x v="5"/>
    <s v="PROD00116"/>
    <n v="1"/>
    <n v="55.56"/>
    <n v="55.56"/>
  </r>
  <r>
    <x v="6"/>
    <s v="PROD00117"/>
    <n v="1"/>
    <n v="13.95"/>
    <n v="13.95"/>
  </r>
  <r>
    <x v="3"/>
    <s v="PROD00118"/>
    <n v="1"/>
    <n v="53.17"/>
    <n v="53.17"/>
  </r>
  <r>
    <x v="3"/>
    <s v="PROD00118"/>
    <n v="1"/>
    <n v="53.17"/>
    <n v="53.17"/>
  </r>
  <r>
    <x v="5"/>
    <s v="PROD00119"/>
    <n v="1"/>
    <n v="51.49"/>
    <n v="51.49"/>
  </r>
  <r>
    <x v="3"/>
    <s v="PROD00120"/>
    <n v="1"/>
    <n v="25.48"/>
    <n v="25.48"/>
  </r>
  <r>
    <x v="8"/>
    <s v="PROD00121"/>
    <n v="1"/>
    <n v="16.809999999999999"/>
    <n v="16.809999999999999"/>
  </r>
  <r>
    <x v="0"/>
    <s v="PROD00122"/>
    <n v="1"/>
    <n v="9.81"/>
    <n v="9.81"/>
  </r>
  <r>
    <x v="0"/>
    <s v="PROD00122"/>
    <n v="1"/>
    <n v="9.81"/>
    <n v="9.81"/>
  </r>
  <r>
    <x v="8"/>
    <s v="PROD00124"/>
    <n v="1"/>
    <n v="84.85"/>
    <n v="84.85"/>
  </r>
  <r>
    <x v="6"/>
    <s v="PROD00125"/>
    <n v="1"/>
    <n v="13.79"/>
    <n v="13.79"/>
  </r>
  <r>
    <x v="6"/>
    <s v="PROD00125"/>
    <n v="2"/>
    <n v="13.79"/>
    <n v="27.58"/>
  </r>
  <r>
    <x v="1"/>
    <s v="PROD00126"/>
    <n v="1"/>
    <n v="5.49"/>
    <n v="5.49"/>
  </r>
  <r>
    <x v="1"/>
    <s v="PROD00126"/>
    <n v="1"/>
    <n v="5.49"/>
    <n v="5.49"/>
  </r>
  <r>
    <x v="1"/>
    <s v="PROD00126"/>
    <n v="1"/>
    <n v="5.49"/>
    <n v="5.49"/>
  </r>
  <r>
    <x v="5"/>
    <s v="PROD00127"/>
    <n v="1"/>
    <n v="92.15"/>
    <n v="92.15"/>
  </r>
  <r>
    <x v="9"/>
    <s v="PROD00128"/>
    <n v="1"/>
    <n v="37.340000000000003"/>
    <n v="37.340000000000003"/>
  </r>
  <r>
    <x v="9"/>
    <s v="PROD00128"/>
    <n v="1"/>
    <n v="37.340000000000003"/>
    <n v="37.340000000000003"/>
  </r>
  <r>
    <x v="9"/>
    <s v="PROD00128"/>
    <n v="1"/>
    <n v="37.340000000000003"/>
    <n v="37.340000000000003"/>
  </r>
  <r>
    <x v="9"/>
    <s v="PROD00128"/>
    <n v="2"/>
    <n v="37.340000000000003"/>
    <n v="74.680000000000007"/>
  </r>
  <r>
    <x v="2"/>
    <s v="PROD00130"/>
    <n v="1"/>
    <n v="12.31"/>
    <n v="12.31"/>
  </r>
  <r>
    <x v="2"/>
    <s v="PROD00130"/>
    <n v="1"/>
    <n v="12.31"/>
    <n v="12.31"/>
  </r>
  <r>
    <x v="2"/>
    <s v="PROD00130"/>
    <n v="1"/>
    <n v="12.31"/>
    <n v="12.31"/>
  </r>
  <r>
    <x v="2"/>
    <s v="PROD00130"/>
    <n v="2"/>
    <n v="12.31"/>
    <n v="24.62"/>
  </r>
  <r>
    <x v="2"/>
    <s v="PROD00130"/>
    <n v="2"/>
    <n v="12.31"/>
    <n v="24.62"/>
  </r>
  <r>
    <x v="2"/>
    <s v="PROD00131"/>
    <n v="1"/>
    <n v="37.72"/>
    <n v="37.72"/>
  </r>
  <r>
    <x v="2"/>
    <s v="PROD00133"/>
    <n v="1"/>
    <n v="35.11"/>
    <n v="35.11"/>
  </r>
  <r>
    <x v="5"/>
    <s v="PROD00135"/>
    <n v="1"/>
    <n v="48.81"/>
    <n v="48.81"/>
  </r>
  <r>
    <x v="5"/>
    <s v="PROD00135"/>
    <n v="6"/>
    <n v="48.81"/>
    <n v="292.86"/>
  </r>
  <r>
    <x v="5"/>
    <s v="PROD00135"/>
    <n v="1"/>
    <n v="48.81"/>
    <n v="48.81"/>
  </r>
  <r>
    <x v="5"/>
    <s v="PROD00135"/>
    <n v="1"/>
    <n v="48.81"/>
    <n v="48.81"/>
  </r>
  <r>
    <x v="2"/>
    <s v="PROD00136"/>
    <n v="2"/>
    <n v="20.309999999999999"/>
    <n v="40.619999999999997"/>
  </r>
  <r>
    <x v="2"/>
    <s v="PROD00136"/>
    <n v="1"/>
    <n v="20.309999999999999"/>
    <n v="20.309999999999999"/>
  </r>
  <r>
    <x v="2"/>
    <s v="PROD00136"/>
    <n v="1"/>
    <n v="20.309999999999999"/>
    <n v="20.309999999999999"/>
  </r>
  <r>
    <x v="1"/>
    <s v="PROD00137"/>
    <n v="1"/>
    <n v="7.57"/>
    <n v="7.57"/>
  </r>
  <r>
    <x v="1"/>
    <s v="PROD00137"/>
    <n v="1"/>
    <n v="7.57"/>
    <n v="7.57"/>
  </r>
  <r>
    <x v="1"/>
    <s v="PROD00137"/>
    <n v="1"/>
    <n v="7.57"/>
    <n v="7.57"/>
  </r>
  <r>
    <x v="1"/>
    <s v="PROD00138"/>
    <n v="1"/>
    <n v="8.36"/>
    <n v="8.36"/>
  </r>
  <r>
    <x v="7"/>
    <s v="PROD00140"/>
    <n v="1"/>
    <n v="81.81"/>
    <n v="81.81"/>
  </r>
  <r>
    <x v="7"/>
    <s v="PROD00140"/>
    <n v="1"/>
    <n v="81.81"/>
    <n v="81.81"/>
  </r>
  <r>
    <x v="7"/>
    <s v="PROD00142"/>
    <n v="1"/>
    <n v="62.17"/>
    <n v="62.17"/>
  </r>
  <r>
    <x v="4"/>
    <s v="PROD00143"/>
    <n v="1"/>
    <n v="49.21"/>
    <n v="49.21"/>
  </r>
  <r>
    <x v="4"/>
    <s v="PROD00143"/>
    <n v="1"/>
    <n v="49.21"/>
    <n v="49.21"/>
  </r>
  <r>
    <x v="5"/>
    <s v="PROD00147"/>
    <n v="1"/>
    <n v="88.21"/>
    <n v="88.21"/>
  </r>
  <r>
    <x v="5"/>
    <s v="PROD00147"/>
    <n v="1"/>
    <n v="88.21"/>
    <n v="88.21"/>
  </r>
  <r>
    <x v="5"/>
    <s v="PROD00147"/>
    <n v="1"/>
    <n v="88.21"/>
    <n v="88.21"/>
  </r>
  <r>
    <x v="6"/>
    <s v="PROD00148"/>
    <n v="1"/>
    <n v="35.020000000000003"/>
    <n v="35.020000000000003"/>
  </r>
  <r>
    <x v="9"/>
    <s v="PROD00149"/>
    <n v="1"/>
    <n v="14.62"/>
    <n v="14.62"/>
  </r>
  <r>
    <x v="2"/>
    <s v="PROD00151"/>
    <n v="1"/>
    <n v="24.94"/>
    <n v="24.94"/>
  </r>
  <r>
    <x v="3"/>
    <s v="PROD00152"/>
    <n v="1"/>
    <n v="42.11"/>
    <n v="42.11"/>
  </r>
  <r>
    <x v="3"/>
    <s v="PROD00152"/>
    <n v="1"/>
    <n v="42.11"/>
    <n v="42.11"/>
  </r>
  <r>
    <x v="4"/>
    <s v="PROD00153"/>
    <n v="1"/>
    <n v="48.8"/>
    <n v="48.8"/>
  </r>
  <r>
    <x v="0"/>
    <s v="PROD00154"/>
    <n v="1"/>
    <n v="23.68"/>
    <n v="23.68"/>
  </r>
  <r>
    <x v="2"/>
    <s v="PROD00155"/>
    <n v="1"/>
    <n v="16.22"/>
    <n v="16.22"/>
  </r>
  <r>
    <x v="2"/>
    <s v="PROD00155"/>
    <n v="1"/>
    <n v="16.22"/>
    <n v="16.22"/>
  </r>
  <r>
    <x v="3"/>
    <s v="PROD00156"/>
    <n v="1"/>
    <n v="37.99"/>
    <n v="37.99"/>
  </r>
  <r>
    <x v="3"/>
    <s v="PROD00156"/>
    <n v="1"/>
    <n v="37.99"/>
    <n v="37.99"/>
  </r>
  <r>
    <x v="0"/>
    <s v="PROD00157"/>
    <n v="2"/>
    <n v="16.149999999999999"/>
    <n v="32.299999999999997"/>
  </r>
  <r>
    <x v="7"/>
    <s v="PROD00158"/>
    <n v="1"/>
    <n v="88.29"/>
    <n v="88.29"/>
  </r>
  <r>
    <x v="7"/>
    <s v="PROD00158"/>
    <n v="1"/>
    <n v="88.29"/>
    <n v="88.29"/>
  </r>
  <r>
    <x v="7"/>
    <s v="PROD00158"/>
    <n v="1"/>
    <n v="88.29"/>
    <n v="88.29"/>
  </r>
  <r>
    <x v="7"/>
    <s v="PROD00158"/>
    <n v="1"/>
    <n v="88.29"/>
    <n v="88.29"/>
  </r>
  <r>
    <x v="2"/>
    <s v="PROD00159"/>
    <n v="1"/>
    <n v="13.7"/>
    <n v="13.7"/>
  </r>
  <r>
    <x v="2"/>
    <s v="PROD00159"/>
    <n v="1"/>
    <n v="13.7"/>
    <n v="13.7"/>
  </r>
  <r>
    <x v="2"/>
    <s v="PROD00159"/>
    <n v="2"/>
    <n v="13.7"/>
    <n v="27.4"/>
  </r>
  <r>
    <x v="2"/>
    <s v="PROD00159"/>
    <n v="1"/>
    <n v="13.7"/>
    <n v="13.7"/>
  </r>
  <r>
    <x v="8"/>
    <s v="PROD00164"/>
    <n v="1"/>
    <n v="89.07"/>
    <n v="89.07"/>
  </r>
  <r>
    <x v="1"/>
    <s v="PROD00167"/>
    <n v="1"/>
    <n v="12.82"/>
    <n v="12.82"/>
  </r>
  <r>
    <x v="6"/>
    <s v="PROD00168"/>
    <n v="1"/>
    <n v="33.36"/>
    <n v="33.36"/>
  </r>
  <r>
    <x v="6"/>
    <s v="PROD00168"/>
    <n v="2"/>
    <n v="33.36"/>
    <n v="66.72"/>
  </r>
  <r>
    <x v="6"/>
    <s v="PROD00169"/>
    <n v="1"/>
    <n v="31.11"/>
    <n v="31.11"/>
  </r>
  <r>
    <x v="6"/>
    <s v="PROD00169"/>
    <n v="1"/>
    <n v="31.11"/>
    <n v="31.11"/>
  </r>
  <r>
    <x v="5"/>
    <s v="PROD00170"/>
    <n v="2"/>
    <n v="75.239999999999995"/>
    <n v="150.47999999999999"/>
  </r>
  <r>
    <x v="5"/>
    <s v="PROD00170"/>
    <n v="1"/>
    <n v="75.239999999999995"/>
    <n v="75.239999999999995"/>
  </r>
  <r>
    <x v="5"/>
    <s v="PROD00170"/>
    <n v="1"/>
    <n v="75.239999999999995"/>
    <n v="75.239999999999995"/>
  </r>
  <r>
    <x v="5"/>
    <s v="PROD00170"/>
    <n v="1"/>
    <n v="75.239999999999995"/>
    <n v="75.239999999999995"/>
  </r>
  <r>
    <x v="5"/>
    <s v="PROD00170"/>
    <n v="1"/>
    <n v="75.239999999999995"/>
    <n v="75.239999999999995"/>
  </r>
  <r>
    <x v="3"/>
    <s v="PROD00171"/>
    <n v="1"/>
    <n v="40.28"/>
    <n v="40.28"/>
  </r>
  <r>
    <x v="9"/>
    <s v="PROD00172"/>
    <n v="1"/>
    <n v="29.98"/>
    <n v="29.98"/>
  </r>
  <r>
    <x v="9"/>
    <s v="PROD00172"/>
    <n v="1"/>
    <n v="29.98"/>
    <n v="29.98"/>
  </r>
  <r>
    <x v="6"/>
    <s v="PROD00173"/>
    <n v="1"/>
    <n v="29"/>
    <n v="29"/>
  </r>
  <r>
    <x v="6"/>
    <s v="PROD00173"/>
    <n v="1"/>
    <n v="29"/>
    <n v="29"/>
  </r>
  <r>
    <x v="6"/>
    <s v="PROD00175"/>
    <n v="1"/>
    <n v="36.35"/>
    <n v="36.35"/>
  </r>
  <r>
    <x v="6"/>
    <s v="PROD00175"/>
    <n v="1"/>
    <n v="36.35"/>
    <n v="36.35"/>
  </r>
  <r>
    <x v="5"/>
    <s v="PROD00176"/>
    <n v="1"/>
    <n v="34.86"/>
    <n v="34.86"/>
  </r>
  <r>
    <x v="5"/>
    <s v="PROD00176"/>
    <n v="2"/>
    <n v="34.86"/>
    <n v="69.72"/>
  </r>
  <r>
    <x v="5"/>
    <s v="PROD00176"/>
    <n v="1"/>
    <n v="34.86"/>
    <n v="34.86"/>
  </r>
  <r>
    <x v="5"/>
    <s v="PROD00176"/>
    <n v="1"/>
    <n v="34.86"/>
    <n v="34.86"/>
  </r>
  <r>
    <x v="5"/>
    <s v="PROD00176"/>
    <n v="1"/>
    <n v="34.86"/>
    <n v="34.86"/>
  </r>
  <r>
    <x v="5"/>
    <s v="PROD00176"/>
    <n v="1"/>
    <n v="34.86"/>
    <n v="34.86"/>
  </r>
  <r>
    <x v="5"/>
    <s v="PROD00176"/>
    <n v="1"/>
    <n v="34.86"/>
    <n v="34.86"/>
  </r>
  <r>
    <x v="3"/>
    <s v="PROD00182"/>
    <n v="1"/>
    <n v="39.99"/>
    <n v="39.99"/>
  </r>
  <r>
    <x v="8"/>
    <s v="PROD00184"/>
    <n v="1"/>
    <n v="83.03"/>
    <n v="83.03"/>
  </r>
  <r>
    <x v="2"/>
    <s v="PROD00186"/>
    <n v="2"/>
    <n v="18.989999999999998"/>
    <n v="37.979999999999997"/>
  </r>
  <r>
    <x v="6"/>
    <s v="PROD00187"/>
    <n v="1"/>
    <n v="24.7"/>
    <n v="24.7"/>
  </r>
  <r>
    <x v="6"/>
    <s v="PROD00187"/>
    <n v="1"/>
    <n v="24.7"/>
    <n v="24.7"/>
  </r>
  <r>
    <x v="5"/>
    <s v="PROD00188"/>
    <n v="1"/>
    <n v="110.01"/>
    <n v="110.01"/>
  </r>
  <r>
    <x v="5"/>
    <s v="PROD00188"/>
    <n v="1"/>
    <n v="110.01"/>
    <n v="110.01"/>
  </r>
  <r>
    <x v="5"/>
    <s v="PROD00189"/>
    <n v="1"/>
    <n v="35.08"/>
    <n v="35.08"/>
  </r>
  <r>
    <x v="6"/>
    <s v="PROD00190"/>
    <n v="1"/>
    <n v="48.51"/>
    <n v="48.51"/>
  </r>
  <r>
    <x v="6"/>
    <s v="PROD00191"/>
    <n v="1"/>
    <n v="47.32"/>
    <n v="47.32"/>
  </r>
  <r>
    <x v="7"/>
    <s v="PROD00192"/>
    <n v="1"/>
    <n v="40.97"/>
    <n v="40.97"/>
  </r>
  <r>
    <x v="7"/>
    <s v="PROD00192"/>
    <n v="1"/>
    <n v="40.97"/>
    <n v="40.97"/>
  </r>
  <r>
    <x v="2"/>
    <s v="PROD00194"/>
    <n v="1"/>
    <n v="29.09"/>
    <n v="29.09"/>
  </r>
  <r>
    <x v="0"/>
    <s v="PROD00195"/>
    <n v="1"/>
    <n v="25.78"/>
    <n v="25.78"/>
  </r>
  <r>
    <x v="0"/>
    <s v="PROD00195"/>
    <n v="1"/>
    <n v="25.78"/>
    <n v="25.78"/>
  </r>
  <r>
    <x v="2"/>
    <s v="PROD00196"/>
    <n v="1"/>
    <n v="37.9"/>
    <n v="37.9"/>
  </r>
  <r>
    <x v="2"/>
    <s v="PROD00196"/>
    <n v="1"/>
    <n v="37.9"/>
    <n v="37.9"/>
  </r>
  <r>
    <x v="4"/>
    <s v="PROD00197"/>
    <n v="1"/>
    <n v="40.75"/>
    <n v="40.75"/>
  </r>
  <r>
    <x v="4"/>
    <s v="PROD00197"/>
    <n v="1"/>
    <n v="40.75"/>
    <n v="40.75"/>
  </r>
  <r>
    <x v="4"/>
    <s v="PROD00197"/>
    <n v="1"/>
    <n v="40.75"/>
    <n v="40.75"/>
  </r>
  <r>
    <x v="4"/>
    <s v="PROD00197"/>
    <n v="1"/>
    <n v="40.75"/>
    <n v="40.75"/>
  </r>
  <r>
    <x v="4"/>
    <s v="PROD00197"/>
    <n v="1"/>
    <n v="40.75"/>
    <n v="40.75"/>
  </r>
  <r>
    <x v="2"/>
    <s v="PROD00198"/>
    <n v="1"/>
    <n v="24.19"/>
    <n v="24.19"/>
  </r>
  <r>
    <x v="2"/>
    <s v="PROD00198"/>
    <n v="1"/>
    <n v="24.19"/>
    <n v="24.19"/>
  </r>
  <r>
    <x v="2"/>
    <s v="PROD00198"/>
    <n v="1"/>
    <n v="24.19"/>
    <n v="24.19"/>
  </r>
  <r>
    <x v="3"/>
    <s v="PROD00199"/>
    <n v="1"/>
    <n v="32.42"/>
    <n v="32.42"/>
  </r>
  <r>
    <x v="3"/>
    <s v="PROD00199"/>
    <n v="1"/>
    <n v="32.42"/>
    <n v="32.42"/>
  </r>
  <r>
    <x v="5"/>
    <s v="PROD00200"/>
    <n v="1"/>
    <n v="30.95"/>
    <n v="30.95"/>
  </r>
  <r>
    <x v="5"/>
    <s v="PROD00200"/>
    <n v="1"/>
    <n v="30.95"/>
    <n v="30.95"/>
  </r>
  <r>
    <x v="5"/>
    <s v="PROD00200"/>
    <n v="2"/>
    <n v="30.95"/>
    <n v="61.9"/>
  </r>
  <r>
    <x v="5"/>
    <s v="PROD00200"/>
    <n v="2"/>
    <n v="30.95"/>
    <n v="61.9"/>
  </r>
  <r>
    <x v="5"/>
    <s v="PROD00200"/>
    <n v="2"/>
    <n v="30.95"/>
    <n v="61.9"/>
  </r>
  <r>
    <x v="5"/>
    <s v="PROD00200"/>
    <n v="1"/>
    <n v="30.95"/>
    <n v="30.95"/>
  </r>
  <r>
    <x v="5"/>
    <s v="PROD00200"/>
    <n v="2"/>
    <n v="30.95"/>
    <n v="61.9"/>
  </r>
  <r>
    <x v="5"/>
    <s v="PROD00200"/>
    <n v="1"/>
    <n v="30.95"/>
    <n v="30.95"/>
  </r>
  <r>
    <x v="5"/>
    <s v="PROD00200"/>
    <n v="2"/>
    <n v="30.95"/>
    <n v="61.9"/>
  </r>
  <r>
    <x v="5"/>
    <s v="PROD00200"/>
    <n v="1"/>
    <n v="30.95"/>
    <n v="30.95"/>
  </r>
  <r>
    <x v="5"/>
    <s v="PROD00201"/>
    <n v="2"/>
    <n v="72.790000000000006"/>
    <n v="145.58000000000001"/>
  </r>
  <r>
    <x v="5"/>
    <s v="PROD00201"/>
    <n v="1"/>
    <n v="72.790000000000006"/>
    <n v="72.790000000000006"/>
  </r>
  <r>
    <x v="5"/>
    <s v="PROD00201"/>
    <n v="1"/>
    <n v="72.790000000000006"/>
    <n v="72.790000000000006"/>
  </r>
  <r>
    <x v="5"/>
    <s v="PROD00201"/>
    <n v="1"/>
    <n v="72.790000000000006"/>
    <n v="72.790000000000006"/>
  </r>
  <r>
    <x v="0"/>
    <s v="PROD00202"/>
    <n v="2"/>
    <n v="27.55"/>
    <n v="55.1"/>
  </r>
  <r>
    <x v="0"/>
    <s v="PROD00202"/>
    <n v="1"/>
    <n v="27.55"/>
    <n v="27.55"/>
  </r>
  <r>
    <x v="7"/>
    <s v="PROD00204"/>
    <n v="1"/>
    <n v="38.56"/>
    <n v="38.56"/>
  </r>
  <r>
    <x v="7"/>
    <s v="PROD00204"/>
    <n v="1"/>
    <n v="38.56"/>
    <n v="38.56"/>
  </r>
  <r>
    <x v="3"/>
    <s v="PROD00205"/>
    <n v="1"/>
    <n v="52.53"/>
    <n v="52.53"/>
  </r>
  <r>
    <x v="0"/>
    <s v="PROD00207"/>
    <n v="1"/>
    <n v="32.01"/>
    <n v="32.01"/>
  </r>
  <r>
    <x v="5"/>
    <s v="PROD00209"/>
    <n v="1"/>
    <n v="50.7"/>
    <n v="50.7"/>
  </r>
  <r>
    <x v="3"/>
    <s v="PROD00210"/>
    <n v="1"/>
    <n v="53.17"/>
    <n v="53.17"/>
  </r>
  <r>
    <x v="8"/>
    <s v="PROD00211"/>
    <n v="1"/>
    <n v="14.98"/>
    <n v="14.98"/>
  </r>
  <r>
    <x v="8"/>
    <s v="PROD00211"/>
    <n v="1"/>
    <n v="14.98"/>
    <n v="14.98"/>
  </r>
  <r>
    <x v="8"/>
    <s v="PROD00211"/>
    <n v="1"/>
    <n v="14.98"/>
    <n v="14.98"/>
  </r>
  <r>
    <x v="2"/>
    <s v="PROD00212"/>
    <n v="1"/>
    <n v="32.44"/>
    <n v="32.44"/>
  </r>
  <r>
    <x v="2"/>
    <s v="PROD00212"/>
    <n v="1"/>
    <n v="32.44"/>
    <n v="32.44"/>
  </r>
  <r>
    <x v="2"/>
    <s v="PROD00212"/>
    <n v="1"/>
    <n v="32.44"/>
    <n v="32.44"/>
  </r>
  <r>
    <x v="6"/>
    <s v="PROD00213"/>
    <n v="1"/>
    <n v="52.35"/>
    <n v="52.35"/>
  </r>
  <r>
    <x v="6"/>
    <s v="PROD00213"/>
    <n v="1"/>
    <n v="52.35"/>
    <n v="52.35"/>
  </r>
  <r>
    <x v="5"/>
    <s v="PROD00214"/>
    <n v="2"/>
    <n v="32.67"/>
    <n v="65.34"/>
  </r>
  <r>
    <x v="5"/>
    <s v="PROD00214"/>
    <n v="1"/>
    <n v="32.67"/>
    <n v="32.67"/>
  </r>
  <r>
    <x v="5"/>
    <s v="PROD00214"/>
    <n v="1"/>
    <n v="32.67"/>
    <n v="32.67"/>
  </r>
  <r>
    <x v="5"/>
    <s v="PROD00214"/>
    <n v="1"/>
    <n v="32.67"/>
    <n v="32.67"/>
  </r>
  <r>
    <x v="5"/>
    <s v="PROD00214"/>
    <n v="1"/>
    <n v="32.67"/>
    <n v="32.67"/>
  </r>
  <r>
    <x v="5"/>
    <s v="PROD00214"/>
    <n v="1"/>
    <n v="32.67"/>
    <n v="32.67"/>
  </r>
  <r>
    <x v="5"/>
    <s v="PROD00214"/>
    <n v="1"/>
    <n v="32.67"/>
    <n v="32.67"/>
  </r>
  <r>
    <x v="5"/>
    <s v="PROD00214"/>
    <n v="1"/>
    <n v="32.67"/>
    <n v="32.67"/>
  </r>
  <r>
    <x v="5"/>
    <s v="PROD00214"/>
    <n v="2"/>
    <n v="32.67"/>
    <n v="65.34"/>
  </r>
  <r>
    <x v="5"/>
    <s v="PROD00214"/>
    <n v="2"/>
    <n v="32.67"/>
    <n v="65.34"/>
  </r>
  <r>
    <x v="5"/>
    <s v="PROD00214"/>
    <n v="1"/>
    <n v="32.67"/>
    <n v="32.67"/>
  </r>
  <r>
    <x v="5"/>
    <s v="PROD00214"/>
    <n v="2"/>
    <n v="32.67"/>
    <n v="65.34"/>
  </r>
  <r>
    <x v="5"/>
    <s v="PROD00214"/>
    <n v="1"/>
    <n v="32.67"/>
    <n v="32.67"/>
  </r>
  <r>
    <x v="5"/>
    <s v="PROD00214"/>
    <n v="1"/>
    <n v="32.67"/>
    <n v="32.67"/>
  </r>
  <r>
    <x v="8"/>
    <s v="PROD00215"/>
    <n v="2"/>
    <n v="19.989999999999998"/>
    <n v="39.979999999999997"/>
  </r>
  <r>
    <x v="8"/>
    <s v="PROD00215"/>
    <n v="1"/>
    <n v="19.989999999999998"/>
    <n v="19.989999999999998"/>
  </r>
  <r>
    <x v="8"/>
    <s v="PROD00215"/>
    <n v="2"/>
    <n v="19.989999999999998"/>
    <n v="39.979999999999997"/>
  </r>
  <r>
    <x v="8"/>
    <s v="PROD00215"/>
    <n v="1"/>
    <n v="19.989999999999998"/>
    <n v="19.989999999999998"/>
  </r>
  <r>
    <x v="6"/>
    <s v="PROD00217"/>
    <n v="1"/>
    <n v="54.03"/>
    <n v="54.03"/>
  </r>
  <r>
    <x v="0"/>
    <s v="PROD00218"/>
    <n v="1"/>
    <n v="22.23"/>
    <n v="22.23"/>
  </r>
  <r>
    <x v="5"/>
    <s v="PROD00219"/>
    <n v="1"/>
    <n v="74.39"/>
    <n v="74.39"/>
  </r>
  <r>
    <x v="5"/>
    <s v="PROD00219"/>
    <n v="1"/>
    <n v="74.39"/>
    <n v="74.39"/>
  </r>
  <r>
    <x v="5"/>
    <s v="PROD00219"/>
    <n v="1"/>
    <n v="74.39"/>
    <n v="74.39"/>
  </r>
  <r>
    <x v="5"/>
    <s v="PROD00222"/>
    <n v="2"/>
    <n v="93.44"/>
    <n v="186.88"/>
  </r>
  <r>
    <x v="5"/>
    <s v="PROD00222"/>
    <n v="1"/>
    <n v="93.44"/>
    <n v="93.44"/>
  </r>
  <r>
    <x v="5"/>
    <s v="PROD00222"/>
    <n v="1"/>
    <n v="93.44"/>
    <n v="93.44"/>
  </r>
  <r>
    <x v="5"/>
    <s v="PROD00224"/>
    <n v="1"/>
    <n v="26.98"/>
    <n v="26.98"/>
  </r>
  <r>
    <x v="5"/>
    <s v="PROD00224"/>
    <n v="1"/>
    <n v="26.98"/>
    <n v="26.98"/>
  </r>
  <r>
    <x v="7"/>
    <s v="PROD00225"/>
    <n v="1"/>
    <n v="23.36"/>
    <n v="23.36"/>
  </r>
  <r>
    <x v="9"/>
    <s v="PROD00227"/>
    <n v="1"/>
    <n v="19.03"/>
    <n v="19.03"/>
  </r>
  <r>
    <x v="9"/>
    <s v="PROD00227"/>
    <n v="1"/>
    <n v="19.03"/>
    <n v="19.03"/>
  </r>
  <r>
    <x v="9"/>
    <s v="PROD00227"/>
    <n v="1"/>
    <n v="19.03"/>
    <n v="19.03"/>
  </r>
  <r>
    <x v="8"/>
    <s v="PROD00228"/>
    <n v="1"/>
    <n v="64.55"/>
    <n v="64.55"/>
  </r>
  <r>
    <x v="8"/>
    <s v="PROD00228"/>
    <n v="1"/>
    <n v="64.55"/>
    <n v="64.55"/>
  </r>
  <r>
    <x v="8"/>
    <s v="PROD00228"/>
    <n v="1"/>
    <n v="64.55"/>
    <n v="64.55"/>
  </r>
  <r>
    <x v="8"/>
    <s v="PROD00228"/>
    <n v="1"/>
    <n v="64.55"/>
    <n v="64.55"/>
  </r>
  <r>
    <x v="0"/>
    <s v="PROD00229"/>
    <n v="1"/>
    <n v="32.19"/>
    <n v="32.19"/>
  </r>
  <r>
    <x v="0"/>
    <s v="PROD00229"/>
    <n v="1"/>
    <n v="32.19"/>
    <n v="32.19"/>
  </r>
  <r>
    <x v="0"/>
    <s v="PROD00229"/>
    <n v="1"/>
    <n v="32.19"/>
    <n v="32.19"/>
  </r>
  <r>
    <x v="0"/>
    <s v="PROD00230"/>
    <n v="1"/>
    <n v="25"/>
    <n v="25"/>
  </r>
  <r>
    <x v="0"/>
    <s v="PROD00230"/>
    <n v="1"/>
    <n v="25"/>
    <n v="25"/>
  </r>
  <r>
    <x v="6"/>
    <s v="PROD00231"/>
    <n v="1"/>
    <n v="59.4"/>
    <n v="59.4"/>
  </r>
  <r>
    <x v="6"/>
    <s v="PROD00231"/>
    <n v="1"/>
    <n v="59.4"/>
    <n v="59.4"/>
  </r>
  <r>
    <x v="5"/>
    <s v="PROD00232"/>
    <n v="1"/>
    <n v="75.099999999999994"/>
    <n v="75.099999999999994"/>
  </r>
  <r>
    <x v="5"/>
    <s v="PROD00232"/>
    <n v="1"/>
    <n v="75.099999999999994"/>
    <n v="75.099999999999994"/>
  </r>
  <r>
    <x v="5"/>
    <s v="PROD00232"/>
    <n v="1"/>
    <n v="75.099999999999994"/>
    <n v="75.099999999999994"/>
  </r>
  <r>
    <x v="5"/>
    <s v="PROD00232"/>
    <n v="1"/>
    <n v="75.099999999999994"/>
    <n v="75.099999999999994"/>
  </r>
  <r>
    <x v="5"/>
    <s v="PROD00232"/>
    <n v="1"/>
    <n v="75.099999999999994"/>
    <n v="75.099999999999994"/>
  </r>
  <r>
    <x v="5"/>
    <s v="PROD00232"/>
    <n v="1"/>
    <n v="75.099999999999994"/>
    <n v="75.099999999999994"/>
  </r>
  <r>
    <x v="3"/>
    <s v="PROD00234"/>
    <n v="1"/>
    <n v="20.75"/>
    <n v="20.75"/>
  </r>
  <r>
    <x v="3"/>
    <s v="PROD00234"/>
    <n v="1"/>
    <n v="20.75"/>
    <n v="20.75"/>
  </r>
  <r>
    <x v="3"/>
    <s v="PROD00235"/>
    <n v="1"/>
    <n v="20.75"/>
    <n v="20.75"/>
  </r>
  <r>
    <x v="3"/>
    <s v="PROD00235"/>
    <n v="2"/>
    <n v="20.75"/>
    <n v="41.5"/>
  </r>
  <r>
    <x v="3"/>
    <s v="PROD00235"/>
    <n v="1"/>
    <n v="20.75"/>
    <n v="20.75"/>
  </r>
  <r>
    <x v="3"/>
    <s v="PROD00236"/>
    <n v="1"/>
    <n v="34.22"/>
    <n v="34.22"/>
  </r>
  <r>
    <x v="3"/>
    <s v="PROD00236"/>
    <n v="1"/>
    <n v="34.22"/>
    <n v="34.22"/>
  </r>
  <r>
    <x v="3"/>
    <s v="PROD00236"/>
    <n v="1"/>
    <n v="34.22"/>
    <n v="34.22"/>
  </r>
  <r>
    <x v="1"/>
    <s v="PROD00237"/>
    <n v="2"/>
    <n v="2.1800000000000002"/>
    <n v="4.3600000000000003"/>
  </r>
  <r>
    <x v="1"/>
    <s v="PROD00237"/>
    <n v="1"/>
    <n v="2.1800000000000002"/>
    <n v="2.1800000000000002"/>
  </r>
  <r>
    <x v="1"/>
    <s v="PROD00237"/>
    <n v="1"/>
    <n v="2.1800000000000002"/>
    <n v="2.1800000000000002"/>
  </r>
  <r>
    <x v="2"/>
    <s v="PROD00238"/>
    <n v="1"/>
    <n v="26.73"/>
    <n v="26.73"/>
  </r>
  <r>
    <x v="2"/>
    <s v="PROD00238"/>
    <n v="1"/>
    <n v="26.73"/>
    <n v="26.73"/>
  </r>
  <r>
    <x v="4"/>
    <s v="PROD00239"/>
    <n v="1"/>
    <n v="79.16"/>
    <n v="79.16"/>
  </r>
  <r>
    <x v="4"/>
    <s v="PROD00239"/>
    <n v="1"/>
    <n v="79.16"/>
    <n v="79.16"/>
  </r>
  <r>
    <x v="4"/>
    <s v="PROD00239"/>
    <n v="1"/>
    <n v="79.16"/>
    <n v="79.16"/>
  </r>
  <r>
    <x v="5"/>
    <s v="PROD00240"/>
    <n v="1"/>
    <n v="51.74"/>
    <n v="51.74"/>
  </r>
  <r>
    <x v="5"/>
    <s v="PROD00240"/>
    <n v="1"/>
    <n v="51.74"/>
    <n v="51.74"/>
  </r>
  <r>
    <x v="5"/>
    <s v="PROD00240"/>
    <n v="1"/>
    <n v="51.74"/>
    <n v="51.74"/>
  </r>
  <r>
    <x v="5"/>
    <s v="PROD00240"/>
    <n v="1"/>
    <n v="51.74"/>
    <n v="51.74"/>
  </r>
  <r>
    <x v="5"/>
    <s v="PROD00240"/>
    <n v="1"/>
    <n v="51.74"/>
    <n v="51.74"/>
  </r>
  <r>
    <x v="5"/>
    <s v="PROD00240"/>
    <n v="1"/>
    <n v="51.74"/>
    <n v="51.74"/>
  </r>
  <r>
    <x v="5"/>
    <s v="PROD00240"/>
    <n v="2"/>
    <n v="51.74"/>
    <n v="103.48"/>
  </r>
  <r>
    <x v="5"/>
    <s v="PROD00240"/>
    <n v="1"/>
    <n v="51.74"/>
    <n v="51.74"/>
  </r>
  <r>
    <x v="5"/>
    <s v="PROD00240"/>
    <n v="1"/>
    <n v="51.74"/>
    <n v="51.74"/>
  </r>
  <r>
    <x v="6"/>
    <s v="PROD00242"/>
    <n v="1"/>
    <n v="16.899999999999999"/>
    <n v="16.899999999999999"/>
  </r>
  <r>
    <x v="9"/>
    <s v="PROD00244"/>
    <n v="2"/>
    <n v="34.36"/>
    <n v="68.72"/>
  </r>
  <r>
    <x v="9"/>
    <s v="PROD00244"/>
    <n v="1"/>
    <n v="34.36"/>
    <n v="34.36"/>
  </r>
  <r>
    <x v="1"/>
    <s v="PROD00250"/>
    <n v="1"/>
    <n v="6.18"/>
    <n v="6.18"/>
  </r>
  <r>
    <x v="1"/>
    <s v="PROD00250"/>
    <n v="2"/>
    <n v="6.18"/>
    <n v="12.36"/>
  </r>
  <r>
    <x v="1"/>
    <s v="PROD00250"/>
    <n v="1"/>
    <n v="6.18"/>
    <n v="6.18"/>
  </r>
  <r>
    <x v="3"/>
    <s v="PROD00252"/>
    <n v="1"/>
    <n v="56.67"/>
    <n v="56.67"/>
  </r>
  <r>
    <x v="3"/>
    <s v="PROD00252"/>
    <n v="1"/>
    <n v="56.67"/>
    <n v="56.67"/>
  </r>
  <r>
    <x v="9"/>
    <s v="PROD00253"/>
    <n v="1"/>
    <n v="19.09"/>
    <n v="19.09"/>
  </r>
  <r>
    <x v="9"/>
    <s v="PROD00253"/>
    <n v="2"/>
    <n v="19.09"/>
    <n v="38.18"/>
  </r>
  <r>
    <x v="5"/>
    <s v="PROD00255"/>
    <n v="1"/>
    <n v="31.66"/>
    <n v="31.66"/>
  </r>
  <r>
    <x v="5"/>
    <s v="PROD00256"/>
    <n v="5"/>
    <n v="48.14"/>
    <n v="240.7"/>
  </r>
  <r>
    <x v="5"/>
    <s v="PROD00256"/>
    <n v="1"/>
    <n v="48.14"/>
    <n v="48.14"/>
  </r>
  <r>
    <x v="5"/>
    <s v="PROD00256"/>
    <n v="1"/>
    <n v="48.14"/>
    <n v="48.14"/>
  </r>
  <r>
    <x v="0"/>
    <s v="PROD00257"/>
    <n v="1"/>
    <n v="17.28"/>
    <n v="17.28"/>
  </r>
  <r>
    <x v="0"/>
    <s v="PROD00257"/>
    <n v="1"/>
    <n v="17.28"/>
    <n v="17.28"/>
  </r>
  <r>
    <x v="0"/>
    <s v="PROD00257"/>
    <n v="2"/>
    <n v="17.28"/>
    <n v="34.56"/>
  </r>
  <r>
    <x v="0"/>
    <s v="PROD00259"/>
    <n v="2"/>
    <n v="22.28"/>
    <n v="44.56"/>
  </r>
  <r>
    <x v="0"/>
    <s v="PROD00259"/>
    <n v="1"/>
    <n v="22.28"/>
    <n v="22.28"/>
  </r>
  <r>
    <x v="0"/>
    <s v="PROD00261"/>
    <n v="1"/>
    <n v="6.91"/>
    <n v="6.91"/>
  </r>
  <r>
    <x v="0"/>
    <s v="PROD00261"/>
    <n v="1"/>
    <n v="6.91"/>
    <n v="6.91"/>
  </r>
  <r>
    <x v="8"/>
    <s v="PROD00263"/>
    <n v="1"/>
    <n v="119.3"/>
    <n v="119.3"/>
  </r>
  <r>
    <x v="8"/>
    <s v="PROD00263"/>
    <n v="1"/>
    <n v="119.3"/>
    <n v="119.3"/>
  </r>
  <r>
    <x v="8"/>
    <s v="PROD00263"/>
    <n v="1"/>
    <n v="119.3"/>
    <n v="119.3"/>
  </r>
  <r>
    <x v="8"/>
    <s v="PROD00263"/>
    <n v="1"/>
    <n v="119.3"/>
    <n v="119.3"/>
  </r>
  <r>
    <x v="0"/>
    <s v="PROD00264"/>
    <n v="1"/>
    <n v="32.26"/>
    <n v="32.26"/>
  </r>
  <r>
    <x v="0"/>
    <s v="PROD00264"/>
    <n v="1"/>
    <n v="32.26"/>
    <n v="32.26"/>
  </r>
  <r>
    <x v="0"/>
    <s v="PROD00264"/>
    <n v="2"/>
    <n v="32.26"/>
    <n v="64.52"/>
  </r>
  <r>
    <x v="0"/>
    <s v="PROD00264"/>
    <n v="1"/>
    <n v="32.26"/>
    <n v="32.26"/>
  </r>
  <r>
    <x v="0"/>
    <s v="PROD00265"/>
    <n v="2"/>
    <n v="22.24"/>
    <n v="44.48"/>
  </r>
  <r>
    <x v="0"/>
    <s v="PROD00265"/>
    <n v="1"/>
    <n v="22.24"/>
    <n v="22.24"/>
  </r>
  <r>
    <x v="0"/>
    <s v="PROD00268"/>
    <n v="1"/>
    <n v="16.11"/>
    <n v="16.11"/>
  </r>
  <r>
    <x v="0"/>
    <s v="PROD00269"/>
    <n v="1"/>
    <n v="26.2"/>
    <n v="26.2"/>
  </r>
  <r>
    <x v="0"/>
    <s v="PROD00269"/>
    <n v="2"/>
    <n v="26.2"/>
    <n v="52.4"/>
  </r>
  <r>
    <x v="0"/>
    <s v="PROD00271"/>
    <n v="2"/>
    <n v="19.37"/>
    <n v="38.74"/>
  </r>
  <r>
    <x v="0"/>
    <s v="PROD00272"/>
    <n v="2"/>
    <n v="13.25"/>
    <n v="26.5"/>
  </r>
  <r>
    <x v="0"/>
    <s v="PROD00272"/>
    <n v="1"/>
    <n v="13.25"/>
    <n v="13.25"/>
  </r>
  <r>
    <x v="0"/>
    <s v="PROD00272"/>
    <n v="1"/>
    <n v="13.25"/>
    <n v="13.25"/>
  </r>
  <r>
    <x v="3"/>
    <s v="PROD00274"/>
    <n v="1"/>
    <n v="36.49"/>
    <n v="36.49"/>
  </r>
  <r>
    <x v="3"/>
    <s v="PROD00275"/>
    <n v="1"/>
    <n v="27.32"/>
    <n v="27.32"/>
  </r>
  <r>
    <x v="3"/>
    <s v="PROD00275"/>
    <n v="1"/>
    <n v="27.32"/>
    <n v="27.32"/>
  </r>
  <r>
    <x v="3"/>
    <s v="PROD00276"/>
    <n v="1"/>
    <n v="44.13"/>
    <n v="44.13"/>
  </r>
  <r>
    <x v="3"/>
    <s v="PROD00276"/>
    <n v="1"/>
    <n v="44.13"/>
    <n v="44.13"/>
  </r>
  <r>
    <x v="3"/>
    <s v="PROD00276"/>
    <n v="1"/>
    <n v="44.13"/>
    <n v="44.13"/>
  </r>
  <r>
    <x v="3"/>
    <s v="PROD00276"/>
    <n v="2"/>
    <n v="44.13"/>
    <n v="88.26"/>
  </r>
  <r>
    <x v="3"/>
    <s v="PROD00277"/>
    <n v="1"/>
    <n v="37.99"/>
    <n v="37.99"/>
  </r>
  <r>
    <x v="3"/>
    <s v="PROD00277"/>
    <n v="2"/>
    <n v="37.99"/>
    <n v="75.98"/>
  </r>
  <r>
    <x v="3"/>
    <s v="PROD00277"/>
    <n v="2"/>
    <n v="37.99"/>
    <n v="75.98"/>
  </r>
  <r>
    <x v="3"/>
    <s v="PROD00283"/>
    <n v="1"/>
    <n v="32.76"/>
    <n v="32.76"/>
  </r>
  <r>
    <x v="3"/>
    <s v="PROD00284"/>
    <n v="1"/>
    <n v="33.89"/>
    <n v="33.89"/>
  </r>
  <r>
    <x v="3"/>
    <s v="PROD00284"/>
    <n v="1"/>
    <n v="33.89"/>
    <n v="33.89"/>
  </r>
  <r>
    <x v="3"/>
    <s v="PROD00286"/>
    <n v="2"/>
    <n v="54.51"/>
    <n v="109.02"/>
  </r>
  <r>
    <x v="3"/>
    <s v="PROD00286"/>
    <n v="2"/>
    <n v="54.51"/>
    <n v="109.02"/>
  </r>
  <r>
    <x v="3"/>
    <s v="PROD00286"/>
    <n v="1"/>
    <n v="54.51"/>
    <n v="54.51"/>
  </r>
  <r>
    <x v="3"/>
    <s v="PROD00286"/>
    <n v="2"/>
    <n v="54.51"/>
    <n v="109.02"/>
  </r>
  <r>
    <x v="3"/>
    <s v="PROD00290"/>
    <n v="2"/>
    <n v="53.17"/>
    <n v="106.34"/>
  </r>
  <r>
    <x v="7"/>
    <s v="PROD00292"/>
    <n v="1"/>
    <n v="47.75"/>
    <n v="47.75"/>
  </r>
  <r>
    <x v="7"/>
    <s v="PROD00294"/>
    <n v="2"/>
    <n v="110.9"/>
    <n v="221.8"/>
  </r>
  <r>
    <x v="7"/>
    <s v="PROD00296"/>
    <n v="1"/>
    <n v="49.85"/>
    <n v="49.85"/>
  </r>
  <r>
    <x v="7"/>
    <s v="PROD00296"/>
    <n v="2"/>
    <n v="49.85"/>
    <n v="99.7"/>
  </r>
  <r>
    <x v="7"/>
    <s v="PROD00297"/>
    <n v="1"/>
    <n v="97.88"/>
    <n v="97.88"/>
  </r>
  <r>
    <x v="7"/>
    <s v="PROD00297"/>
    <n v="1"/>
    <n v="97.88"/>
    <n v="97.88"/>
  </r>
  <r>
    <x v="7"/>
    <s v="PROD00297"/>
    <n v="1"/>
    <n v="97.88"/>
    <n v="97.88"/>
  </r>
  <r>
    <x v="7"/>
    <s v="PROD00298"/>
    <n v="1"/>
    <n v="63.55"/>
    <n v="63.55"/>
  </r>
  <r>
    <x v="7"/>
    <s v="PROD00298"/>
    <n v="1"/>
    <n v="63.55"/>
    <n v="63.55"/>
  </r>
  <r>
    <x v="3"/>
    <s v="PROD00301"/>
    <n v="1"/>
    <n v="53.17"/>
    <n v="53.17"/>
  </r>
  <r>
    <x v="3"/>
    <s v="PROD00302"/>
    <n v="1"/>
    <n v="53.17"/>
    <n v="53.17"/>
  </r>
  <r>
    <x v="7"/>
    <s v="PROD00303"/>
    <n v="1"/>
    <n v="66.33"/>
    <n v="66.33"/>
  </r>
  <r>
    <x v="7"/>
    <s v="PROD00304"/>
    <n v="1"/>
    <n v="115.55"/>
    <n v="115.55"/>
  </r>
  <r>
    <x v="7"/>
    <s v="PROD00304"/>
    <n v="1"/>
    <n v="115.55"/>
    <n v="115.55"/>
  </r>
  <r>
    <x v="7"/>
    <s v="PROD00305"/>
    <n v="1"/>
    <n v="29.36"/>
    <n v="29.36"/>
  </r>
  <r>
    <x v="7"/>
    <s v="PROD00305"/>
    <n v="1"/>
    <n v="29.36"/>
    <n v="29.36"/>
  </r>
  <r>
    <x v="7"/>
    <s v="PROD00305"/>
    <n v="1"/>
    <n v="29.36"/>
    <n v="29.36"/>
  </r>
  <r>
    <x v="7"/>
    <s v="PROD00306"/>
    <n v="1"/>
    <n v="92.77"/>
    <n v="92.77"/>
  </r>
  <r>
    <x v="7"/>
    <s v="PROD00306"/>
    <n v="1"/>
    <n v="92.77"/>
    <n v="92.77"/>
  </r>
  <r>
    <x v="7"/>
    <s v="PROD00306"/>
    <n v="1"/>
    <n v="92.77"/>
    <n v="92.77"/>
  </r>
  <r>
    <x v="7"/>
    <s v="PROD00307"/>
    <n v="1"/>
    <n v="63.84"/>
    <n v="63.84"/>
  </r>
  <r>
    <x v="7"/>
    <s v="PROD00307"/>
    <n v="1"/>
    <n v="63.84"/>
    <n v="63.84"/>
  </r>
  <r>
    <x v="7"/>
    <s v="PROD00307"/>
    <n v="1"/>
    <n v="63.84"/>
    <n v="63.84"/>
  </r>
  <r>
    <x v="7"/>
    <s v="PROD00308"/>
    <n v="1"/>
    <n v="63.84"/>
    <n v="63.84"/>
  </r>
  <r>
    <x v="7"/>
    <s v="PROD00308"/>
    <n v="1"/>
    <n v="63.84"/>
    <n v="63.84"/>
  </r>
  <r>
    <x v="7"/>
    <s v="PROD00308"/>
    <n v="1"/>
    <n v="63.84"/>
    <n v="63.84"/>
  </r>
  <r>
    <x v="7"/>
    <s v="PROD00309"/>
    <n v="1"/>
    <n v="63.84"/>
    <n v="63.84"/>
  </r>
  <r>
    <x v="7"/>
    <s v="PROD00311"/>
    <n v="1"/>
    <n v="113.45"/>
    <n v="113.45"/>
  </r>
  <r>
    <x v="7"/>
    <s v="PROD00312"/>
    <n v="1"/>
    <n v="63.84"/>
    <n v="63.84"/>
  </r>
  <r>
    <x v="7"/>
    <s v="PROD00313"/>
    <n v="2"/>
    <n v="63.84"/>
    <n v="127.68"/>
  </r>
  <r>
    <x v="7"/>
    <s v="PROD00313"/>
    <n v="1"/>
    <n v="63.84"/>
    <n v="63.84"/>
  </r>
  <r>
    <x v="7"/>
    <s v="PROD00313"/>
    <n v="2"/>
    <n v="63.84"/>
    <n v="127.68"/>
  </r>
  <r>
    <x v="7"/>
    <s v="PROD00314"/>
    <n v="1"/>
    <n v="63.84"/>
    <n v="63.84"/>
  </r>
  <r>
    <x v="7"/>
    <s v="PROD00315"/>
    <n v="2"/>
    <n v="36.57"/>
    <n v="73.14"/>
  </r>
  <r>
    <x v="7"/>
    <s v="PROD00315"/>
    <n v="1"/>
    <n v="36.57"/>
    <n v="36.57"/>
  </r>
  <r>
    <x v="7"/>
    <s v="PROD00315"/>
    <n v="2"/>
    <n v="36.57"/>
    <n v="73.14"/>
  </r>
  <r>
    <x v="7"/>
    <s v="PROD00315"/>
    <n v="1"/>
    <n v="36.57"/>
    <n v="36.57"/>
  </r>
  <r>
    <x v="7"/>
    <s v="PROD00316"/>
    <n v="1"/>
    <n v="36.57"/>
    <n v="36.57"/>
  </r>
  <r>
    <x v="9"/>
    <s v="PROD00319"/>
    <n v="1"/>
    <n v="24.92"/>
    <n v="24.92"/>
  </r>
  <r>
    <x v="9"/>
    <s v="PROD00319"/>
    <n v="1"/>
    <n v="24.92"/>
    <n v="24.92"/>
  </r>
  <r>
    <x v="9"/>
    <s v="PROD00320"/>
    <n v="1"/>
    <n v="33.89"/>
    <n v="33.89"/>
  </r>
  <r>
    <x v="9"/>
    <s v="PROD00320"/>
    <n v="2"/>
    <n v="33.89"/>
    <n v="67.78"/>
  </r>
  <r>
    <x v="9"/>
    <s v="PROD00321"/>
    <n v="1"/>
    <n v="32.33"/>
    <n v="32.33"/>
  </r>
  <r>
    <x v="9"/>
    <s v="PROD00321"/>
    <n v="1"/>
    <n v="32.33"/>
    <n v="32.33"/>
  </r>
  <r>
    <x v="9"/>
    <s v="PROD00321"/>
    <n v="1"/>
    <n v="32.33"/>
    <n v="32.33"/>
  </r>
  <r>
    <x v="9"/>
    <s v="PROD00322"/>
    <n v="1"/>
    <n v="13.54"/>
    <n v="13.54"/>
  </r>
  <r>
    <x v="9"/>
    <s v="PROD00323"/>
    <n v="1"/>
    <n v="21.81"/>
    <n v="21.81"/>
  </r>
  <r>
    <x v="9"/>
    <s v="PROD00323"/>
    <n v="2"/>
    <n v="21.81"/>
    <n v="43.62"/>
  </r>
  <r>
    <x v="9"/>
    <s v="PROD00323"/>
    <n v="1"/>
    <n v="21.81"/>
    <n v="21.81"/>
  </r>
  <r>
    <x v="9"/>
    <s v="PROD00323"/>
    <n v="1"/>
    <n v="21.81"/>
    <n v="21.81"/>
  </r>
  <r>
    <x v="9"/>
    <s v="PROD00324"/>
    <n v="1"/>
    <n v="33.89"/>
    <n v="33.89"/>
  </r>
  <r>
    <x v="9"/>
    <s v="PROD00324"/>
    <n v="1"/>
    <n v="33.89"/>
    <n v="33.89"/>
  </r>
  <r>
    <x v="9"/>
    <s v="PROD00324"/>
    <n v="2"/>
    <n v="33.89"/>
    <n v="67.78"/>
  </r>
  <r>
    <x v="9"/>
    <s v="PROD00326"/>
    <n v="1"/>
    <n v="32.71"/>
    <n v="32.71"/>
  </r>
  <r>
    <x v="9"/>
    <s v="PROD00327"/>
    <n v="2"/>
    <n v="24.26"/>
    <n v="48.52"/>
  </r>
  <r>
    <x v="9"/>
    <s v="PROD00327"/>
    <n v="1"/>
    <n v="24.26"/>
    <n v="24.26"/>
  </r>
  <r>
    <x v="8"/>
    <s v="PROD00330"/>
    <n v="1"/>
    <n v="49.8"/>
    <n v="49.8"/>
  </r>
  <r>
    <x v="9"/>
    <s v="PROD00331"/>
    <n v="1"/>
    <n v="32.89"/>
    <n v="32.89"/>
  </r>
  <r>
    <x v="9"/>
    <s v="PROD00332"/>
    <n v="1"/>
    <n v="32.99"/>
    <n v="32.99"/>
  </r>
  <r>
    <x v="9"/>
    <s v="PROD00333"/>
    <n v="1"/>
    <n v="32.299999999999997"/>
    <n v="32.299999999999997"/>
  </r>
  <r>
    <x v="9"/>
    <s v="PROD00333"/>
    <n v="1"/>
    <n v="32.299999999999997"/>
    <n v="32.299999999999997"/>
  </r>
  <r>
    <x v="9"/>
    <s v="PROD00333"/>
    <n v="1"/>
    <n v="32.299999999999997"/>
    <n v="32.299999999999997"/>
  </r>
  <r>
    <x v="4"/>
    <s v="PROD00334"/>
    <n v="1"/>
    <n v="75.05"/>
    <n v="75.05"/>
  </r>
  <r>
    <x v="4"/>
    <s v="PROD00334"/>
    <n v="1"/>
    <n v="75.05"/>
    <n v="75.05"/>
  </r>
  <r>
    <x v="4"/>
    <s v="PROD00336"/>
    <n v="1"/>
    <n v="70.97"/>
    <n v="70.97"/>
  </r>
  <r>
    <x v="4"/>
    <s v="PROD00339"/>
    <n v="2"/>
    <n v="77.56"/>
    <n v="155.12"/>
  </r>
  <r>
    <x v="4"/>
    <s v="PROD00340"/>
    <n v="1"/>
    <n v="23.35"/>
    <n v="23.35"/>
  </r>
  <r>
    <x v="4"/>
    <s v="PROD00340"/>
    <n v="2"/>
    <n v="23.35"/>
    <n v="46.7"/>
  </r>
  <r>
    <x v="4"/>
    <s v="PROD00340"/>
    <n v="1"/>
    <n v="23.35"/>
    <n v="23.35"/>
  </r>
  <r>
    <x v="4"/>
    <s v="PROD00340"/>
    <n v="1"/>
    <n v="23.35"/>
    <n v="23.35"/>
  </r>
  <r>
    <x v="4"/>
    <s v="PROD00342"/>
    <n v="1"/>
    <n v="60.86"/>
    <n v="60.86"/>
  </r>
  <r>
    <x v="4"/>
    <s v="PROD00342"/>
    <n v="1"/>
    <n v="60.86"/>
    <n v="60.86"/>
  </r>
  <r>
    <x v="4"/>
    <s v="PROD00342"/>
    <n v="1"/>
    <n v="60.86"/>
    <n v="60.86"/>
  </r>
  <r>
    <x v="4"/>
    <s v="PROD00343"/>
    <n v="1"/>
    <n v="77.97"/>
    <n v="77.97"/>
  </r>
  <r>
    <x v="4"/>
    <s v="PROD00344"/>
    <n v="1"/>
    <n v="60.93"/>
    <n v="60.93"/>
  </r>
  <r>
    <x v="4"/>
    <s v="PROD00345"/>
    <n v="1"/>
    <n v="32.81"/>
    <n v="32.81"/>
  </r>
  <r>
    <x v="4"/>
    <s v="PROD00346"/>
    <n v="1"/>
    <n v="32.93"/>
    <n v="32.93"/>
  </r>
  <r>
    <x v="4"/>
    <s v="PROD00346"/>
    <n v="1"/>
    <n v="32.93"/>
    <n v="32.93"/>
  </r>
  <r>
    <x v="4"/>
    <s v="PROD00348"/>
    <n v="1"/>
    <n v="34.46"/>
    <n v="34.46"/>
  </r>
  <r>
    <x v="0"/>
    <s v="PROD00349"/>
    <n v="1"/>
    <n v="15.83"/>
    <n v="15.83"/>
  </r>
  <r>
    <x v="0"/>
    <s v="PROD00349"/>
    <n v="1"/>
    <n v="15.83"/>
    <n v="15.83"/>
  </r>
  <r>
    <x v="0"/>
    <s v="PROD00350"/>
    <n v="1"/>
    <n v="13.58"/>
    <n v="13.58"/>
  </r>
  <r>
    <x v="0"/>
    <s v="PROD00351"/>
    <n v="1"/>
    <n v="17.829999999999998"/>
    <n v="17.829999999999998"/>
  </r>
  <r>
    <x v="0"/>
    <s v="PROD00351"/>
    <n v="1"/>
    <n v="17.829999999999998"/>
    <n v="17.829999999999998"/>
  </r>
  <r>
    <x v="0"/>
    <s v="PROD00351"/>
    <n v="1"/>
    <n v="17.829999999999998"/>
    <n v="17.829999999999998"/>
  </r>
  <r>
    <x v="4"/>
    <s v="PROD00354"/>
    <n v="1"/>
    <n v="43.01"/>
    <n v="43.01"/>
  </r>
  <r>
    <x v="4"/>
    <s v="PROD00358"/>
    <n v="1"/>
    <n v="29.59"/>
    <n v="29.59"/>
  </r>
  <r>
    <x v="4"/>
    <s v="PROD00358"/>
    <n v="2"/>
    <n v="29.59"/>
    <n v="59.18"/>
  </r>
  <r>
    <x v="8"/>
    <s v="PROD00359"/>
    <n v="1"/>
    <n v="86.5"/>
    <n v="86.5"/>
  </r>
  <r>
    <x v="8"/>
    <s v="PROD00360"/>
    <n v="1"/>
    <n v="20.79"/>
    <n v="20.79"/>
  </r>
  <r>
    <x v="8"/>
    <s v="PROD00360"/>
    <n v="1"/>
    <n v="20.79"/>
    <n v="20.79"/>
  </r>
  <r>
    <x v="8"/>
    <s v="PROD00360"/>
    <n v="1"/>
    <n v="20.79"/>
    <n v="20.79"/>
  </r>
  <r>
    <x v="8"/>
    <s v="PROD00362"/>
    <n v="1"/>
    <n v="115.49"/>
    <n v="115.49"/>
  </r>
  <r>
    <x v="8"/>
    <s v="PROD00362"/>
    <n v="1"/>
    <n v="115.49"/>
    <n v="115.49"/>
  </r>
  <r>
    <x v="8"/>
    <s v="PROD00363"/>
    <n v="2"/>
    <n v="46.25"/>
    <n v="92.5"/>
  </r>
  <r>
    <x v="8"/>
    <s v="PROD00364"/>
    <n v="6"/>
    <n v="34.11"/>
    <n v="204.66"/>
  </r>
  <r>
    <x v="8"/>
    <s v="PROD00365"/>
    <n v="1"/>
    <n v="29.46"/>
    <n v="29.46"/>
  </r>
  <r>
    <x v="8"/>
    <s v="PROD00367"/>
    <n v="2"/>
    <n v="29.92"/>
    <n v="59.84"/>
  </r>
  <r>
    <x v="8"/>
    <s v="PROD00367"/>
    <n v="1"/>
    <n v="29.92"/>
    <n v="29.92"/>
  </r>
  <r>
    <x v="8"/>
    <s v="PROD00368"/>
    <n v="1"/>
    <n v="101.55"/>
    <n v="101.55"/>
  </r>
  <r>
    <x v="8"/>
    <s v="PROD00368"/>
    <n v="1"/>
    <n v="101.55"/>
    <n v="101.55"/>
  </r>
  <r>
    <x v="8"/>
    <s v="PROD00368"/>
    <n v="1"/>
    <n v="101.55"/>
    <n v="101.55"/>
  </r>
  <r>
    <x v="8"/>
    <s v="PROD00369"/>
    <n v="1"/>
    <n v="107.11"/>
    <n v="107.11"/>
  </r>
  <r>
    <x v="8"/>
    <s v="PROD00370"/>
    <n v="1"/>
    <n v="24.23"/>
    <n v="24.23"/>
  </r>
  <r>
    <x v="8"/>
    <s v="PROD00370"/>
    <n v="2"/>
    <n v="24.23"/>
    <n v="48.46"/>
  </r>
  <r>
    <x v="8"/>
    <s v="PROD00372"/>
    <n v="1"/>
    <n v="119.75"/>
    <n v="119.75"/>
  </r>
  <r>
    <x v="8"/>
    <s v="PROD00373"/>
    <n v="1"/>
    <n v="115.35"/>
    <n v="115.35"/>
  </r>
  <r>
    <x v="8"/>
    <s v="PROD00374"/>
    <n v="1"/>
    <n v="100.7"/>
    <n v="100.7"/>
  </r>
  <r>
    <x v="8"/>
    <s v="PROD00374"/>
    <n v="2"/>
    <n v="100.7"/>
    <n v="201.4"/>
  </r>
  <r>
    <x v="8"/>
    <s v="PROD00374"/>
    <n v="2"/>
    <n v="100.7"/>
    <n v="201.4"/>
  </r>
  <r>
    <x v="8"/>
    <s v="PROD00375"/>
    <n v="1"/>
    <n v="16.88"/>
    <n v="16.88"/>
  </r>
  <r>
    <x v="8"/>
    <s v="PROD00376"/>
    <n v="1"/>
    <n v="75.400000000000006"/>
    <n v="75.400000000000006"/>
  </r>
  <r>
    <x v="8"/>
    <s v="PROD00377"/>
    <n v="2"/>
    <n v="85.94"/>
    <n v="171.88"/>
  </r>
  <r>
    <x v="8"/>
    <s v="PROD00377"/>
    <n v="1"/>
    <n v="85.94"/>
    <n v="85.94"/>
  </r>
  <r>
    <x v="8"/>
    <s v="PROD00378"/>
    <n v="1"/>
    <n v="15.21"/>
    <n v="15.21"/>
  </r>
  <r>
    <x v="8"/>
    <s v="PROD00379"/>
    <n v="1"/>
    <n v="22.63"/>
    <n v="22.63"/>
  </r>
  <r>
    <x v="8"/>
    <s v="PROD00379"/>
    <n v="1"/>
    <n v="22.63"/>
    <n v="22.63"/>
  </r>
  <r>
    <x v="8"/>
    <s v="PROD00380"/>
    <n v="1"/>
    <n v="18.559999999999999"/>
    <n v="18.559999999999999"/>
  </r>
  <r>
    <x v="8"/>
    <s v="PROD00380"/>
    <n v="1"/>
    <n v="18.559999999999999"/>
    <n v="18.559999999999999"/>
  </r>
  <r>
    <x v="8"/>
    <s v="PROD00381"/>
    <n v="1"/>
    <n v="71.349999999999994"/>
    <n v="71.349999999999994"/>
  </r>
  <r>
    <x v="8"/>
    <s v="PROD00382"/>
    <n v="1"/>
    <n v="85.1"/>
    <n v="85.1"/>
  </r>
  <r>
    <x v="8"/>
    <s v="PROD00384"/>
    <n v="1"/>
    <n v="116.81"/>
    <n v="116.81"/>
  </r>
  <r>
    <x v="8"/>
    <s v="PROD00384"/>
    <n v="1"/>
    <n v="116.81"/>
    <n v="116.81"/>
  </r>
  <r>
    <x v="8"/>
    <s v="PROD00385"/>
    <n v="1"/>
    <n v="64.709999999999994"/>
    <n v="64.709999999999994"/>
  </r>
  <r>
    <x v="8"/>
    <s v="PROD00386"/>
    <n v="1"/>
    <n v="65.459999999999994"/>
    <n v="65.459999999999994"/>
  </r>
  <r>
    <x v="8"/>
    <s v="PROD00386"/>
    <n v="1"/>
    <n v="65.459999999999994"/>
    <n v="65.459999999999994"/>
  </r>
  <r>
    <x v="8"/>
    <s v="PROD00387"/>
    <n v="1"/>
    <n v="21.89"/>
    <n v="21.89"/>
  </r>
  <r>
    <x v="8"/>
    <s v="PROD00387"/>
    <n v="1"/>
    <n v="21.89"/>
    <n v="21.89"/>
  </r>
  <r>
    <x v="8"/>
    <s v="PROD00387"/>
    <n v="1"/>
    <n v="21.89"/>
    <n v="21.89"/>
  </r>
  <r>
    <x v="8"/>
    <s v="PROD00387"/>
    <n v="1"/>
    <n v="21.89"/>
    <n v="21.89"/>
  </r>
  <r>
    <x v="8"/>
    <s v="PROD00388"/>
    <n v="2"/>
    <n v="110.1"/>
    <n v="220.2"/>
  </r>
  <r>
    <x v="8"/>
    <s v="PROD00388"/>
    <n v="1"/>
    <n v="110.1"/>
    <n v="110.1"/>
  </r>
  <r>
    <x v="8"/>
    <s v="PROD00388"/>
    <n v="1"/>
    <n v="110.1"/>
    <n v="110.1"/>
  </r>
  <r>
    <x v="8"/>
    <s v="PROD00389"/>
    <n v="1"/>
    <n v="21.89"/>
    <n v="21.89"/>
  </r>
  <r>
    <x v="8"/>
    <s v="PROD00390"/>
    <n v="1"/>
    <n v="66.88"/>
    <n v="66.88"/>
  </r>
  <r>
    <x v="8"/>
    <s v="PROD00390"/>
    <n v="2"/>
    <n v="66.88"/>
    <n v="133.76"/>
  </r>
  <r>
    <x v="8"/>
    <s v="PROD00391"/>
    <n v="2"/>
    <n v="48.51"/>
    <n v="97.02"/>
  </r>
  <r>
    <x v="6"/>
    <s v="PROD00392"/>
    <n v="1"/>
    <n v="59.61"/>
    <n v="59.61"/>
  </r>
  <r>
    <x v="6"/>
    <s v="PROD00392"/>
    <n v="1"/>
    <n v="59.61"/>
    <n v="59.61"/>
  </r>
  <r>
    <x v="6"/>
    <s v="PROD00393"/>
    <n v="1"/>
    <n v="49.13"/>
    <n v="49.13"/>
  </r>
  <r>
    <x v="6"/>
    <s v="PROD00393"/>
    <n v="1"/>
    <n v="49.13"/>
    <n v="49.13"/>
  </r>
  <r>
    <x v="6"/>
    <s v="PROD00394"/>
    <n v="1"/>
    <n v="32.96"/>
    <n v="32.96"/>
  </r>
  <r>
    <x v="6"/>
    <s v="PROD00394"/>
    <n v="1"/>
    <n v="32.96"/>
    <n v="32.96"/>
  </r>
  <r>
    <x v="6"/>
    <s v="PROD00397"/>
    <n v="1"/>
    <n v="37.76"/>
    <n v="37.76"/>
  </r>
  <r>
    <x v="6"/>
    <s v="PROD00397"/>
    <n v="1"/>
    <n v="37.76"/>
    <n v="37.76"/>
  </r>
  <r>
    <x v="6"/>
    <s v="PROD00398"/>
    <n v="2"/>
    <n v="35.5"/>
    <n v="71"/>
  </r>
  <r>
    <x v="6"/>
    <s v="PROD00398"/>
    <n v="1"/>
    <n v="35.5"/>
    <n v="35.5"/>
  </r>
  <r>
    <x v="6"/>
    <s v="PROD00400"/>
    <n v="1"/>
    <n v="41.73"/>
    <n v="41.73"/>
  </r>
  <r>
    <x v="6"/>
    <s v="PROD00401"/>
    <n v="1"/>
    <n v="39.04"/>
    <n v="39.04"/>
  </r>
  <r>
    <x v="6"/>
    <s v="PROD00401"/>
    <n v="1"/>
    <n v="39.04"/>
    <n v="39.04"/>
  </r>
  <r>
    <x v="6"/>
    <s v="PROD00402"/>
    <n v="1"/>
    <n v="21.1"/>
    <n v="21.1"/>
  </r>
  <r>
    <x v="6"/>
    <s v="PROD00402"/>
    <n v="1"/>
    <n v="21.1"/>
    <n v="21.1"/>
  </r>
  <r>
    <x v="6"/>
    <s v="PROD00402"/>
    <n v="1"/>
    <n v="21.1"/>
    <n v="21.1"/>
  </r>
  <r>
    <x v="5"/>
    <s v="PROD00403"/>
    <n v="1"/>
    <n v="48.82"/>
    <n v="48.82"/>
  </r>
  <r>
    <x v="5"/>
    <s v="PROD00404"/>
    <n v="1"/>
    <n v="81.02"/>
    <n v="81.02"/>
  </r>
  <r>
    <x v="5"/>
    <s v="PROD00404"/>
    <n v="1"/>
    <n v="81.02"/>
    <n v="81.02"/>
  </r>
  <r>
    <x v="5"/>
    <s v="PROD00404"/>
    <n v="1"/>
    <n v="81.02"/>
    <n v="81.02"/>
  </r>
  <r>
    <x v="5"/>
    <s v="PROD00404"/>
    <n v="1"/>
    <n v="81.02"/>
    <n v="81.02"/>
  </r>
  <r>
    <x v="5"/>
    <s v="PROD00404"/>
    <n v="1"/>
    <n v="81.02"/>
    <n v="81.02"/>
  </r>
  <r>
    <x v="5"/>
    <s v="PROD00404"/>
    <n v="1"/>
    <n v="81.02"/>
    <n v="81.02"/>
  </r>
  <r>
    <x v="5"/>
    <s v="PROD00405"/>
    <n v="1"/>
    <n v="99.85"/>
    <n v="99.85"/>
  </r>
  <r>
    <x v="5"/>
    <s v="PROD00405"/>
    <n v="1"/>
    <n v="99.85"/>
    <n v="99.85"/>
  </r>
  <r>
    <x v="5"/>
    <s v="PROD00405"/>
    <n v="2"/>
    <n v="99.85"/>
    <n v="199.7"/>
  </r>
  <r>
    <x v="5"/>
    <s v="PROD00406"/>
    <n v="1"/>
    <n v="23.33"/>
    <n v="23.33"/>
  </r>
  <r>
    <x v="5"/>
    <s v="PROD00406"/>
    <n v="1"/>
    <n v="23.33"/>
    <n v="23.33"/>
  </r>
  <r>
    <x v="5"/>
    <s v="PROD00406"/>
    <n v="1"/>
    <n v="23.33"/>
    <n v="23.33"/>
  </r>
  <r>
    <x v="5"/>
    <s v="PROD00406"/>
    <n v="1"/>
    <n v="23.33"/>
    <n v="23.33"/>
  </r>
  <r>
    <x v="5"/>
    <s v="PROD00406"/>
    <n v="1"/>
    <n v="23.33"/>
    <n v="23.33"/>
  </r>
  <r>
    <x v="5"/>
    <s v="PROD00407"/>
    <n v="1"/>
    <n v="10.07"/>
    <n v="10.07"/>
  </r>
  <r>
    <x v="5"/>
    <s v="PROD00407"/>
    <n v="2"/>
    <n v="10.07"/>
    <n v="20.14"/>
  </r>
  <r>
    <x v="5"/>
    <s v="PROD00407"/>
    <n v="1"/>
    <n v="10.07"/>
    <n v="10.07"/>
  </r>
  <r>
    <x v="5"/>
    <s v="PROD00407"/>
    <n v="1"/>
    <n v="10.07"/>
    <n v="10.07"/>
  </r>
  <r>
    <x v="5"/>
    <s v="PROD00407"/>
    <n v="1"/>
    <n v="10.07"/>
    <n v="10.07"/>
  </r>
  <r>
    <x v="5"/>
    <s v="PROD00407"/>
    <n v="1"/>
    <n v="10.07"/>
    <n v="10.07"/>
  </r>
  <r>
    <x v="5"/>
    <s v="PROD00407"/>
    <n v="1"/>
    <n v="10.07"/>
    <n v="10.07"/>
  </r>
  <r>
    <x v="5"/>
    <s v="PROD00407"/>
    <n v="1"/>
    <n v="10.07"/>
    <n v="10.07"/>
  </r>
  <r>
    <x v="5"/>
    <s v="PROD00407"/>
    <n v="1"/>
    <n v="10.07"/>
    <n v="10.07"/>
  </r>
  <r>
    <x v="5"/>
    <s v="PROD00407"/>
    <n v="1"/>
    <n v="10.07"/>
    <n v="10.07"/>
  </r>
  <r>
    <x v="5"/>
    <s v="PROD00407"/>
    <n v="1"/>
    <n v="10.07"/>
    <n v="10.07"/>
  </r>
  <r>
    <x v="5"/>
    <s v="PROD00407"/>
    <n v="1"/>
    <n v="10.07"/>
    <n v="10.07"/>
  </r>
  <r>
    <x v="5"/>
    <s v="PROD00407"/>
    <n v="2"/>
    <n v="10.07"/>
    <n v="20.14"/>
  </r>
  <r>
    <x v="5"/>
    <s v="PROD00407"/>
    <n v="1"/>
    <n v="10.07"/>
    <n v="10.07"/>
  </r>
  <r>
    <x v="5"/>
    <s v="PROD00407"/>
    <n v="1"/>
    <n v="10.07"/>
    <n v="10.07"/>
  </r>
  <r>
    <x v="5"/>
    <s v="PROD00407"/>
    <n v="1"/>
    <n v="10.07"/>
    <n v="10.07"/>
  </r>
  <r>
    <x v="5"/>
    <s v="PROD00407"/>
    <n v="1"/>
    <n v="10.07"/>
    <n v="10.07"/>
  </r>
  <r>
    <x v="5"/>
    <s v="PROD00407"/>
    <n v="1"/>
    <n v="10.07"/>
    <n v="10.07"/>
  </r>
  <r>
    <x v="5"/>
    <s v="PROD00408"/>
    <n v="1"/>
    <n v="73.400000000000006"/>
    <n v="73.400000000000006"/>
  </r>
  <r>
    <x v="5"/>
    <s v="PROD00408"/>
    <n v="1"/>
    <n v="73.400000000000006"/>
    <n v="73.400000000000006"/>
  </r>
  <r>
    <x v="3"/>
    <s v="PROD00409"/>
    <n v="1"/>
    <n v="64.84"/>
    <n v="64.84"/>
  </r>
  <r>
    <x v="3"/>
    <s v="PROD00409"/>
    <n v="1"/>
    <n v="64.84"/>
    <n v="64.84"/>
  </r>
  <r>
    <x v="3"/>
    <s v="PROD00409"/>
    <n v="1"/>
    <n v="64.84"/>
    <n v="64.84"/>
  </r>
  <r>
    <x v="3"/>
    <s v="PROD00409"/>
    <n v="1"/>
    <n v="64.84"/>
    <n v="64.84"/>
  </r>
  <r>
    <x v="3"/>
    <s v="PROD00409"/>
    <n v="2"/>
    <n v="64.84"/>
    <n v="129.68"/>
  </r>
  <r>
    <x v="5"/>
    <s v="PROD00410"/>
    <n v="1"/>
    <n v="97.96"/>
    <n v="97.96"/>
  </r>
  <r>
    <x v="5"/>
    <s v="PROD00414"/>
    <n v="1"/>
    <n v="67.33"/>
    <n v="67.33"/>
  </r>
  <r>
    <x v="5"/>
    <s v="PROD00414"/>
    <n v="1"/>
    <n v="67.33"/>
    <n v="67.33"/>
  </r>
  <r>
    <x v="5"/>
    <s v="PROD00414"/>
    <n v="1"/>
    <n v="67.33"/>
    <n v="67.33"/>
  </r>
  <r>
    <x v="5"/>
    <s v="PROD00416"/>
    <n v="2"/>
    <n v="63.89"/>
    <n v="127.78"/>
  </r>
  <r>
    <x v="5"/>
    <s v="PROD00416"/>
    <n v="1"/>
    <n v="63.89"/>
    <n v="63.89"/>
  </r>
  <r>
    <x v="5"/>
    <s v="PROD00416"/>
    <n v="1"/>
    <n v="63.89"/>
    <n v="63.89"/>
  </r>
  <r>
    <x v="5"/>
    <s v="PROD00416"/>
    <n v="2"/>
    <n v="63.89"/>
    <n v="127.78"/>
  </r>
  <r>
    <x v="5"/>
    <s v="PROD00416"/>
    <n v="1"/>
    <n v="63.89"/>
    <n v="63.89"/>
  </r>
  <r>
    <x v="5"/>
    <s v="PROD00416"/>
    <n v="1"/>
    <n v="63.89"/>
    <n v="63.89"/>
  </r>
  <r>
    <x v="5"/>
    <s v="PROD00416"/>
    <n v="1"/>
    <n v="63.89"/>
    <n v="63.89"/>
  </r>
  <r>
    <x v="5"/>
    <s v="PROD00416"/>
    <n v="1"/>
    <n v="63.89"/>
    <n v="63.89"/>
  </r>
  <r>
    <x v="2"/>
    <s v="PROD00418"/>
    <n v="1"/>
    <n v="28.3"/>
    <n v="28.3"/>
  </r>
  <r>
    <x v="2"/>
    <s v="PROD00419"/>
    <n v="1"/>
    <n v="26.9"/>
    <n v="26.9"/>
  </r>
  <r>
    <x v="2"/>
    <s v="PROD00419"/>
    <n v="1"/>
    <n v="26.9"/>
    <n v="26.9"/>
  </r>
  <r>
    <x v="5"/>
    <s v="PROD00421"/>
    <n v="1"/>
    <n v="66.94"/>
    <n v="66.94"/>
  </r>
  <r>
    <x v="5"/>
    <s v="PROD00421"/>
    <n v="1"/>
    <n v="66.94"/>
    <n v="66.94"/>
  </r>
  <r>
    <x v="5"/>
    <s v="PROD00421"/>
    <n v="1"/>
    <n v="66.94"/>
    <n v="66.94"/>
  </r>
  <r>
    <x v="5"/>
    <s v="PROD00421"/>
    <n v="1"/>
    <n v="66.94"/>
    <n v="66.94"/>
  </r>
  <r>
    <x v="5"/>
    <s v="PROD00422"/>
    <n v="1"/>
    <n v="50.15"/>
    <n v="50.15"/>
  </r>
  <r>
    <x v="5"/>
    <s v="PROD00423"/>
    <n v="1"/>
    <n v="97.17"/>
    <n v="97.17"/>
  </r>
  <r>
    <x v="5"/>
    <s v="PROD00423"/>
    <n v="1"/>
    <n v="97.17"/>
    <n v="97.17"/>
  </r>
  <r>
    <x v="5"/>
    <s v="PROD00423"/>
    <n v="1"/>
    <n v="97.17"/>
    <n v="97.17"/>
  </r>
  <r>
    <x v="5"/>
    <s v="PROD00424"/>
    <n v="1"/>
    <n v="25.41"/>
    <n v="25.41"/>
  </r>
  <r>
    <x v="5"/>
    <s v="PROD00424"/>
    <n v="1"/>
    <n v="25.41"/>
    <n v="25.41"/>
  </r>
  <r>
    <x v="5"/>
    <s v="PROD00424"/>
    <n v="1"/>
    <n v="25.41"/>
    <n v="25.41"/>
  </r>
  <r>
    <x v="5"/>
    <s v="PROD00424"/>
    <n v="1"/>
    <n v="25.41"/>
    <n v="25.41"/>
  </r>
  <r>
    <x v="5"/>
    <s v="PROD00424"/>
    <n v="2"/>
    <n v="25.41"/>
    <n v="50.82"/>
  </r>
  <r>
    <x v="5"/>
    <s v="PROD00424"/>
    <n v="2"/>
    <n v="25.41"/>
    <n v="50.82"/>
  </r>
  <r>
    <x v="5"/>
    <s v="PROD00424"/>
    <n v="2"/>
    <n v="25.41"/>
    <n v="50.82"/>
  </r>
  <r>
    <x v="5"/>
    <s v="PROD00425"/>
    <n v="1"/>
    <n v="26.98"/>
    <n v="26.98"/>
  </r>
  <r>
    <x v="5"/>
    <s v="PROD00425"/>
    <n v="1"/>
    <n v="26.98"/>
    <n v="26.98"/>
  </r>
  <r>
    <x v="5"/>
    <s v="PROD00426"/>
    <n v="1"/>
    <n v="27.32"/>
    <n v="27.32"/>
  </r>
  <r>
    <x v="5"/>
    <s v="PROD00426"/>
    <n v="1"/>
    <n v="27.32"/>
    <n v="27.32"/>
  </r>
  <r>
    <x v="5"/>
    <s v="PROD00426"/>
    <n v="1"/>
    <n v="27.32"/>
    <n v="27.32"/>
  </r>
  <r>
    <x v="5"/>
    <s v="PROD00426"/>
    <n v="1"/>
    <n v="27.32"/>
    <n v="27.32"/>
  </r>
  <r>
    <x v="5"/>
    <s v="PROD00428"/>
    <n v="1"/>
    <n v="114.11"/>
    <n v="114.11"/>
  </r>
  <r>
    <x v="5"/>
    <s v="PROD00428"/>
    <n v="1"/>
    <n v="114.11"/>
    <n v="114.11"/>
  </r>
  <r>
    <x v="5"/>
    <s v="PROD00428"/>
    <n v="1"/>
    <n v="114.11"/>
    <n v="114.11"/>
  </r>
  <r>
    <x v="5"/>
    <s v="PROD00428"/>
    <n v="1"/>
    <n v="114.11"/>
    <n v="114.11"/>
  </r>
  <r>
    <x v="5"/>
    <s v="PROD00429"/>
    <n v="2"/>
    <n v="87.51"/>
    <n v="175.02"/>
  </r>
  <r>
    <x v="5"/>
    <s v="PROD00429"/>
    <n v="1"/>
    <n v="87.51"/>
    <n v="87.51"/>
  </r>
  <r>
    <x v="5"/>
    <s v="PROD00430"/>
    <n v="1"/>
    <n v="96.77"/>
    <n v="96.77"/>
  </r>
  <r>
    <x v="5"/>
    <s v="PROD00431"/>
    <n v="1"/>
    <n v="55.99"/>
    <n v="55.99"/>
  </r>
  <r>
    <x v="5"/>
    <s v="PROD00431"/>
    <n v="1"/>
    <n v="55.99"/>
    <n v="55.99"/>
  </r>
  <r>
    <x v="5"/>
    <s v="PROD00431"/>
    <n v="1"/>
    <n v="55.99"/>
    <n v="55.99"/>
  </r>
  <r>
    <x v="5"/>
    <s v="PROD00432"/>
    <n v="1"/>
    <n v="57.98"/>
    <n v="57.98"/>
  </r>
  <r>
    <x v="4"/>
    <s v="PROD00434"/>
    <n v="2"/>
    <n v="24.44"/>
    <n v="48.88"/>
  </r>
  <r>
    <x v="4"/>
    <s v="PROD00435"/>
    <n v="1"/>
    <n v="28.76"/>
    <n v="28.76"/>
  </r>
  <r>
    <x v="4"/>
    <s v="PROD00435"/>
    <n v="1"/>
    <n v="28.76"/>
    <n v="28.76"/>
  </r>
  <r>
    <x v="4"/>
    <s v="PROD00436"/>
    <n v="1"/>
    <n v="20.39"/>
    <n v="20.39"/>
  </r>
  <r>
    <x v="5"/>
    <s v="PROD00438"/>
    <n v="1"/>
    <n v="54.41"/>
    <n v="54.41"/>
  </r>
  <r>
    <x v="5"/>
    <s v="PROD00438"/>
    <n v="1"/>
    <n v="54.41"/>
    <n v="54.41"/>
  </r>
  <r>
    <x v="5"/>
    <s v="PROD00438"/>
    <n v="2"/>
    <n v="54.41"/>
    <n v="108.82"/>
  </r>
  <r>
    <x v="5"/>
    <s v="PROD00438"/>
    <n v="2"/>
    <n v="54.41"/>
    <n v="108.82"/>
  </r>
  <r>
    <x v="5"/>
    <s v="PROD00438"/>
    <n v="1"/>
    <n v="54.41"/>
    <n v="54.41"/>
  </r>
  <r>
    <x v="5"/>
    <s v="PROD00439"/>
    <n v="1"/>
    <n v="60.6"/>
    <n v="60.6"/>
  </r>
  <r>
    <x v="5"/>
    <s v="PROD00439"/>
    <n v="1"/>
    <n v="60.6"/>
    <n v="60.6"/>
  </r>
  <r>
    <x v="5"/>
    <s v="PROD00439"/>
    <n v="1"/>
    <n v="60.6"/>
    <n v="60.6"/>
  </r>
  <r>
    <x v="5"/>
    <s v="PROD00441"/>
    <n v="1"/>
    <n v="26.7"/>
    <n v="26.7"/>
  </r>
  <r>
    <x v="5"/>
    <s v="PROD00441"/>
    <n v="1"/>
    <n v="26.7"/>
    <n v="26.7"/>
  </r>
  <r>
    <x v="5"/>
    <s v="PROD00442"/>
    <n v="1"/>
    <n v="44.92"/>
    <n v="44.92"/>
  </r>
  <r>
    <x v="5"/>
    <s v="PROD00442"/>
    <n v="1"/>
    <n v="44.92"/>
    <n v="44.92"/>
  </r>
  <r>
    <x v="5"/>
    <s v="PROD00442"/>
    <n v="1"/>
    <n v="44.92"/>
    <n v="44.92"/>
  </r>
  <r>
    <x v="5"/>
    <s v="PROD00443"/>
    <n v="1"/>
    <n v="80.069999999999993"/>
    <n v="80.069999999999993"/>
  </r>
  <r>
    <x v="5"/>
    <s v="PROD00443"/>
    <n v="2"/>
    <n v="80.069999999999993"/>
    <n v="160.13999999999999"/>
  </r>
  <r>
    <x v="5"/>
    <s v="PROD00443"/>
    <n v="1"/>
    <n v="80.069999999999993"/>
    <n v="80.069999999999993"/>
  </r>
  <r>
    <x v="5"/>
    <s v="PROD00443"/>
    <n v="1"/>
    <n v="80.069999999999993"/>
    <n v="80.069999999999993"/>
  </r>
  <r>
    <x v="5"/>
    <s v="PROD00443"/>
    <n v="2"/>
    <n v="80.069999999999993"/>
    <n v="160.13999999999999"/>
  </r>
  <r>
    <x v="5"/>
    <s v="PROD00444"/>
    <n v="1"/>
    <n v="20.55"/>
    <n v="20.55"/>
  </r>
  <r>
    <x v="5"/>
    <s v="PROD00444"/>
    <n v="1"/>
    <n v="20.55"/>
    <n v="20.55"/>
  </r>
  <r>
    <x v="5"/>
    <s v="PROD00444"/>
    <n v="2"/>
    <n v="20.55"/>
    <n v="41.1"/>
  </r>
  <r>
    <x v="5"/>
    <s v="PROD00444"/>
    <n v="2"/>
    <n v="20.55"/>
    <n v="41.1"/>
  </r>
  <r>
    <x v="5"/>
    <s v="PROD00444"/>
    <n v="1"/>
    <n v="20.55"/>
    <n v="20.55"/>
  </r>
  <r>
    <x v="5"/>
    <s v="PROD00444"/>
    <n v="2"/>
    <n v="20.55"/>
    <n v="41.1"/>
  </r>
  <r>
    <x v="1"/>
    <s v="PROD00447"/>
    <n v="1"/>
    <n v="3.23"/>
    <n v="3.23"/>
  </r>
  <r>
    <x v="1"/>
    <s v="PROD00448"/>
    <n v="1"/>
    <n v="5.1100000000000003"/>
    <n v="5.1100000000000003"/>
  </r>
  <r>
    <x v="1"/>
    <s v="PROD00448"/>
    <n v="1"/>
    <n v="5.1100000000000003"/>
    <n v="5.1100000000000003"/>
  </r>
  <r>
    <x v="1"/>
    <s v="PROD00448"/>
    <n v="1"/>
    <n v="5.1100000000000003"/>
    <n v="5.1100000000000003"/>
  </r>
  <r>
    <x v="1"/>
    <s v="PROD00452"/>
    <n v="1"/>
    <n v="7.32"/>
    <n v="7.32"/>
  </r>
  <r>
    <x v="1"/>
    <s v="PROD00453"/>
    <n v="1"/>
    <n v="14.36"/>
    <n v="14.36"/>
  </r>
  <r>
    <x v="1"/>
    <s v="PROD00453"/>
    <n v="1"/>
    <n v="14.36"/>
    <n v="14.36"/>
  </r>
  <r>
    <x v="2"/>
    <s v="PROD00455"/>
    <n v="1"/>
    <n v="38.72"/>
    <n v="38.72"/>
  </r>
  <r>
    <x v="2"/>
    <s v="PROD00456"/>
    <n v="1"/>
    <n v="17.5"/>
    <n v="17.5"/>
  </r>
  <r>
    <x v="2"/>
    <s v="PROD00457"/>
    <n v="1"/>
    <n v="24.92"/>
    <n v="24.92"/>
  </r>
  <r>
    <x v="2"/>
    <s v="PROD00457"/>
    <n v="1"/>
    <n v="24.92"/>
    <n v="24.92"/>
  </r>
  <r>
    <x v="2"/>
    <s v="PROD00458"/>
    <n v="2"/>
    <n v="21.04"/>
    <n v="42.08"/>
  </r>
  <r>
    <x v="2"/>
    <s v="PROD00458"/>
    <n v="1"/>
    <n v="21.04"/>
    <n v="21.04"/>
  </r>
  <r>
    <x v="2"/>
    <s v="PROD00458"/>
    <n v="1"/>
    <n v="21.04"/>
    <n v="21.04"/>
  </r>
  <r>
    <x v="2"/>
    <s v="PROD00459"/>
    <n v="1"/>
    <n v="26.48"/>
    <n v="26.48"/>
  </r>
  <r>
    <x v="2"/>
    <s v="PROD00460"/>
    <n v="1"/>
    <n v="13.7"/>
    <n v="13.7"/>
  </r>
  <r>
    <x v="5"/>
    <s v="PROD00461"/>
    <n v="1"/>
    <n v="21"/>
    <n v="21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96">
  <r>
    <x v="0"/>
    <n v="33.08"/>
  </r>
  <r>
    <x v="1"/>
    <n v="8.94"/>
  </r>
  <r>
    <x v="1"/>
    <n v="4.47"/>
  </r>
  <r>
    <x v="2"/>
    <n v="38.25"/>
  </r>
  <r>
    <x v="3"/>
    <n v="38.25"/>
  </r>
  <r>
    <x v="3"/>
    <n v="38.25"/>
  </r>
  <r>
    <x v="4"/>
    <n v="30.71"/>
  </r>
  <r>
    <x v="4"/>
    <n v="30.71"/>
  </r>
  <r>
    <x v="5"/>
    <n v="14.12"/>
  </r>
  <r>
    <x v="5"/>
    <n v="14.12"/>
  </r>
  <r>
    <x v="6"/>
    <n v="74.8"/>
  </r>
  <r>
    <x v="7"/>
    <n v="46.45"/>
  </r>
  <r>
    <x v="7"/>
    <n v="46.45"/>
  </r>
  <r>
    <x v="7"/>
    <n v="46.45"/>
  </r>
  <r>
    <x v="7"/>
    <n v="92.9"/>
  </r>
  <r>
    <x v="7"/>
    <n v="46.45"/>
  </r>
  <r>
    <x v="8"/>
    <n v="48.06"/>
  </r>
  <r>
    <x v="8"/>
    <n v="48.06"/>
  </r>
  <r>
    <x v="8"/>
    <n v="48.06"/>
  </r>
  <r>
    <x v="8"/>
    <n v="48.06"/>
  </r>
  <r>
    <x v="9"/>
    <n v="73.55"/>
  </r>
  <r>
    <x v="9"/>
    <n v="73.55"/>
  </r>
  <r>
    <x v="9"/>
    <n v="73.55"/>
  </r>
  <r>
    <x v="10"/>
    <n v="41.13"/>
  </r>
  <r>
    <x v="10"/>
    <n v="13.71"/>
  </r>
  <r>
    <x v="10"/>
    <n v="41.13"/>
  </r>
  <r>
    <x v="10"/>
    <n v="13.71"/>
  </r>
  <r>
    <x v="10"/>
    <n v="13.71"/>
  </r>
  <r>
    <x v="10"/>
    <n v="13.71"/>
  </r>
  <r>
    <x v="10"/>
    <n v="13.71"/>
  </r>
  <r>
    <x v="10"/>
    <n v="13.71"/>
  </r>
  <r>
    <x v="10"/>
    <n v="13.71"/>
  </r>
  <r>
    <x v="10"/>
    <n v="13.71"/>
  </r>
  <r>
    <x v="10"/>
    <n v="13.71"/>
  </r>
  <r>
    <x v="10"/>
    <n v="27.42"/>
  </r>
  <r>
    <x v="10"/>
    <n v="13.71"/>
  </r>
  <r>
    <x v="10"/>
    <n v="13.71"/>
  </r>
  <r>
    <x v="10"/>
    <n v="13.71"/>
  </r>
  <r>
    <x v="7"/>
    <n v="40.119999999999997"/>
  </r>
  <r>
    <x v="7"/>
    <n v="40.119999999999997"/>
  </r>
  <r>
    <x v="7"/>
    <n v="40.119999999999997"/>
  </r>
  <r>
    <x v="7"/>
    <n v="80.239999999999995"/>
  </r>
  <r>
    <x v="7"/>
    <n v="40.119999999999997"/>
  </r>
  <r>
    <x v="11"/>
    <n v="21.88"/>
  </r>
  <r>
    <x v="11"/>
    <n v="10.94"/>
  </r>
  <r>
    <x v="12"/>
    <n v="30.1"/>
  </r>
  <r>
    <x v="12"/>
    <n v="15.05"/>
  </r>
  <r>
    <x v="12"/>
    <n v="15.05"/>
  </r>
  <r>
    <x v="12"/>
    <n v="30.1"/>
  </r>
  <r>
    <x v="12"/>
    <n v="15.05"/>
  </r>
  <r>
    <x v="12"/>
    <n v="15.05"/>
  </r>
  <r>
    <x v="12"/>
    <n v="15.05"/>
  </r>
  <r>
    <x v="13"/>
    <n v="113.99"/>
  </r>
  <r>
    <x v="14"/>
    <n v="27.05"/>
  </r>
  <r>
    <x v="14"/>
    <n v="54.1"/>
  </r>
  <r>
    <x v="15"/>
    <n v="23.99"/>
  </r>
  <r>
    <x v="15"/>
    <n v="47.98"/>
  </r>
  <r>
    <x v="15"/>
    <n v="23.99"/>
  </r>
  <r>
    <x v="15"/>
    <n v="23.99"/>
  </r>
  <r>
    <x v="16"/>
    <n v="28.22"/>
  </r>
  <r>
    <x v="17"/>
    <n v="8.39"/>
  </r>
  <r>
    <x v="17"/>
    <n v="8.39"/>
  </r>
  <r>
    <x v="17"/>
    <n v="8.39"/>
  </r>
  <r>
    <x v="17"/>
    <n v="8.39"/>
  </r>
  <r>
    <x v="17"/>
    <n v="8.39"/>
  </r>
  <r>
    <x v="18"/>
    <n v="10.39"/>
  </r>
  <r>
    <x v="16"/>
    <n v="98.62"/>
  </r>
  <r>
    <x v="19"/>
    <n v="86.54"/>
  </r>
  <r>
    <x v="19"/>
    <n v="43.27"/>
  </r>
  <r>
    <x v="19"/>
    <n v="43.27"/>
  </r>
  <r>
    <x v="20"/>
    <n v="115.39"/>
  </r>
  <r>
    <x v="20"/>
    <n v="115.39"/>
  </r>
  <r>
    <x v="20"/>
    <n v="115.39"/>
  </r>
  <r>
    <x v="20"/>
    <n v="230.78"/>
  </r>
  <r>
    <x v="20"/>
    <n v="115.39"/>
  </r>
  <r>
    <x v="21"/>
    <n v="17.940000000000001"/>
  </r>
  <r>
    <x v="21"/>
    <n v="17.940000000000001"/>
  </r>
  <r>
    <x v="21"/>
    <n v="17.940000000000001"/>
  </r>
  <r>
    <x v="22"/>
    <n v="38.630000000000003"/>
  </r>
  <r>
    <x v="23"/>
    <n v="24.22"/>
  </r>
  <r>
    <x v="23"/>
    <n v="48.44"/>
  </r>
  <r>
    <x v="23"/>
    <n v="24.22"/>
  </r>
  <r>
    <x v="23"/>
    <n v="24.22"/>
  </r>
  <r>
    <x v="23"/>
    <n v="24.22"/>
  </r>
  <r>
    <x v="23"/>
    <n v="24.22"/>
  </r>
  <r>
    <x v="24"/>
    <n v="90.92"/>
  </r>
  <r>
    <x v="24"/>
    <n v="45.46"/>
  </r>
  <r>
    <x v="24"/>
    <n v="45.46"/>
  </r>
  <r>
    <x v="25"/>
    <n v="25.82"/>
  </r>
  <r>
    <x v="26"/>
    <n v="14.11"/>
  </r>
  <r>
    <x v="27"/>
    <n v="76.78"/>
  </r>
  <r>
    <x v="27"/>
    <n v="38.39"/>
  </r>
  <r>
    <x v="27"/>
    <n v="115.17"/>
  </r>
  <r>
    <x v="27"/>
    <n v="38.39"/>
  </r>
  <r>
    <x v="27"/>
    <n v="38.39"/>
  </r>
  <r>
    <x v="27"/>
    <n v="38.39"/>
  </r>
  <r>
    <x v="27"/>
    <n v="38.39"/>
  </r>
  <r>
    <x v="27"/>
    <n v="38.39"/>
  </r>
  <r>
    <x v="27"/>
    <n v="38.39"/>
  </r>
  <r>
    <x v="28"/>
    <n v="55.89"/>
  </r>
  <r>
    <x v="28"/>
    <n v="55.89"/>
  </r>
  <r>
    <x v="29"/>
    <n v="54.17"/>
  </r>
  <r>
    <x v="29"/>
    <n v="54.17"/>
  </r>
  <r>
    <x v="30"/>
    <n v="62.94"/>
  </r>
  <r>
    <x v="31"/>
    <n v="54.17"/>
  </r>
  <r>
    <x v="31"/>
    <n v="54.17"/>
  </r>
  <r>
    <x v="32"/>
    <n v="89.8"/>
  </r>
  <r>
    <x v="32"/>
    <n v="89.8"/>
  </r>
  <r>
    <x v="32"/>
    <n v="89.8"/>
  </r>
  <r>
    <x v="33"/>
    <n v="34.869999999999997"/>
  </r>
  <r>
    <x v="33"/>
    <n v="69.739999999999995"/>
  </r>
  <r>
    <x v="33"/>
    <n v="29.36"/>
  </r>
  <r>
    <x v="33"/>
    <n v="29.36"/>
  </r>
  <r>
    <x v="33"/>
    <n v="29.36"/>
  </r>
  <r>
    <x v="34"/>
    <n v="30.81"/>
  </r>
  <r>
    <x v="34"/>
    <n v="30.81"/>
  </r>
  <r>
    <x v="35"/>
    <n v="7.72"/>
  </r>
  <r>
    <x v="35"/>
    <n v="23.16"/>
  </r>
  <r>
    <x v="36"/>
    <n v="27.42"/>
  </r>
  <r>
    <x v="37"/>
    <n v="30.74"/>
  </r>
  <r>
    <x v="38"/>
    <n v="58.23"/>
  </r>
  <r>
    <x v="38"/>
    <n v="58.23"/>
  </r>
  <r>
    <x v="39"/>
    <n v="26.58"/>
  </r>
  <r>
    <x v="39"/>
    <n v="26.58"/>
  </r>
  <r>
    <x v="40"/>
    <n v="36.26"/>
  </r>
  <r>
    <x v="41"/>
    <n v="15.04"/>
  </r>
  <r>
    <x v="41"/>
    <n v="15.04"/>
  </r>
  <r>
    <x v="42"/>
    <n v="13.58"/>
  </r>
  <r>
    <x v="43"/>
    <n v="106.76"/>
  </r>
  <r>
    <x v="44"/>
    <n v="109.54"/>
  </r>
  <r>
    <x v="44"/>
    <n v="109.54"/>
  </r>
  <r>
    <x v="45"/>
    <n v="55.35"/>
  </r>
  <r>
    <x v="45"/>
    <n v="110.7"/>
  </r>
  <r>
    <x v="46"/>
    <n v="21.37"/>
  </r>
  <r>
    <x v="46"/>
    <n v="21.37"/>
  </r>
  <r>
    <x v="46"/>
    <n v="21.37"/>
  </r>
  <r>
    <x v="46"/>
    <n v="21.37"/>
  </r>
  <r>
    <x v="46"/>
    <n v="21.37"/>
  </r>
  <r>
    <x v="46"/>
    <n v="21.37"/>
  </r>
  <r>
    <x v="46"/>
    <n v="21.37"/>
  </r>
  <r>
    <x v="47"/>
    <n v="23.3"/>
  </r>
  <r>
    <x v="47"/>
    <n v="23.3"/>
  </r>
  <r>
    <x v="47"/>
    <n v="23.3"/>
  </r>
  <r>
    <x v="48"/>
    <n v="16.940000000000001"/>
  </r>
  <r>
    <x v="49"/>
    <n v="11.91"/>
  </r>
  <r>
    <x v="50"/>
    <n v="235.58"/>
  </r>
  <r>
    <x v="50"/>
    <n v="117.79"/>
  </r>
  <r>
    <x v="50"/>
    <n v="117.79"/>
  </r>
  <r>
    <x v="50"/>
    <n v="117.79"/>
  </r>
  <r>
    <x v="51"/>
    <n v="39.85"/>
  </r>
  <r>
    <x v="52"/>
    <n v="72.48"/>
  </r>
  <r>
    <x v="52"/>
    <n v="36.24"/>
  </r>
  <r>
    <x v="52"/>
    <n v="72.48"/>
  </r>
  <r>
    <x v="53"/>
    <n v="31.66"/>
  </r>
  <r>
    <x v="53"/>
    <n v="31.66"/>
  </r>
  <r>
    <x v="53"/>
    <n v="31.66"/>
  </r>
  <r>
    <x v="54"/>
    <n v="49.99"/>
  </r>
  <r>
    <x v="54"/>
    <n v="49.99"/>
  </r>
  <r>
    <x v="55"/>
    <n v="26.76"/>
  </r>
  <r>
    <x v="55"/>
    <n v="53.52"/>
  </r>
  <r>
    <x v="56"/>
    <n v="39.36"/>
  </r>
  <r>
    <x v="56"/>
    <n v="39.36"/>
  </r>
  <r>
    <x v="56"/>
    <n v="39.36"/>
  </r>
  <r>
    <x v="57"/>
    <n v="20.59"/>
  </r>
  <r>
    <x v="57"/>
    <n v="41.18"/>
  </r>
  <r>
    <x v="58"/>
    <n v="19.89"/>
  </r>
  <r>
    <x v="59"/>
    <n v="6.78"/>
  </r>
  <r>
    <x v="59"/>
    <n v="6.78"/>
  </r>
  <r>
    <x v="60"/>
    <n v="46.55"/>
  </r>
  <r>
    <x v="60"/>
    <n v="93.1"/>
  </r>
  <r>
    <x v="61"/>
    <n v="44.66"/>
  </r>
  <r>
    <x v="61"/>
    <n v="22.33"/>
  </r>
  <r>
    <x v="62"/>
    <n v="37.840000000000003"/>
  </r>
  <r>
    <x v="62"/>
    <n v="37.840000000000003"/>
  </r>
  <r>
    <x v="62"/>
    <n v="37.840000000000003"/>
  </r>
  <r>
    <x v="62"/>
    <n v="75.680000000000007"/>
  </r>
  <r>
    <x v="63"/>
    <n v="165.76"/>
  </r>
  <r>
    <x v="63"/>
    <n v="82.88"/>
  </r>
  <r>
    <x v="64"/>
    <n v="27.88"/>
  </r>
  <r>
    <x v="64"/>
    <n v="27.88"/>
  </r>
  <r>
    <x v="65"/>
    <n v="43.42"/>
  </r>
  <r>
    <x v="65"/>
    <n v="43.42"/>
  </r>
  <r>
    <x v="65"/>
    <n v="43.42"/>
  </r>
  <r>
    <x v="66"/>
    <n v="84.48"/>
  </r>
  <r>
    <x v="66"/>
    <n v="42.24"/>
  </r>
  <r>
    <x v="67"/>
    <n v="27.76"/>
  </r>
  <r>
    <x v="67"/>
    <n v="27.76"/>
  </r>
  <r>
    <x v="68"/>
    <n v="37.630000000000003"/>
  </r>
  <r>
    <x v="69"/>
    <n v="12.88"/>
  </r>
  <r>
    <x v="69"/>
    <n v="12.88"/>
  </r>
  <r>
    <x v="69"/>
    <n v="25.76"/>
  </r>
  <r>
    <x v="69"/>
    <n v="12.88"/>
  </r>
  <r>
    <x v="70"/>
    <n v="40.83"/>
  </r>
  <r>
    <x v="70"/>
    <n v="40.83"/>
  </r>
  <r>
    <x v="70"/>
    <n v="40.83"/>
  </r>
  <r>
    <x v="70"/>
    <n v="40.83"/>
  </r>
  <r>
    <x v="70"/>
    <n v="40.83"/>
  </r>
  <r>
    <x v="71"/>
    <n v="20.13"/>
  </r>
  <r>
    <x v="72"/>
    <n v="7.88"/>
  </r>
  <r>
    <x v="20"/>
    <n v="115.39"/>
  </r>
  <r>
    <x v="20"/>
    <n v="115.39"/>
  </r>
  <r>
    <x v="73"/>
    <n v="58.45"/>
  </r>
  <r>
    <x v="73"/>
    <n v="58.45"/>
  </r>
  <r>
    <x v="74"/>
    <n v="32.44"/>
  </r>
  <r>
    <x v="74"/>
    <n v="32.44"/>
  </r>
  <r>
    <x v="75"/>
    <n v="17.66"/>
  </r>
  <r>
    <x v="76"/>
    <n v="39.99"/>
  </r>
  <r>
    <x v="76"/>
    <n v="79.98"/>
  </r>
  <r>
    <x v="76"/>
    <n v="79.98"/>
  </r>
  <r>
    <x v="77"/>
    <n v="44.42"/>
  </r>
  <r>
    <x v="77"/>
    <n v="44.42"/>
  </r>
  <r>
    <x v="77"/>
    <n v="44.42"/>
  </r>
  <r>
    <x v="78"/>
    <n v="26.98"/>
  </r>
  <r>
    <x v="79"/>
    <n v="41.73"/>
  </r>
  <r>
    <x v="79"/>
    <n v="41.73"/>
  </r>
  <r>
    <x v="79"/>
    <n v="41.73"/>
  </r>
  <r>
    <x v="79"/>
    <n v="41.73"/>
  </r>
  <r>
    <x v="79"/>
    <n v="41.73"/>
  </r>
  <r>
    <x v="80"/>
    <n v="182.82"/>
  </r>
  <r>
    <x v="80"/>
    <n v="91.41"/>
  </r>
  <r>
    <x v="80"/>
    <n v="91.41"/>
  </r>
  <r>
    <x v="81"/>
    <n v="13.16"/>
  </r>
  <r>
    <x v="81"/>
    <n v="13.16"/>
  </r>
  <r>
    <x v="81"/>
    <n v="26.32"/>
  </r>
  <r>
    <x v="82"/>
    <n v="15.99"/>
  </r>
  <r>
    <x v="83"/>
    <n v="37.79"/>
  </r>
  <r>
    <x v="83"/>
    <n v="37.79"/>
  </r>
  <r>
    <x v="83"/>
    <n v="37.79"/>
  </r>
  <r>
    <x v="84"/>
    <n v="53.5"/>
  </r>
  <r>
    <x v="84"/>
    <n v="53.5"/>
  </r>
  <r>
    <x v="85"/>
    <n v="112.5"/>
  </r>
  <r>
    <x v="85"/>
    <n v="112.5"/>
  </r>
  <r>
    <x v="86"/>
    <n v="55.56"/>
  </r>
  <r>
    <x v="87"/>
    <n v="13.95"/>
  </r>
  <r>
    <x v="88"/>
    <n v="53.17"/>
  </r>
  <r>
    <x v="88"/>
    <n v="53.17"/>
  </r>
  <r>
    <x v="89"/>
    <n v="51.49"/>
  </r>
  <r>
    <x v="90"/>
    <n v="25.48"/>
  </r>
  <r>
    <x v="91"/>
    <n v="16.809999999999999"/>
  </r>
  <r>
    <x v="92"/>
    <n v="9.81"/>
  </r>
  <r>
    <x v="92"/>
    <n v="9.81"/>
  </r>
  <r>
    <x v="93"/>
    <n v="84.85"/>
  </r>
  <r>
    <x v="94"/>
    <n v="13.79"/>
  </r>
  <r>
    <x v="94"/>
    <n v="27.58"/>
  </r>
  <r>
    <x v="95"/>
    <n v="5.49"/>
  </r>
  <r>
    <x v="95"/>
    <n v="5.49"/>
  </r>
  <r>
    <x v="95"/>
    <n v="5.49"/>
  </r>
  <r>
    <x v="96"/>
    <n v="92.15"/>
  </r>
  <r>
    <x v="97"/>
    <n v="37.340000000000003"/>
  </r>
  <r>
    <x v="97"/>
    <n v="37.340000000000003"/>
  </r>
  <r>
    <x v="97"/>
    <n v="37.340000000000003"/>
  </r>
  <r>
    <x v="97"/>
    <n v="74.680000000000007"/>
  </r>
  <r>
    <x v="98"/>
    <n v="12.31"/>
  </r>
  <r>
    <x v="98"/>
    <n v="12.31"/>
  </r>
  <r>
    <x v="98"/>
    <n v="12.31"/>
  </r>
  <r>
    <x v="98"/>
    <n v="24.62"/>
  </r>
  <r>
    <x v="98"/>
    <n v="24.62"/>
  </r>
  <r>
    <x v="99"/>
    <n v="37.72"/>
  </r>
  <r>
    <x v="100"/>
    <n v="35.11"/>
  </r>
  <r>
    <x v="101"/>
    <n v="48.81"/>
  </r>
  <r>
    <x v="101"/>
    <n v="292.86"/>
  </r>
  <r>
    <x v="101"/>
    <n v="48.81"/>
  </r>
  <r>
    <x v="101"/>
    <n v="48.81"/>
  </r>
  <r>
    <x v="102"/>
    <n v="40.619999999999997"/>
  </r>
  <r>
    <x v="102"/>
    <n v="20.309999999999999"/>
  </r>
  <r>
    <x v="102"/>
    <n v="20.309999999999999"/>
  </r>
  <r>
    <x v="103"/>
    <n v="7.57"/>
  </r>
  <r>
    <x v="103"/>
    <n v="7.57"/>
  </r>
  <r>
    <x v="103"/>
    <n v="7.57"/>
  </r>
  <r>
    <x v="104"/>
    <n v="8.36"/>
  </r>
  <r>
    <x v="105"/>
    <n v="81.81"/>
  </r>
  <r>
    <x v="105"/>
    <n v="81.81"/>
  </r>
  <r>
    <x v="106"/>
    <n v="62.17"/>
  </r>
  <r>
    <x v="107"/>
    <n v="49.21"/>
  </r>
  <r>
    <x v="107"/>
    <n v="49.21"/>
  </r>
  <r>
    <x v="108"/>
    <n v="88.21"/>
  </r>
  <r>
    <x v="108"/>
    <n v="88.21"/>
  </r>
  <r>
    <x v="108"/>
    <n v="88.21"/>
  </r>
  <r>
    <x v="109"/>
    <n v="35.020000000000003"/>
  </r>
  <r>
    <x v="110"/>
    <n v="14.62"/>
  </r>
  <r>
    <x v="111"/>
    <n v="24.94"/>
  </r>
  <r>
    <x v="112"/>
    <n v="42.11"/>
  </r>
  <r>
    <x v="112"/>
    <n v="42.11"/>
  </r>
  <r>
    <x v="113"/>
    <n v="48.8"/>
  </r>
  <r>
    <x v="114"/>
    <n v="23.68"/>
  </r>
  <r>
    <x v="115"/>
    <n v="16.22"/>
  </r>
  <r>
    <x v="115"/>
    <n v="16.22"/>
  </r>
  <r>
    <x v="116"/>
    <n v="37.99"/>
  </r>
  <r>
    <x v="116"/>
    <n v="37.99"/>
  </r>
  <r>
    <x v="117"/>
    <n v="32.299999999999997"/>
  </r>
  <r>
    <x v="118"/>
    <n v="88.29"/>
  </r>
  <r>
    <x v="118"/>
    <n v="88.29"/>
  </r>
  <r>
    <x v="118"/>
    <n v="88.29"/>
  </r>
  <r>
    <x v="118"/>
    <n v="88.29"/>
  </r>
  <r>
    <x v="119"/>
    <n v="13.7"/>
  </r>
  <r>
    <x v="119"/>
    <n v="13.7"/>
  </r>
  <r>
    <x v="119"/>
    <n v="27.4"/>
  </r>
  <r>
    <x v="119"/>
    <n v="13.7"/>
  </r>
  <r>
    <x v="120"/>
    <n v="89.07"/>
  </r>
  <r>
    <x v="121"/>
    <n v="12.82"/>
  </r>
  <r>
    <x v="122"/>
    <n v="33.36"/>
  </r>
  <r>
    <x v="122"/>
    <n v="66.72"/>
  </r>
  <r>
    <x v="123"/>
    <n v="31.11"/>
  </r>
  <r>
    <x v="123"/>
    <n v="31.11"/>
  </r>
  <r>
    <x v="124"/>
    <n v="150.47999999999999"/>
  </r>
  <r>
    <x v="124"/>
    <n v="75.239999999999995"/>
  </r>
  <r>
    <x v="124"/>
    <n v="75.239999999999995"/>
  </r>
  <r>
    <x v="124"/>
    <n v="75.239999999999995"/>
  </r>
  <r>
    <x v="124"/>
    <n v="75.239999999999995"/>
  </r>
  <r>
    <x v="125"/>
    <n v="40.28"/>
  </r>
  <r>
    <x v="126"/>
    <n v="29.98"/>
  </r>
  <r>
    <x v="126"/>
    <n v="29.98"/>
  </r>
  <r>
    <x v="127"/>
    <n v="29"/>
  </r>
  <r>
    <x v="127"/>
    <n v="29"/>
  </r>
  <r>
    <x v="128"/>
    <n v="36.35"/>
  </r>
  <r>
    <x v="128"/>
    <n v="36.35"/>
  </r>
  <r>
    <x v="129"/>
    <n v="34.86"/>
  </r>
  <r>
    <x v="129"/>
    <n v="69.72"/>
  </r>
  <r>
    <x v="129"/>
    <n v="34.86"/>
  </r>
  <r>
    <x v="129"/>
    <n v="34.86"/>
  </r>
  <r>
    <x v="129"/>
    <n v="34.86"/>
  </r>
  <r>
    <x v="129"/>
    <n v="34.86"/>
  </r>
  <r>
    <x v="129"/>
    <n v="34.86"/>
  </r>
  <r>
    <x v="130"/>
    <n v="39.99"/>
  </r>
  <r>
    <x v="131"/>
    <n v="83.03"/>
  </r>
  <r>
    <x v="132"/>
    <n v="37.979999999999997"/>
  </r>
  <r>
    <x v="133"/>
    <n v="24.7"/>
  </r>
  <r>
    <x v="133"/>
    <n v="24.7"/>
  </r>
  <r>
    <x v="134"/>
    <n v="110.01"/>
  </r>
  <r>
    <x v="134"/>
    <n v="110.01"/>
  </r>
  <r>
    <x v="135"/>
    <n v="35.08"/>
  </r>
  <r>
    <x v="136"/>
    <n v="48.51"/>
  </r>
  <r>
    <x v="137"/>
    <n v="47.32"/>
  </r>
  <r>
    <x v="138"/>
    <n v="40.97"/>
  </r>
  <r>
    <x v="138"/>
    <n v="40.97"/>
  </r>
  <r>
    <x v="139"/>
    <n v="29.09"/>
  </r>
  <r>
    <x v="140"/>
    <n v="25.78"/>
  </r>
  <r>
    <x v="140"/>
    <n v="25.78"/>
  </r>
  <r>
    <x v="141"/>
    <n v="37.9"/>
  </r>
  <r>
    <x v="141"/>
    <n v="37.9"/>
  </r>
  <r>
    <x v="142"/>
    <n v="40.75"/>
  </r>
  <r>
    <x v="142"/>
    <n v="40.75"/>
  </r>
  <r>
    <x v="142"/>
    <n v="40.75"/>
  </r>
  <r>
    <x v="142"/>
    <n v="40.75"/>
  </r>
  <r>
    <x v="142"/>
    <n v="40.75"/>
  </r>
  <r>
    <x v="143"/>
    <n v="24.19"/>
  </r>
  <r>
    <x v="143"/>
    <n v="24.19"/>
  </r>
  <r>
    <x v="143"/>
    <n v="24.19"/>
  </r>
  <r>
    <x v="144"/>
    <n v="32.42"/>
  </r>
  <r>
    <x v="144"/>
    <n v="32.42"/>
  </r>
  <r>
    <x v="145"/>
    <n v="30.95"/>
  </r>
  <r>
    <x v="145"/>
    <n v="30.95"/>
  </r>
  <r>
    <x v="145"/>
    <n v="61.9"/>
  </r>
  <r>
    <x v="145"/>
    <n v="61.9"/>
  </r>
  <r>
    <x v="145"/>
    <n v="61.9"/>
  </r>
  <r>
    <x v="145"/>
    <n v="30.95"/>
  </r>
  <r>
    <x v="145"/>
    <n v="61.9"/>
  </r>
  <r>
    <x v="145"/>
    <n v="30.95"/>
  </r>
  <r>
    <x v="145"/>
    <n v="61.9"/>
  </r>
  <r>
    <x v="145"/>
    <n v="30.95"/>
  </r>
  <r>
    <x v="146"/>
    <n v="145.58000000000001"/>
  </r>
  <r>
    <x v="146"/>
    <n v="72.790000000000006"/>
  </r>
  <r>
    <x v="146"/>
    <n v="72.790000000000006"/>
  </r>
  <r>
    <x v="146"/>
    <n v="72.790000000000006"/>
  </r>
  <r>
    <x v="147"/>
    <n v="55.1"/>
  </r>
  <r>
    <x v="147"/>
    <n v="27.55"/>
  </r>
  <r>
    <x v="148"/>
    <n v="38.56"/>
  </r>
  <r>
    <x v="148"/>
    <n v="38.56"/>
  </r>
  <r>
    <x v="149"/>
    <n v="52.53"/>
  </r>
  <r>
    <x v="150"/>
    <n v="32.01"/>
  </r>
  <r>
    <x v="151"/>
    <n v="50.7"/>
  </r>
  <r>
    <x v="152"/>
    <n v="53.17"/>
  </r>
  <r>
    <x v="153"/>
    <n v="14.98"/>
  </r>
  <r>
    <x v="153"/>
    <n v="14.98"/>
  </r>
  <r>
    <x v="153"/>
    <n v="14.98"/>
  </r>
  <r>
    <x v="154"/>
    <n v="32.44"/>
  </r>
  <r>
    <x v="154"/>
    <n v="32.44"/>
  </r>
  <r>
    <x v="154"/>
    <n v="32.44"/>
  </r>
  <r>
    <x v="155"/>
    <n v="52.35"/>
  </r>
  <r>
    <x v="155"/>
    <n v="52.35"/>
  </r>
  <r>
    <x v="156"/>
    <n v="65.34"/>
  </r>
  <r>
    <x v="156"/>
    <n v="32.67"/>
  </r>
  <r>
    <x v="156"/>
    <n v="32.67"/>
  </r>
  <r>
    <x v="156"/>
    <n v="32.67"/>
  </r>
  <r>
    <x v="156"/>
    <n v="32.67"/>
  </r>
  <r>
    <x v="156"/>
    <n v="32.67"/>
  </r>
  <r>
    <x v="156"/>
    <n v="32.67"/>
  </r>
  <r>
    <x v="156"/>
    <n v="32.67"/>
  </r>
  <r>
    <x v="156"/>
    <n v="65.34"/>
  </r>
  <r>
    <x v="156"/>
    <n v="65.34"/>
  </r>
  <r>
    <x v="156"/>
    <n v="32.67"/>
  </r>
  <r>
    <x v="156"/>
    <n v="65.34"/>
  </r>
  <r>
    <x v="156"/>
    <n v="32.67"/>
  </r>
  <r>
    <x v="156"/>
    <n v="32.67"/>
  </r>
  <r>
    <x v="157"/>
    <n v="39.979999999999997"/>
  </r>
  <r>
    <x v="157"/>
    <n v="19.989999999999998"/>
  </r>
  <r>
    <x v="157"/>
    <n v="39.979999999999997"/>
  </r>
  <r>
    <x v="157"/>
    <n v="19.989999999999998"/>
  </r>
  <r>
    <x v="158"/>
    <n v="54.03"/>
  </r>
  <r>
    <x v="159"/>
    <n v="22.23"/>
  </r>
  <r>
    <x v="160"/>
    <n v="74.39"/>
  </r>
  <r>
    <x v="160"/>
    <n v="74.39"/>
  </r>
  <r>
    <x v="160"/>
    <n v="74.39"/>
  </r>
  <r>
    <x v="161"/>
    <n v="186.88"/>
  </r>
  <r>
    <x v="161"/>
    <n v="93.44"/>
  </r>
  <r>
    <x v="161"/>
    <n v="93.44"/>
  </r>
  <r>
    <x v="162"/>
    <n v="26.98"/>
  </r>
  <r>
    <x v="162"/>
    <n v="26.98"/>
  </r>
  <r>
    <x v="163"/>
    <n v="23.36"/>
  </r>
  <r>
    <x v="164"/>
    <n v="19.03"/>
  </r>
  <r>
    <x v="164"/>
    <n v="19.03"/>
  </r>
  <r>
    <x v="164"/>
    <n v="19.03"/>
  </r>
  <r>
    <x v="165"/>
    <n v="64.55"/>
  </r>
  <r>
    <x v="165"/>
    <n v="64.55"/>
  </r>
  <r>
    <x v="165"/>
    <n v="64.55"/>
  </r>
  <r>
    <x v="165"/>
    <n v="64.55"/>
  </r>
  <r>
    <x v="166"/>
    <n v="32.19"/>
  </r>
  <r>
    <x v="166"/>
    <n v="32.19"/>
  </r>
  <r>
    <x v="166"/>
    <n v="32.19"/>
  </r>
  <r>
    <x v="167"/>
    <n v="25"/>
  </r>
  <r>
    <x v="167"/>
    <n v="25"/>
  </r>
  <r>
    <x v="168"/>
    <n v="59.4"/>
  </r>
  <r>
    <x v="168"/>
    <n v="59.4"/>
  </r>
  <r>
    <x v="169"/>
    <n v="75.099999999999994"/>
  </r>
  <r>
    <x v="169"/>
    <n v="75.099999999999994"/>
  </r>
  <r>
    <x v="169"/>
    <n v="75.099999999999994"/>
  </r>
  <r>
    <x v="169"/>
    <n v="75.099999999999994"/>
  </r>
  <r>
    <x v="169"/>
    <n v="75.099999999999994"/>
  </r>
  <r>
    <x v="169"/>
    <n v="75.099999999999994"/>
  </r>
  <r>
    <x v="170"/>
    <n v="20.75"/>
  </r>
  <r>
    <x v="170"/>
    <n v="20.75"/>
  </r>
  <r>
    <x v="171"/>
    <n v="20.75"/>
  </r>
  <r>
    <x v="171"/>
    <n v="41.5"/>
  </r>
  <r>
    <x v="171"/>
    <n v="20.75"/>
  </r>
  <r>
    <x v="172"/>
    <n v="34.22"/>
  </r>
  <r>
    <x v="172"/>
    <n v="34.22"/>
  </r>
  <r>
    <x v="172"/>
    <n v="34.22"/>
  </r>
  <r>
    <x v="173"/>
    <n v="4.3600000000000003"/>
  </r>
  <r>
    <x v="173"/>
    <n v="2.1800000000000002"/>
  </r>
  <r>
    <x v="173"/>
    <n v="2.1800000000000002"/>
  </r>
  <r>
    <x v="174"/>
    <n v="26.73"/>
  </r>
  <r>
    <x v="174"/>
    <n v="26.73"/>
  </r>
  <r>
    <x v="175"/>
    <n v="79.16"/>
  </r>
  <r>
    <x v="175"/>
    <n v="79.16"/>
  </r>
  <r>
    <x v="175"/>
    <n v="79.16"/>
  </r>
  <r>
    <x v="176"/>
    <n v="51.74"/>
  </r>
  <r>
    <x v="176"/>
    <n v="51.74"/>
  </r>
  <r>
    <x v="176"/>
    <n v="51.74"/>
  </r>
  <r>
    <x v="176"/>
    <n v="51.74"/>
  </r>
  <r>
    <x v="176"/>
    <n v="51.74"/>
  </r>
  <r>
    <x v="176"/>
    <n v="51.74"/>
  </r>
  <r>
    <x v="176"/>
    <n v="103.48"/>
  </r>
  <r>
    <x v="176"/>
    <n v="51.74"/>
  </r>
  <r>
    <x v="176"/>
    <n v="51.74"/>
  </r>
  <r>
    <x v="177"/>
    <n v="16.899999999999999"/>
  </r>
  <r>
    <x v="178"/>
    <n v="68.72"/>
  </r>
  <r>
    <x v="178"/>
    <n v="34.36"/>
  </r>
  <r>
    <x v="179"/>
    <n v="6.18"/>
  </r>
  <r>
    <x v="179"/>
    <n v="12.36"/>
  </r>
  <r>
    <x v="179"/>
    <n v="6.18"/>
  </r>
  <r>
    <x v="180"/>
    <n v="56.67"/>
  </r>
  <r>
    <x v="180"/>
    <n v="56.67"/>
  </r>
  <r>
    <x v="181"/>
    <n v="19.09"/>
  </r>
  <r>
    <x v="181"/>
    <n v="38.18"/>
  </r>
  <r>
    <x v="182"/>
    <n v="31.66"/>
  </r>
  <r>
    <x v="183"/>
    <n v="240.7"/>
  </r>
  <r>
    <x v="183"/>
    <n v="48.14"/>
  </r>
  <r>
    <x v="183"/>
    <n v="48.14"/>
  </r>
  <r>
    <x v="184"/>
    <n v="17.28"/>
  </r>
  <r>
    <x v="184"/>
    <n v="17.28"/>
  </r>
  <r>
    <x v="184"/>
    <n v="34.56"/>
  </r>
  <r>
    <x v="185"/>
    <n v="44.56"/>
  </r>
  <r>
    <x v="185"/>
    <n v="22.28"/>
  </r>
  <r>
    <x v="186"/>
    <n v="6.91"/>
  </r>
  <r>
    <x v="186"/>
    <n v="6.91"/>
  </r>
  <r>
    <x v="187"/>
    <n v="119.3"/>
  </r>
  <r>
    <x v="187"/>
    <n v="119.3"/>
  </r>
  <r>
    <x v="187"/>
    <n v="119.3"/>
  </r>
  <r>
    <x v="187"/>
    <n v="119.3"/>
  </r>
  <r>
    <x v="188"/>
    <n v="32.26"/>
  </r>
  <r>
    <x v="188"/>
    <n v="32.26"/>
  </r>
  <r>
    <x v="188"/>
    <n v="64.52"/>
  </r>
  <r>
    <x v="188"/>
    <n v="32.26"/>
  </r>
  <r>
    <x v="189"/>
    <n v="44.48"/>
  </r>
  <r>
    <x v="189"/>
    <n v="22.24"/>
  </r>
  <r>
    <x v="190"/>
    <n v="16.11"/>
  </r>
  <r>
    <x v="188"/>
    <n v="26.2"/>
  </r>
  <r>
    <x v="188"/>
    <n v="52.4"/>
  </r>
  <r>
    <x v="191"/>
    <n v="38.74"/>
  </r>
  <r>
    <x v="192"/>
    <n v="26.5"/>
  </r>
  <r>
    <x v="192"/>
    <n v="13.25"/>
  </r>
  <r>
    <x v="192"/>
    <n v="13.25"/>
  </r>
  <r>
    <x v="193"/>
    <n v="36.49"/>
  </r>
  <r>
    <x v="194"/>
    <n v="27.32"/>
  </r>
  <r>
    <x v="194"/>
    <n v="27.32"/>
  </r>
  <r>
    <x v="195"/>
    <n v="44.13"/>
  </r>
  <r>
    <x v="195"/>
    <n v="44.13"/>
  </r>
  <r>
    <x v="195"/>
    <n v="44.13"/>
  </r>
  <r>
    <x v="195"/>
    <n v="88.26"/>
  </r>
  <r>
    <x v="196"/>
    <n v="37.99"/>
  </r>
  <r>
    <x v="196"/>
    <n v="75.98"/>
  </r>
  <r>
    <x v="196"/>
    <n v="75.98"/>
  </r>
  <r>
    <x v="197"/>
    <n v="32.76"/>
  </r>
  <r>
    <x v="198"/>
    <n v="33.89"/>
  </r>
  <r>
    <x v="198"/>
    <n v="33.89"/>
  </r>
  <r>
    <x v="199"/>
    <n v="109.02"/>
  </r>
  <r>
    <x v="199"/>
    <n v="109.02"/>
  </r>
  <r>
    <x v="199"/>
    <n v="54.51"/>
  </r>
  <r>
    <x v="199"/>
    <n v="109.02"/>
  </r>
  <r>
    <x v="200"/>
    <n v="106.34"/>
  </r>
  <r>
    <x v="201"/>
    <n v="47.75"/>
  </r>
  <r>
    <x v="202"/>
    <n v="221.8"/>
  </r>
  <r>
    <x v="203"/>
    <n v="49.85"/>
  </r>
  <r>
    <x v="203"/>
    <n v="99.7"/>
  </r>
  <r>
    <x v="203"/>
    <n v="97.88"/>
  </r>
  <r>
    <x v="203"/>
    <n v="97.88"/>
  </r>
  <r>
    <x v="203"/>
    <n v="97.88"/>
  </r>
  <r>
    <x v="204"/>
    <n v="63.55"/>
  </r>
  <r>
    <x v="204"/>
    <n v="63.55"/>
  </r>
  <r>
    <x v="205"/>
    <n v="53.17"/>
  </r>
  <r>
    <x v="200"/>
    <n v="53.17"/>
  </r>
  <r>
    <x v="206"/>
    <n v="66.33"/>
  </r>
  <r>
    <x v="207"/>
    <n v="115.55"/>
  </r>
  <r>
    <x v="207"/>
    <n v="115.55"/>
  </r>
  <r>
    <x v="208"/>
    <n v="29.36"/>
  </r>
  <r>
    <x v="208"/>
    <n v="29.36"/>
  </r>
  <r>
    <x v="208"/>
    <n v="29.36"/>
  </r>
  <r>
    <x v="207"/>
    <n v="92.77"/>
  </r>
  <r>
    <x v="207"/>
    <n v="92.77"/>
  </r>
  <r>
    <x v="207"/>
    <n v="92.77"/>
  </r>
  <r>
    <x v="209"/>
    <n v="63.84"/>
  </r>
  <r>
    <x v="209"/>
    <n v="63.84"/>
  </r>
  <r>
    <x v="209"/>
    <n v="63.84"/>
  </r>
  <r>
    <x v="210"/>
    <n v="63.84"/>
  </r>
  <r>
    <x v="210"/>
    <n v="63.84"/>
  </r>
  <r>
    <x v="210"/>
    <n v="63.84"/>
  </r>
  <r>
    <x v="211"/>
    <n v="63.84"/>
  </r>
  <r>
    <x v="212"/>
    <n v="113.45"/>
  </r>
  <r>
    <x v="213"/>
    <n v="63.84"/>
  </r>
  <r>
    <x v="214"/>
    <n v="127.68"/>
  </r>
  <r>
    <x v="214"/>
    <n v="63.84"/>
  </r>
  <r>
    <x v="214"/>
    <n v="127.68"/>
  </r>
  <r>
    <x v="210"/>
    <n v="63.84"/>
  </r>
  <r>
    <x v="215"/>
    <n v="73.14"/>
  </r>
  <r>
    <x v="215"/>
    <n v="36.57"/>
  </r>
  <r>
    <x v="215"/>
    <n v="73.14"/>
  </r>
  <r>
    <x v="215"/>
    <n v="36.57"/>
  </r>
  <r>
    <x v="216"/>
    <n v="36.57"/>
  </r>
  <r>
    <x v="217"/>
    <n v="24.92"/>
  </r>
  <r>
    <x v="217"/>
    <n v="24.92"/>
  </r>
  <r>
    <x v="218"/>
    <n v="33.89"/>
  </r>
  <r>
    <x v="218"/>
    <n v="67.78"/>
  </r>
  <r>
    <x v="219"/>
    <n v="32.33"/>
  </r>
  <r>
    <x v="219"/>
    <n v="32.33"/>
  </r>
  <r>
    <x v="219"/>
    <n v="32.33"/>
  </r>
  <r>
    <x v="220"/>
    <n v="13.54"/>
  </r>
  <r>
    <x v="221"/>
    <n v="21.81"/>
  </r>
  <r>
    <x v="221"/>
    <n v="43.62"/>
  </r>
  <r>
    <x v="221"/>
    <n v="21.81"/>
  </r>
  <r>
    <x v="221"/>
    <n v="21.81"/>
  </r>
  <r>
    <x v="222"/>
    <n v="33.89"/>
  </r>
  <r>
    <x v="222"/>
    <n v="33.89"/>
  </r>
  <r>
    <x v="222"/>
    <n v="67.78"/>
  </r>
  <r>
    <x v="223"/>
    <n v="32.71"/>
  </r>
  <r>
    <x v="224"/>
    <n v="48.52"/>
  </r>
  <r>
    <x v="224"/>
    <n v="24.26"/>
  </r>
  <r>
    <x v="225"/>
    <n v="49.8"/>
  </r>
  <r>
    <x v="226"/>
    <n v="32.89"/>
  </r>
  <r>
    <x v="227"/>
    <n v="32.99"/>
  </r>
  <r>
    <x v="228"/>
    <n v="32.299999999999997"/>
  </r>
  <r>
    <x v="228"/>
    <n v="32.299999999999997"/>
  </r>
  <r>
    <x v="228"/>
    <n v="32.299999999999997"/>
  </r>
  <r>
    <x v="229"/>
    <n v="75.05"/>
  </r>
  <r>
    <x v="229"/>
    <n v="75.05"/>
  </r>
  <r>
    <x v="230"/>
    <n v="70.97"/>
  </r>
  <r>
    <x v="231"/>
    <n v="155.12"/>
  </r>
  <r>
    <x v="232"/>
    <n v="23.35"/>
  </r>
  <r>
    <x v="232"/>
    <n v="46.7"/>
  </r>
  <r>
    <x v="232"/>
    <n v="23.35"/>
  </r>
  <r>
    <x v="232"/>
    <n v="23.35"/>
  </r>
  <r>
    <x v="233"/>
    <n v="60.86"/>
  </r>
  <r>
    <x v="233"/>
    <n v="60.86"/>
  </r>
  <r>
    <x v="233"/>
    <n v="60.86"/>
  </r>
  <r>
    <x v="234"/>
    <n v="77.97"/>
  </r>
  <r>
    <x v="235"/>
    <n v="60.93"/>
  </r>
  <r>
    <x v="236"/>
    <n v="32.81"/>
  </r>
  <r>
    <x v="237"/>
    <n v="32.93"/>
  </r>
  <r>
    <x v="237"/>
    <n v="32.93"/>
  </r>
  <r>
    <x v="236"/>
    <n v="34.46"/>
  </r>
  <r>
    <x v="238"/>
    <n v="15.83"/>
  </r>
  <r>
    <x v="238"/>
    <n v="15.83"/>
  </r>
  <r>
    <x v="239"/>
    <n v="13.58"/>
  </r>
  <r>
    <x v="240"/>
    <n v="17.829999999999998"/>
  </r>
  <r>
    <x v="240"/>
    <n v="17.829999999999998"/>
  </r>
  <r>
    <x v="240"/>
    <n v="17.829999999999998"/>
  </r>
  <r>
    <x v="241"/>
    <n v="43.01"/>
  </r>
  <r>
    <x v="242"/>
    <n v="29.59"/>
  </r>
  <r>
    <x v="242"/>
    <n v="59.18"/>
  </r>
  <r>
    <x v="243"/>
    <n v="86.5"/>
  </r>
  <r>
    <x v="244"/>
    <n v="20.79"/>
  </r>
  <r>
    <x v="244"/>
    <n v="20.79"/>
  </r>
  <r>
    <x v="244"/>
    <n v="20.79"/>
  </r>
  <r>
    <x v="245"/>
    <n v="115.49"/>
  </r>
  <r>
    <x v="245"/>
    <n v="115.49"/>
  </r>
  <r>
    <x v="246"/>
    <n v="92.5"/>
  </r>
  <r>
    <x v="247"/>
    <n v="204.66"/>
  </r>
  <r>
    <x v="248"/>
    <n v="29.46"/>
  </r>
  <r>
    <x v="249"/>
    <n v="59.84"/>
  </r>
  <r>
    <x v="249"/>
    <n v="29.92"/>
  </r>
  <r>
    <x v="250"/>
    <n v="101.55"/>
  </r>
  <r>
    <x v="250"/>
    <n v="101.55"/>
  </r>
  <r>
    <x v="250"/>
    <n v="101.55"/>
  </r>
  <r>
    <x v="251"/>
    <n v="107.11"/>
  </r>
  <r>
    <x v="252"/>
    <n v="24.23"/>
  </r>
  <r>
    <x v="252"/>
    <n v="48.46"/>
  </r>
  <r>
    <x v="253"/>
    <n v="119.75"/>
  </r>
  <r>
    <x v="254"/>
    <n v="115.35"/>
  </r>
  <r>
    <x v="255"/>
    <n v="100.7"/>
  </r>
  <r>
    <x v="255"/>
    <n v="201.4"/>
  </r>
  <r>
    <x v="255"/>
    <n v="201.4"/>
  </r>
  <r>
    <x v="256"/>
    <n v="16.88"/>
  </r>
  <r>
    <x v="257"/>
    <n v="75.400000000000006"/>
  </r>
  <r>
    <x v="258"/>
    <n v="171.88"/>
  </r>
  <r>
    <x v="258"/>
    <n v="85.94"/>
  </r>
  <r>
    <x v="259"/>
    <n v="15.21"/>
  </r>
  <r>
    <x v="188"/>
    <n v="22.63"/>
  </r>
  <r>
    <x v="188"/>
    <n v="22.63"/>
  </r>
  <r>
    <x v="259"/>
    <n v="18.559999999999999"/>
  </r>
  <r>
    <x v="259"/>
    <n v="18.559999999999999"/>
  </r>
  <r>
    <x v="259"/>
    <n v="71.349999999999994"/>
  </r>
  <r>
    <x v="259"/>
    <n v="85.1"/>
  </r>
  <r>
    <x v="260"/>
    <n v="116.81"/>
  </r>
  <r>
    <x v="260"/>
    <n v="116.81"/>
  </r>
  <r>
    <x v="261"/>
    <n v="64.709999999999994"/>
  </r>
  <r>
    <x v="262"/>
    <n v="65.459999999999994"/>
  </r>
  <r>
    <x v="262"/>
    <n v="65.459999999999994"/>
  </r>
  <r>
    <x v="263"/>
    <n v="21.89"/>
  </r>
  <r>
    <x v="263"/>
    <n v="21.89"/>
  </r>
  <r>
    <x v="263"/>
    <n v="21.89"/>
  </r>
  <r>
    <x v="263"/>
    <n v="21.89"/>
  </r>
  <r>
    <x v="264"/>
    <n v="220.2"/>
  </r>
  <r>
    <x v="264"/>
    <n v="110.1"/>
  </r>
  <r>
    <x v="264"/>
    <n v="110.1"/>
  </r>
  <r>
    <x v="265"/>
    <n v="21.89"/>
  </r>
  <r>
    <x v="266"/>
    <n v="66.88"/>
  </r>
  <r>
    <x v="266"/>
    <n v="133.76"/>
  </r>
  <r>
    <x v="267"/>
    <n v="97.02"/>
  </r>
  <r>
    <x v="268"/>
    <n v="59.61"/>
  </r>
  <r>
    <x v="268"/>
    <n v="59.61"/>
  </r>
  <r>
    <x v="269"/>
    <n v="49.13"/>
  </r>
  <r>
    <x v="269"/>
    <n v="49.13"/>
  </r>
  <r>
    <x v="270"/>
    <n v="32.96"/>
  </r>
  <r>
    <x v="270"/>
    <n v="32.96"/>
  </r>
  <r>
    <x v="271"/>
    <n v="37.76"/>
  </r>
  <r>
    <x v="271"/>
    <n v="37.76"/>
  </r>
  <r>
    <x v="272"/>
    <n v="71"/>
  </r>
  <r>
    <x v="272"/>
    <n v="35.5"/>
  </r>
  <r>
    <x v="273"/>
    <n v="41.73"/>
  </r>
  <r>
    <x v="274"/>
    <n v="39.04"/>
  </r>
  <r>
    <x v="274"/>
    <n v="39.04"/>
  </r>
  <r>
    <x v="275"/>
    <n v="21.1"/>
  </r>
  <r>
    <x v="275"/>
    <n v="21.1"/>
  </r>
  <r>
    <x v="275"/>
    <n v="21.1"/>
  </r>
  <r>
    <x v="276"/>
    <n v="48.82"/>
  </r>
  <r>
    <x v="277"/>
    <n v="81.02"/>
  </r>
  <r>
    <x v="277"/>
    <n v="81.02"/>
  </r>
  <r>
    <x v="277"/>
    <n v="81.02"/>
  </r>
  <r>
    <x v="277"/>
    <n v="81.02"/>
  </r>
  <r>
    <x v="277"/>
    <n v="81.02"/>
  </r>
  <r>
    <x v="277"/>
    <n v="81.02"/>
  </r>
  <r>
    <x v="278"/>
    <n v="99.85"/>
  </r>
  <r>
    <x v="278"/>
    <n v="99.85"/>
  </r>
  <r>
    <x v="278"/>
    <n v="199.7"/>
  </r>
  <r>
    <x v="279"/>
    <n v="23.33"/>
  </r>
  <r>
    <x v="279"/>
    <n v="23.33"/>
  </r>
  <r>
    <x v="279"/>
    <n v="23.33"/>
  </r>
  <r>
    <x v="279"/>
    <n v="23.33"/>
  </r>
  <r>
    <x v="279"/>
    <n v="23.33"/>
  </r>
  <r>
    <x v="280"/>
    <n v="10.07"/>
  </r>
  <r>
    <x v="280"/>
    <n v="20.14"/>
  </r>
  <r>
    <x v="280"/>
    <n v="10.07"/>
  </r>
  <r>
    <x v="280"/>
    <n v="10.07"/>
  </r>
  <r>
    <x v="280"/>
    <n v="10.07"/>
  </r>
  <r>
    <x v="280"/>
    <n v="10.07"/>
  </r>
  <r>
    <x v="280"/>
    <n v="10.07"/>
  </r>
  <r>
    <x v="280"/>
    <n v="10.07"/>
  </r>
  <r>
    <x v="280"/>
    <n v="10.07"/>
  </r>
  <r>
    <x v="280"/>
    <n v="10.07"/>
  </r>
  <r>
    <x v="280"/>
    <n v="10.07"/>
  </r>
  <r>
    <x v="280"/>
    <n v="10.07"/>
  </r>
  <r>
    <x v="280"/>
    <n v="20.14"/>
  </r>
  <r>
    <x v="280"/>
    <n v="10.07"/>
  </r>
  <r>
    <x v="280"/>
    <n v="10.07"/>
  </r>
  <r>
    <x v="280"/>
    <n v="10.07"/>
  </r>
  <r>
    <x v="280"/>
    <n v="10.07"/>
  </r>
  <r>
    <x v="280"/>
    <n v="10.07"/>
  </r>
  <r>
    <x v="281"/>
    <n v="73.400000000000006"/>
  </r>
  <r>
    <x v="281"/>
    <n v="73.400000000000006"/>
  </r>
  <r>
    <x v="282"/>
    <n v="64.84"/>
  </r>
  <r>
    <x v="282"/>
    <n v="64.84"/>
  </r>
  <r>
    <x v="282"/>
    <n v="64.84"/>
  </r>
  <r>
    <x v="282"/>
    <n v="64.84"/>
  </r>
  <r>
    <x v="282"/>
    <n v="129.68"/>
  </r>
  <r>
    <x v="255"/>
    <n v="97.96"/>
  </r>
  <r>
    <x v="283"/>
    <n v="67.33"/>
  </r>
  <r>
    <x v="283"/>
    <n v="67.33"/>
  </r>
  <r>
    <x v="283"/>
    <n v="67.33"/>
  </r>
  <r>
    <x v="284"/>
    <n v="127.78"/>
  </r>
  <r>
    <x v="284"/>
    <n v="63.89"/>
  </r>
  <r>
    <x v="284"/>
    <n v="63.89"/>
  </r>
  <r>
    <x v="284"/>
    <n v="127.78"/>
  </r>
  <r>
    <x v="284"/>
    <n v="63.89"/>
  </r>
  <r>
    <x v="284"/>
    <n v="63.89"/>
  </r>
  <r>
    <x v="284"/>
    <n v="63.89"/>
  </r>
  <r>
    <x v="284"/>
    <n v="63.89"/>
  </r>
  <r>
    <x v="285"/>
    <n v="28.3"/>
  </r>
  <r>
    <x v="286"/>
    <n v="26.9"/>
  </r>
  <r>
    <x v="286"/>
    <n v="26.9"/>
  </r>
  <r>
    <x v="287"/>
    <n v="66.94"/>
  </r>
  <r>
    <x v="287"/>
    <n v="66.94"/>
  </r>
  <r>
    <x v="287"/>
    <n v="66.94"/>
  </r>
  <r>
    <x v="287"/>
    <n v="66.94"/>
  </r>
  <r>
    <x v="288"/>
    <n v="50.15"/>
  </r>
  <r>
    <x v="289"/>
    <n v="97.17"/>
  </r>
  <r>
    <x v="289"/>
    <n v="97.17"/>
  </r>
  <r>
    <x v="289"/>
    <n v="97.17"/>
  </r>
  <r>
    <x v="290"/>
    <n v="25.41"/>
  </r>
  <r>
    <x v="290"/>
    <n v="25.41"/>
  </r>
  <r>
    <x v="290"/>
    <n v="25.41"/>
  </r>
  <r>
    <x v="290"/>
    <n v="25.41"/>
  </r>
  <r>
    <x v="290"/>
    <n v="50.82"/>
  </r>
  <r>
    <x v="290"/>
    <n v="50.82"/>
  </r>
  <r>
    <x v="290"/>
    <n v="50.82"/>
  </r>
  <r>
    <x v="291"/>
    <n v="26.98"/>
  </r>
  <r>
    <x v="291"/>
    <n v="26.98"/>
  </r>
  <r>
    <x v="292"/>
    <n v="27.32"/>
  </r>
  <r>
    <x v="292"/>
    <n v="27.32"/>
  </r>
  <r>
    <x v="292"/>
    <n v="27.32"/>
  </r>
  <r>
    <x v="292"/>
    <n v="27.32"/>
  </r>
  <r>
    <x v="293"/>
    <n v="114.11"/>
  </r>
  <r>
    <x v="293"/>
    <n v="114.11"/>
  </r>
  <r>
    <x v="293"/>
    <n v="114.11"/>
  </r>
  <r>
    <x v="293"/>
    <n v="114.11"/>
  </r>
  <r>
    <x v="294"/>
    <n v="175.02"/>
  </r>
  <r>
    <x v="294"/>
    <n v="87.51"/>
  </r>
  <r>
    <x v="295"/>
    <n v="96.77"/>
  </r>
  <r>
    <x v="296"/>
    <n v="55.99"/>
  </r>
  <r>
    <x v="296"/>
    <n v="55.99"/>
  </r>
  <r>
    <x v="296"/>
    <n v="55.99"/>
  </r>
  <r>
    <x v="297"/>
    <n v="57.98"/>
  </r>
  <r>
    <x v="298"/>
    <n v="48.88"/>
  </r>
  <r>
    <x v="299"/>
    <n v="28.76"/>
  </r>
  <r>
    <x v="299"/>
    <n v="28.76"/>
  </r>
  <r>
    <x v="300"/>
    <n v="20.39"/>
  </r>
  <r>
    <x v="301"/>
    <n v="54.41"/>
  </r>
  <r>
    <x v="301"/>
    <n v="54.41"/>
  </r>
  <r>
    <x v="301"/>
    <n v="108.82"/>
  </r>
  <r>
    <x v="301"/>
    <n v="108.82"/>
  </r>
  <r>
    <x v="301"/>
    <n v="54.41"/>
  </r>
  <r>
    <x v="302"/>
    <n v="60.6"/>
  </r>
  <r>
    <x v="302"/>
    <n v="60.6"/>
  </r>
  <r>
    <x v="302"/>
    <n v="60.6"/>
  </r>
  <r>
    <x v="303"/>
    <n v="26.7"/>
  </r>
  <r>
    <x v="303"/>
    <n v="26.7"/>
  </r>
  <r>
    <x v="303"/>
    <n v="44.92"/>
  </r>
  <r>
    <x v="303"/>
    <n v="44.92"/>
  </r>
  <r>
    <x v="303"/>
    <n v="44.92"/>
  </r>
  <r>
    <x v="304"/>
    <n v="80.069999999999993"/>
  </r>
  <r>
    <x v="304"/>
    <n v="160.13999999999999"/>
  </r>
  <r>
    <x v="304"/>
    <n v="80.069999999999993"/>
  </r>
  <r>
    <x v="304"/>
    <n v="80.069999999999993"/>
  </r>
  <r>
    <x v="304"/>
    <n v="160.13999999999999"/>
  </r>
  <r>
    <x v="305"/>
    <n v="20.55"/>
  </r>
  <r>
    <x v="305"/>
    <n v="20.55"/>
  </r>
  <r>
    <x v="305"/>
    <n v="41.1"/>
  </r>
  <r>
    <x v="305"/>
    <n v="41.1"/>
  </r>
  <r>
    <x v="305"/>
    <n v="20.55"/>
  </r>
  <r>
    <x v="305"/>
    <n v="41.1"/>
  </r>
  <r>
    <x v="306"/>
    <n v="3.23"/>
  </r>
  <r>
    <x v="307"/>
    <n v="5.1100000000000003"/>
  </r>
  <r>
    <x v="307"/>
    <n v="5.1100000000000003"/>
  </r>
  <r>
    <x v="307"/>
    <n v="5.1100000000000003"/>
  </r>
  <r>
    <x v="308"/>
    <n v="7.32"/>
  </r>
  <r>
    <x v="309"/>
    <n v="14.36"/>
  </r>
  <r>
    <x v="309"/>
    <n v="14.36"/>
  </r>
  <r>
    <x v="310"/>
    <n v="38.72"/>
  </r>
  <r>
    <x v="311"/>
    <n v="17.5"/>
  </r>
  <r>
    <x v="312"/>
    <n v="24.92"/>
  </r>
  <r>
    <x v="312"/>
    <n v="24.92"/>
  </r>
  <r>
    <x v="313"/>
    <n v="42.08"/>
  </r>
  <r>
    <x v="313"/>
    <n v="21.04"/>
  </r>
  <r>
    <x v="313"/>
    <n v="21.04"/>
  </r>
  <r>
    <x v="314"/>
    <n v="26.48"/>
  </r>
  <r>
    <x v="315"/>
    <n v="13.7"/>
  </r>
  <r>
    <x v="314"/>
    <n v="21"/>
  </r>
  <r>
    <x v="316"/>
    <m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0">
  <r>
    <s v="ORD000001"/>
    <s v="PROD00077"/>
    <n v="1"/>
    <x v="0"/>
    <n v="26.76"/>
    <n v="26.76"/>
    <s v="Scented Drawer Sachets Jasmine"/>
    <s v="SELL0036"/>
    <x v="0"/>
    <x v="0"/>
  </r>
  <r>
    <s v="ORD000002"/>
    <s v="PROD00191"/>
    <n v="1"/>
    <x v="1"/>
    <n v="47.32"/>
    <n v="47.32"/>
    <s v="Men’s Leather Band Bracelet"/>
    <s v="SELL0062"/>
    <x v="1"/>
    <x v="1"/>
  </r>
  <r>
    <s v="ORD000003"/>
    <s v="PROD00230"/>
    <n v="1"/>
    <x v="2"/>
    <n v="25"/>
    <n v="25"/>
    <s v="Face mask peel-off orange 3 pack"/>
    <s v="SELL0075"/>
    <x v="2"/>
    <x v="2"/>
  </r>
  <r>
    <s v="ORD000004"/>
    <s v="PROD00204"/>
    <n v="1"/>
    <x v="3"/>
    <n v="38.56"/>
    <n v="38.56"/>
    <s v="USB C Fast Charger 30W (Black)"/>
    <s v="SELL0067"/>
    <x v="3"/>
    <x v="3"/>
  </r>
  <r>
    <s v="ORD000005"/>
    <s v="PROD00452"/>
    <n v="1"/>
    <x v="4"/>
    <n v="7.32"/>
    <n v="7.32"/>
    <s v="Gel Pen Set - 10 pack (Black)"/>
    <s v="SELL0010"/>
    <x v="4"/>
    <x v="4"/>
  </r>
  <r>
    <s v="ORD000006"/>
    <s v="PROD00084"/>
    <n v="1"/>
    <x v="0"/>
    <n v="46.55"/>
    <n v="46.55"/>
    <s v="Stainless Steel Cutting Board"/>
    <s v="SELL0037"/>
    <x v="4"/>
    <x v="5"/>
  </r>
  <r>
    <s v="ORD000007"/>
    <s v="PROD00283"/>
    <n v="1"/>
    <x v="5"/>
    <n v="32.76"/>
    <n v="32.76"/>
    <s v="Kids Cotton Pyjamas 6-8y"/>
    <s v="SELL0086"/>
    <x v="4"/>
    <x v="6"/>
  </r>
  <r>
    <s v="ORD000008"/>
    <s v="PROD00081"/>
    <n v="1"/>
    <x v="1"/>
    <n v="20.59"/>
    <n v="20.59"/>
    <s v="Crystal Drop Earrings Clipon"/>
    <s v="SELL0037"/>
    <x v="4"/>
    <x v="5"/>
  </r>
  <r>
    <s v="ORD000009"/>
    <s v="PROD00171"/>
    <n v="1"/>
    <x v="5"/>
    <n v="40.28"/>
    <n v="40.28"/>
    <s v="Men’s Chino Shorts S"/>
    <s v="SELL0058"/>
    <x v="1"/>
    <x v="7"/>
  </r>
  <r>
    <s v="ORD000010"/>
    <s v="PROD00240"/>
    <n v="1"/>
    <x v="6"/>
    <n v="51.74"/>
    <n v="51.74"/>
    <s v="Garden Ornament Frog"/>
    <s v="SELL0077"/>
    <x v="5"/>
    <x v="8"/>
  </r>
  <r>
    <s v="ORD000011"/>
    <s v="PROD00019"/>
    <n v="2"/>
    <x v="2"/>
    <n v="10.94"/>
    <n v="21.88"/>
    <s v="Hydrating Face Mist"/>
    <s v="SELL0017"/>
    <x v="1"/>
    <x v="9"/>
  </r>
  <r>
    <s v="ORD000011"/>
    <s v="PROD00240"/>
    <n v="1"/>
    <x v="6"/>
    <n v="51.74"/>
    <n v="51.74"/>
    <s v="Garden Ornament Frog"/>
    <s v="SELL0077"/>
    <x v="5"/>
    <x v="8"/>
  </r>
  <r>
    <s v="ORD000011"/>
    <s v="PROD00409"/>
    <n v="1"/>
    <x v="5"/>
    <n v="64.84"/>
    <n v="64.84"/>
    <s v="Portable Camping Chair (Blue)"/>
    <s v="SELL0092"/>
    <x v="4"/>
    <x v="10"/>
  </r>
  <r>
    <s v="ORD000012"/>
    <s v="PROD00059"/>
    <n v="1"/>
    <x v="2"/>
    <n v="15.04"/>
    <n v="15.04"/>
    <s v="Blending Sponge"/>
    <s v="SELL0032"/>
    <x v="4"/>
    <x v="11"/>
  </r>
  <r>
    <s v="ORD000012"/>
    <s v="PROD00324"/>
    <n v="1"/>
    <x v="7"/>
    <n v="33.89"/>
    <n v="33.89"/>
    <s v="Mini Plant Starter Kit (Diasy)"/>
    <s v="SELL0088"/>
    <x v="6"/>
    <x v="12"/>
  </r>
  <r>
    <s v="ORD000013"/>
    <s v="PROD00007"/>
    <n v="1"/>
    <x v="8"/>
    <n v="38.25"/>
    <n v="38.25"/>
    <s v="Slime Lab Blue 8pc"/>
    <s v="SELL0006"/>
    <x v="4"/>
    <x v="13"/>
  </r>
  <r>
    <s v="ORD000014"/>
    <s v="PROD00108"/>
    <n v="2"/>
    <x v="0"/>
    <n v="91.41"/>
    <n v="182.82"/>
    <s v="Premium Soy Candle Orange Blossom"/>
    <s v="SELL0042"/>
    <x v="3"/>
    <x v="14"/>
  </r>
  <r>
    <s v="ORD000014"/>
    <s v="PROD00120"/>
    <n v="1"/>
    <x v="5"/>
    <n v="25.48"/>
    <n v="25.48"/>
    <s v="Rain Jacket Red XXS"/>
    <s v="SELL0045"/>
    <x v="0"/>
    <x v="15"/>
  </r>
  <r>
    <s v="ORD000014"/>
    <s v="PROD00159"/>
    <n v="1"/>
    <x v="8"/>
    <n v="13.7"/>
    <n v="13.7"/>
    <s v="Kids Paint Kit (Blue)"/>
    <s v="SELL0047"/>
    <x v="0"/>
    <x v="16"/>
  </r>
  <r>
    <s v="ORD000015"/>
    <s v="PROD00200"/>
    <n v="1"/>
    <x v="6"/>
    <n v="30.95"/>
    <n v="30.95"/>
    <s v="BBQ Cleaning Brush"/>
    <s v="SELL0067"/>
    <x v="3"/>
    <x v="3"/>
  </r>
  <r>
    <s v="ORD000016"/>
    <s v="PROD00172"/>
    <n v="1"/>
    <x v="7"/>
    <n v="29.98"/>
    <n v="29.98"/>
    <s v="Coffee Sampler Pack"/>
    <s v="SELL0058"/>
    <x v="1"/>
    <x v="7"/>
  </r>
  <r>
    <s v="ORD000016"/>
    <s v="PROD00228"/>
    <n v="1"/>
    <x v="0"/>
    <n v="64.55"/>
    <n v="64.55"/>
    <s v="Carbon Fiber Mug Set"/>
    <s v="SELL0074"/>
    <x v="0"/>
    <x v="17"/>
  </r>
  <r>
    <s v="ORD000017"/>
    <s v="PROD00422"/>
    <n v="1"/>
    <x v="6"/>
    <n v="50.15"/>
    <n v="50.15"/>
    <s v="Beach Umbrella - UV50+ Floral"/>
    <s v="SELL0092"/>
    <x v="4"/>
    <x v="10"/>
  </r>
  <r>
    <s v="ORD000018"/>
    <s v="PROD00360"/>
    <n v="1"/>
    <x v="0"/>
    <n v="20.79"/>
    <n v="20.79"/>
    <s v="Silicone Laundry Basket - White"/>
    <s v="SELL0027"/>
    <x v="1"/>
    <x v="18"/>
  </r>
  <r>
    <s v="ORD000019"/>
    <s v="PROD00084"/>
    <n v="2"/>
    <x v="0"/>
    <n v="46.55"/>
    <n v="93.1"/>
    <s v="Stainless Steel Cutting Board"/>
    <s v="SELL0037"/>
    <x v="4"/>
    <x v="5"/>
  </r>
  <r>
    <s v="ORD000020"/>
    <s v="PROD00142"/>
    <n v="1"/>
    <x v="3"/>
    <n v="62.17"/>
    <n v="62.17"/>
    <s v="Bluetooth Speaker - Portable"/>
    <s v="SELL0051"/>
    <x v="0"/>
    <x v="19"/>
  </r>
  <r>
    <s v="ORD000021"/>
    <s v="PROD00196"/>
    <n v="1"/>
    <x v="8"/>
    <n v="37.9"/>
    <n v="37.9"/>
    <s v="Kite Rainbow"/>
    <s v="SELL0065"/>
    <x v="5"/>
    <x v="20"/>
  </r>
  <r>
    <s v="ORD000022"/>
    <s v="PROD00198"/>
    <n v="1"/>
    <x v="8"/>
    <n v="24.19"/>
    <n v="24.19"/>
    <s v="Light up lawnmower AI powered"/>
    <s v="SELL0067"/>
    <x v="3"/>
    <x v="3"/>
  </r>
  <r>
    <s v="ORD000023"/>
    <s v="PROD00362"/>
    <n v="1"/>
    <x v="0"/>
    <n v="115.49"/>
    <n v="115.49"/>
    <s v="Memory Foam Pillow Medium Firm"/>
    <s v="SELL0027"/>
    <x v="1"/>
    <x v="18"/>
  </r>
  <r>
    <s v="ORD000024"/>
    <s v="PROD00197"/>
    <n v="1"/>
    <x v="9"/>
    <n v="40.75"/>
    <n v="40.75"/>
    <s v="Blood Pressure Monitor Digital"/>
    <s v="SELL0066"/>
    <x v="4"/>
    <x v="21"/>
  </r>
  <r>
    <s v="ORD000025"/>
    <s v="PROD00211"/>
    <n v="1"/>
    <x v="0"/>
    <n v="14.98"/>
    <n v="14.98"/>
    <s v="Essential Oil Diffuser Mains Powered"/>
    <s v="SELL0070"/>
    <x v="1"/>
    <x v="22"/>
  </r>
  <r>
    <s v="ORD000025"/>
    <s v="PROD00315"/>
    <n v="2"/>
    <x v="3"/>
    <n v="36.57"/>
    <n v="73.14"/>
    <s v="Portable Power Bank 10,000mAh (Navy)"/>
    <s v="SELL0088"/>
    <x v="6"/>
    <x v="12"/>
  </r>
  <r>
    <s v="ORD000025"/>
    <s v="PROD00404"/>
    <n v="1"/>
    <x v="6"/>
    <n v="81.02"/>
    <n v="81.02"/>
    <s v="BBQ Meat Thermometer Bluetooth"/>
    <s v="SELL0092"/>
    <x v="4"/>
    <x v="10"/>
  </r>
  <r>
    <s v="ORD000026"/>
    <s v="PROD00087"/>
    <n v="2"/>
    <x v="0"/>
    <n v="82.88"/>
    <n v="165.76"/>
    <s v="Floor Lamp Standing Tall LED"/>
    <s v="SELL0038"/>
    <x v="7"/>
    <x v="23"/>
  </r>
  <r>
    <s v="ORD000027"/>
    <s v="PROD00215"/>
    <n v="2"/>
    <x v="0"/>
    <n v="19.989999999999998"/>
    <n v="39.979999999999997"/>
    <s v="Drawer Organiser 5 sections"/>
    <s v="SELL0070"/>
    <x v="1"/>
    <x v="22"/>
  </r>
  <r>
    <s v="ORD000028"/>
    <s v="PROD00276"/>
    <n v="1"/>
    <x v="5"/>
    <n v="44.13"/>
    <n v="44.13"/>
    <s v="Men’s Chino Shorts XL"/>
    <s v="SELL0086"/>
    <x v="4"/>
    <x v="6"/>
  </r>
  <r>
    <s v="ORD000029"/>
    <s v="PROD00234"/>
    <n v="1"/>
    <x v="5"/>
    <n v="20.75"/>
    <n v="20.75"/>
    <s v="Wool Beanie - Navy"/>
    <s v="SELL0039"/>
    <x v="1"/>
    <x v="24"/>
  </r>
  <r>
    <s v="ORD000029"/>
    <s v="PROD00425"/>
    <n v="1"/>
    <x v="6"/>
    <n v="26.98"/>
    <n v="26.98"/>
    <s v="Stainless Steel BBQ Tools Set (Grey)"/>
    <s v="SELL0093"/>
    <x v="0"/>
    <x v="25"/>
  </r>
  <r>
    <s v="ORD000030"/>
    <s v="PROD00101"/>
    <n v="1"/>
    <x v="7"/>
    <n v="32.44"/>
    <n v="32.44"/>
    <s v="Dark Chocolate Selection Box"/>
    <s v="SELL0041"/>
    <x v="0"/>
    <x v="26"/>
  </r>
  <r>
    <s v="ORD000031"/>
    <s v="PROD00137"/>
    <n v="1"/>
    <x v="4"/>
    <n v="7.57"/>
    <n v="7.57"/>
    <s v="Whiteoard Markers - 3 pack"/>
    <s v="SELL0049"/>
    <x v="4"/>
    <x v="27"/>
  </r>
  <r>
    <s v="ORD000032"/>
    <s v="PROD00401"/>
    <n v="1"/>
    <x v="1"/>
    <n v="39.04"/>
    <n v="39.04"/>
    <s v="Gold-plated Hoop Earrings 5mm"/>
    <s v="SELL0092"/>
    <x v="4"/>
    <x v="10"/>
  </r>
  <r>
    <s v="ORD000032"/>
    <s v="PROD00457"/>
    <n v="1"/>
    <x v="8"/>
    <n v="24.92"/>
    <n v="24.92"/>
    <s v="building blocks 800 pc"/>
    <s v="SELL0095"/>
    <x v="6"/>
    <x v="28"/>
  </r>
  <r>
    <s v="ORD000033"/>
    <s v="PROD00050"/>
    <n v="1"/>
    <x v="0"/>
    <n v="29.36"/>
    <n v="29.36"/>
    <s v="Essential Oil Diffuser"/>
    <s v="SELL0028"/>
    <x v="0"/>
    <x v="29"/>
  </r>
  <r>
    <s v="ORD000033"/>
    <s v="PROD00187"/>
    <n v="1"/>
    <x v="1"/>
    <n v="24.7"/>
    <n v="24.7"/>
    <s v="antique bronze necklace owl vintage"/>
    <s v="SELL0062"/>
    <x v="1"/>
    <x v="1"/>
  </r>
  <r>
    <s v="ORD000034"/>
    <s v="PROD00236"/>
    <n v="1"/>
    <x v="5"/>
    <n v="34.22"/>
    <n v="34.22"/>
    <s v="Wool Beanie - Black"/>
    <s v="SELL0039"/>
    <x v="1"/>
    <x v="24"/>
  </r>
  <r>
    <s v="ORD000035"/>
    <s v="PROD00090"/>
    <n v="2"/>
    <x v="0"/>
    <n v="42.24"/>
    <n v="84.48"/>
    <s v="Reed Oil Diffuser Pomegranate Bay Leaf"/>
    <s v="SELL0039"/>
    <x v="1"/>
    <x v="24"/>
  </r>
  <r>
    <s v="ORD000035"/>
    <s v="PROD00119"/>
    <n v="1"/>
    <x v="6"/>
    <n v="51.49"/>
    <n v="51.49"/>
    <s v="Solar Garden Light"/>
    <s v="SELL0045"/>
    <x v="0"/>
    <x v="15"/>
  </r>
  <r>
    <s v="ORD000035"/>
    <s v="PROD00240"/>
    <n v="1"/>
    <x v="6"/>
    <n v="51.74"/>
    <n v="51.74"/>
    <s v="Garden Ornament Frog"/>
    <s v="SELL0077"/>
    <x v="5"/>
    <x v="8"/>
  </r>
  <r>
    <s v="ORD000035"/>
    <s v="PROD00379"/>
    <n v="1"/>
    <x v="0"/>
    <n v="22.63"/>
    <n v="22.63"/>
    <s v="Vitamin C Serum 50ml"/>
    <s v="SELL0091"/>
    <x v="6"/>
    <x v="30"/>
  </r>
  <r>
    <s v="ORD000036"/>
    <s v="PROD00250"/>
    <n v="1"/>
    <x v="4"/>
    <n v="6.18"/>
    <n v="6.18"/>
    <s v="Highlighter 4pc Yellow"/>
    <s v="SELL0080"/>
    <x v="6"/>
    <x v="31"/>
  </r>
  <r>
    <s v="ORD000037"/>
    <s v="PROD00115"/>
    <n v="1"/>
    <x v="3"/>
    <n v="112.5"/>
    <n v="112.5"/>
    <s v="Wireless Bluetooth Earbuds Noise Cancel"/>
    <s v="SELL0024"/>
    <x v="4"/>
    <x v="32"/>
  </r>
  <r>
    <s v="ORD000038"/>
    <s v="PROD00323"/>
    <n v="1"/>
    <x v="7"/>
    <n v="21.81"/>
    <n v="21.81"/>
    <s v="White Chocolate Selection Box"/>
    <s v="SELL0088"/>
    <x v="6"/>
    <x v="12"/>
  </r>
  <r>
    <s v="ORD000039"/>
    <s v="PROD00276"/>
    <n v="1"/>
    <x v="5"/>
    <n v="44.13"/>
    <n v="44.13"/>
    <s v="Men’s Chino Shorts XL"/>
    <s v="SELL0086"/>
    <x v="4"/>
    <x v="6"/>
  </r>
  <r>
    <s v="ORD000039"/>
    <s v="PROD00290"/>
    <n v="2"/>
    <x v="5"/>
    <n v="53.17"/>
    <n v="106.34"/>
    <s v="Unisex Hoodie - Yellow L"/>
    <s v="SELL0039"/>
    <x v="1"/>
    <x v="24"/>
  </r>
  <r>
    <s v="ORD000039"/>
    <s v="PROD00428"/>
    <n v="1"/>
    <x v="6"/>
    <n v="114.11"/>
    <n v="114.11"/>
    <s v="Compact Hiking Backpack 20L (Blue)"/>
    <s v="SELL0093"/>
    <x v="0"/>
    <x v="25"/>
  </r>
  <r>
    <s v="ORD000040"/>
    <s v="PROD00315"/>
    <n v="1"/>
    <x v="3"/>
    <n v="36.57"/>
    <n v="36.57"/>
    <s v="Portable Power Bank 10,000mAh (Navy)"/>
    <s v="SELL0088"/>
    <x v="6"/>
    <x v="12"/>
  </r>
  <r>
    <s v="ORD000041"/>
    <s v="PROD00056"/>
    <n v="1"/>
    <x v="9"/>
    <n v="58.23"/>
    <n v="58.23"/>
    <s v="Yoga Mat 10mm"/>
    <s v="SELL0031"/>
    <x v="4"/>
    <x v="33"/>
  </r>
  <r>
    <s v="ORD000041"/>
    <s v="PROD00093"/>
    <n v="1"/>
    <x v="4"/>
    <n v="12.88"/>
    <n v="12.88"/>
    <s v="Highlighter Set Pens Yellow"/>
    <s v="SELL0040"/>
    <x v="6"/>
    <x v="34"/>
  </r>
  <r>
    <s v="ORD000042"/>
    <s v="PROD00363"/>
    <n v="2"/>
    <x v="0"/>
    <n v="46.25"/>
    <n v="92.5"/>
    <s v="Memory Foam Pillow Firm x 2"/>
    <s v="SELL0027"/>
    <x v="1"/>
    <x v="18"/>
  </r>
  <r>
    <s v="ORD000043"/>
    <s v="PROD00096"/>
    <n v="1"/>
    <x v="8"/>
    <n v="7.88"/>
    <n v="7.88"/>
    <s v="Car racing track automatic launch"/>
    <s v="SELL0040"/>
    <x v="6"/>
    <x v="34"/>
  </r>
  <r>
    <s v="ORD000043"/>
    <s v="PROD00426"/>
    <n v="1"/>
    <x v="6"/>
    <n v="27.32"/>
    <n v="27.32"/>
    <s v="Stainless Steel BBQ Tools Set (Green)"/>
    <s v="SELL0093"/>
    <x v="0"/>
    <x v="25"/>
  </r>
  <r>
    <s v="ORD000044"/>
    <s v="PROD00090"/>
    <n v="1"/>
    <x v="0"/>
    <n v="42.24"/>
    <n v="42.24"/>
    <s v="Reed Oil Diffuser Pomegranate Bay Leaf"/>
    <s v="SELL0039"/>
    <x v="1"/>
    <x v="24"/>
  </r>
  <r>
    <s v="ORD000045"/>
    <s v="PROD00197"/>
    <n v="1"/>
    <x v="9"/>
    <n v="40.75"/>
    <n v="40.75"/>
    <s v="Blood Pressure Monitor Digital"/>
    <s v="SELL0066"/>
    <x v="4"/>
    <x v="21"/>
  </r>
  <r>
    <s v="ORD000045"/>
    <s v="PROD00264"/>
    <n v="1"/>
    <x v="2"/>
    <n v="32.26"/>
    <n v="32.26"/>
    <s v="Vitamin C Serum 50ml"/>
    <s v="SELL0084"/>
    <x v="2"/>
    <x v="35"/>
  </r>
  <r>
    <s v="ORD000046"/>
    <s v="PROD00336"/>
    <n v="1"/>
    <x v="9"/>
    <n v="70.97"/>
    <n v="70.97"/>
    <s v="Smartwatch Health Tracking"/>
    <s v="SELL0089"/>
    <x v="1"/>
    <x v="36"/>
  </r>
  <r>
    <s v="ORD000047"/>
    <s v="PROD00277"/>
    <n v="1"/>
    <x v="5"/>
    <n v="37.99"/>
    <n v="37.99"/>
    <s v="Cotton T Black Small"/>
    <s v="SELL0086"/>
    <x v="4"/>
    <x v="6"/>
  </r>
  <r>
    <s v="ORD000048"/>
    <s v="PROD00381"/>
    <n v="1"/>
    <x v="0"/>
    <n v="71.349999999999994"/>
    <n v="71.349999999999994"/>
    <s v="LED Floor Lamp"/>
    <s v="SELL0091"/>
    <x v="6"/>
    <x v="30"/>
  </r>
  <r>
    <s v="ORD000049"/>
    <s v="PROD00407"/>
    <n v="1"/>
    <x v="6"/>
    <n v="10.07"/>
    <n v="10.07"/>
    <s v="Bamboo Picnic Rug Recycled Material"/>
    <s v="SELL0092"/>
    <x v="4"/>
    <x v="10"/>
  </r>
  <r>
    <s v="ORD000050"/>
    <s v="PROD00111"/>
    <n v="1"/>
    <x v="5"/>
    <n v="37.79"/>
    <n v="37.79"/>
    <s v="Kids Cotton Pyjamas 18month"/>
    <s v="SELL0043"/>
    <x v="3"/>
    <x v="37"/>
  </r>
  <r>
    <s v="ORD000051"/>
    <s v="PROD00192"/>
    <n v="1"/>
    <x v="3"/>
    <n v="40.97"/>
    <n v="40.97"/>
    <s v="Smart Home Hub"/>
    <s v="SELL0063"/>
    <x v="7"/>
    <x v="38"/>
  </r>
  <r>
    <s v="ORD000051"/>
    <s v="PROD00239"/>
    <n v="1"/>
    <x v="9"/>
    <n v="79.16"/>
    <n v="79.16"/>
    <s v="Heat Therapy Pad Reusable"/>
    <s v="SELL0076"/>
    <x v="1"/>
    <x v="39"/>
  </r>
  <r>
    <s v="ORD000052"/>
    <s v="PROD00155"/>
    <n v="1"/>
    <x v="8"/>
    <n v="16.22"/>
    <n v="16.22"/>
    <s v="Kids Paint Kit"/>
    <s v="SELL0055"/>
    <x v="2"/>
    <x v="40"/>
  </r>
  <r>
    <s v="ORD000053"/>
    <s v="PROD00327"/>
    <n v="2"/>
    <x v="7"/>
    <n v="24.26"/>
    <n v="48.52"/>
    <s v="Fruity Mango Bath Gel Gift Set"/>
    <s v="SELL0088"/>
    <x v="6"/>
    <x v="12"/>
  </r>
  <r>
    <s v="ORD000054"/>
    <s v="PROD00448"/>
    <n v="1"/>
    <x v="4"/>
    <n v="5.1100000000000003"/>
    <n v="5.1100000000000003"/>
    <s v="Sticky Notes Cube 200pc"/>
    <s v="SELL0094"/>
    <x v="3"/>
    <x v="41"/>
  </r>
  <r>
    <s v="ORD000055"/>
    <s v="PROD00313"/>
    <n v="2"/>
    <x v="3"/>
    <n v="63.84"/>
    <n v="127.68"/>
    <s v="Noise Cancelling Headphones (Black)"/>
    <s v="SELL0088"/>
    <x v="6"/>
    <x v="12"/>
  </r>
  <r>
    <s v="ORD000056"/>
    <s v="PROD00263"/>
    <n v="1"/>
    <x v="0"/>
    <n v="119.3"/>
    <n v="119.3"/>
    <s v="Memory Foam Pillow Medium Firm x 2"/>
    <s v="SELL0078"/>
    <x v="6"/>
    <x v="42"/>
  </r>
  <r>
    <s v="ORD000056"/>
    <s v="PROD00397"/>
    <n v="1"/>
    <x v="1"/>
    <n v="37.76"/>
    <n v="37.76"/>
    <s v="Anklet - Silver Tone"/>
    <s v="SELL0092"/>
    <x v="4"/>
    <x v="10"/>
  </r>
  <r>
    <s v="ORD000057"/>
    <s v="PROD00102"/>
    <n v="1"/>
    <x v="8"/>
    <n v="17.66"/>
    <n v="17.66"/>
    <s v="Glittertube Makeup Set Kids"/>
    <s v="SELL0041"/>
    <x v="0"/>
    <x v="26"/>
  </r>
  <r>
    <s v="ORD000057"/>
    <s v="PROD00342"/>
    <n v="1"/>
    <x v="9"/>
    <n v="60.86"/>
    <n v="60.86"/>
    <s v="Adjustable Dumbbell 12kg"/>
    <s v="SELL0051"/>
    <x v="0"/>
    <x v="19"/>
  </r>
  <r>
    <s v="ORD000057"/>
    <s v="PROD00458"/>
    <n v="2"/>
    <x v="8"/>
    <n v="21.04"/>
    <n v="42.08"/>
    <s v="Talking doll happy smile matching outfit"/>
    <s v="SELL0095"/>
    <x v="6"/>
    <x v="28"/>
  </r>
  <r>
    <s v="ORD000058"/>
    <s v="PROD00253"/>
    <n v="1"/>
    <x v="7"/>
    <n v="19.09"/>
    <n v="19.09"/>
    <s v="Milk Chocolate Selection Box"/>
    <s v="SELL0081"/>
    <x v="1"/>
    <x v="43"/>
  </r>
  <r>
    <s v="ORD000059"/>
    <s v="PROD00147"/>
    <n v="1"/>
    <x v="6"/>
    <n v="88.21"/>
    <n v="88.21"/>
    <s v="Portable Mini Grill Gas Fire"/>
    <s v="SELL0053"/>
    <x v="5"/>
    <x v="44"/>
  </r>
  <r>
    <s v="ORD000060"/>
    <s v="PROD00128"/>
    <n v="1"/>
    <x v="7"/>
    <n v="37.340000000000003"/>
    <n v="37.340000000000003"/>
    <s v="Spa Pamper Gift Set For Him"/>
    <s v="SELL0046"/>
    <x v="6"/>
    <x v="45"/>
  </r>
  <r>
    <s v="ORD000060"/>
    <s v="PROD00296"/>
    <n v="1"/>
    <x v="3"/>
    <n v="49.85"/>
    <n v="49.85"/>
    <s v="HD Webcam 1080p USB Desktop"/>
    <s v="SELL0024"/>
    <x v="4"/>
    <x v="32"/>
  </r>
  <r>
    <s v="ORD000061"/>
    <s v="PROD00131"/>
    <n v="1"/>
    <x v="8"/>
    <n v="37.72"/>
    <n v="37.72"/>
    <s v="Koala Stuffed Toy"/>
    <s v="SELL0047"/>
    <x v="0"/>
    <x v="16"/>
  </r>
  <r>
    <s v="ORD000062"/>
    <s v="PROD00346"/>
    <n v="1"/>
    <x v="9"/>
    <n v="32.93"/>
    <n v="32.93"/>
    <s v="Protein Shaker Bottle 500ml"/>
    <s v="SELL0051"/>
    <x v="0"/>
    <x v="19"/>
  </r>
  <r>
    <s v="ORD000062"/>
    <s v="PROD00418"/>
    <n v="1"/>
    <x v="8"/>
    <n v="28.3"/>
    <n v="28.3"/>
    <s v="Building Blocks 100 pcs"/>
    <s v="SELL0047"/>
    <x v="0"/>
    <x v="16"/>
  </r>
  <r>
    <s v="ORD000063"/>
    <s v="PROD00199"/>
    <n v="1"/>
    <x v="5"/>
    <n v="32.42"/>
    <n v="32.42"/>
    <s v="Rain Jacket - Lightweight"/>
    <s v="SELL0067"/>
    <x v="3"/>
    <x v="3"/>
  </r>
  <r>
    <s v="ORD000063"/>
    <s v="PROD00214"/>
    <n v="2"/>
    <x v="6"/>
    <n v="32.67"/>
    <n v="65.34"/>
    <s v="Snorkel Set - Adult Small"/>
    <s v="SELL0070"/>
    <x v="1"/>
    <x v="22"/>
  </r>
  <r>
    <s v="ORD000064"/>
    <s v="PROD00115"/>
    <n v="1"/>
    <x v="3"/>
    <n v="112.5"/>
    <n v="112.5"/>
    <s v="Wireless Bluetooth Earbuds Noise Cancel"/>
    <s v="SELL0024"/>
    <x v="4"/>
    <x v="32"/>
  </r>
  <r>
    <s v="ORD000064"/>
    <s v="PROD00215"/>
    <n v="1"/>
    <x v="0"/>
    <n v="19.989999999999998"/>
    <n v="19.989999999999998"/>
    <s v="Drawer Organiser 5 sections"/>
    <s v="SELL0070"/>
    <x v="1"/>
    <x v="22"/>
  </r>
  <r>
    <s v="ORD000065"/>
    <s v="PROD00010"/>
    <n v="1"/>
    <x v="5"/>
    <n v="30.71"/>
    <n v="30.71"/>
    <s v="Summer Dress - Floral"/>
    <s v="SELL0008"/>
    <x v="1"/>
    <x v="46"/>
  </r>
  <r>
    <s v="ORD000065"/>
    <s v="PROD00212"/>
    <n v="1"/>
    <x v="8"/>
    <n v="32.44"/>
    <n v="32.44"/>
    <s v="Educational Puzzle - Zoo Animals"/>
    <s v="SELL0070"/>
    <x v="1"/>
    <x v="22"/>
  </r>
  <r>
    <s v="ORD000065"/>
    <s v="PROD00304"/>
    <n v="1"/>
    <x v="3"/>
    <n v="115.55"/>
    <n v="115.55"/>
    <s v="Smart LED Light Bulb"/>
    <s v="SELL0087"/>
    <x v="6"/>
    <x v="47"/>
  </r>
  <r>
    <s v="ORD000066"/>
    <s v="PROD00158"/>
    <n v="1"/>
    <x v="3"/>
    <n v="88.29"/>
    <n v="88.29"/>
    <s v="LED Light Bulb Reusable"/>
    <s v="SELL0057"/>
    <x v="6"/>
    <x v="48"/>
  </r>
  <r>
    <s v="ORD000067"/>
    <s v="PROD00015"/>
    <n v="1"/>
    <x v="6"/>
    <n v="48.06"/>
    <n v="48.06"/>
    <s v="Garden Lights 4 pack Solar Power"/>
    <s v="SELL0014"/>
    <x v="5"/>
    <x v="49"/>
  </r>
  <r>
    <s v="ORD000067"/>
    <s v="PROD00265"/>
    <n v="2"/>
    <x v="2"/>
    <n v="22.24"/>
    <n v="44.48"/>
    <s v="Vitamin C Serum 30ml"/>
    <s v="SELL0084"/>
    <x v="2"/>
    <x v="35"/>
  </r>
  <r>
    <s v="ORD000068"/>
    <s v="PROD00321"/>
    <n v="1"/>
    <x v="7"/>
    <n v="32.33"/>
    <n v="32.33"/>
    <s v="Tea Lovers Hamper Darjelling"/>
    <s v="SELL0088"/>
    <x v="6"/>
    <x v="12"/>
  </r>
  <r>
    <s v="ORD000069"/>
    <s v="PROD00053"/>
    <n v="1"/>
    <x v="3"/>
    <n v="27.42"/>
    <n v="27.42"/>
    <s v="Bluetooth Speaker Portable 200W"/>
    <s v="SELL0029"/>
    <x v="7"/>
    <x v="50"/>
  </r>
  <r>
    <s v="ORD000070"/>
    <s v="PROD00052"/>
    <n v="1"/>
    <x v="4"/>
    <n v="7.72"/>
    <n v="7.72"/>
    <s v="Glitter Gel Pens 4 pack"/>
    <s v="SELL0028"/>
    <x v="0"/>
    <x v="29"/>
  </r>
  <r>
    <s v="ORD000070"/>
    <s v="PROD00140"/>
    <n v="1"/>
    <x v="3"/>
    <n v="81.81"/>
    <n v="81.81"/>
    <s v="Wireless Bluetooth Earbuds"/>
    <s v="SELL0049"/>
    <x v="4"/>
    <x v="27"/>
  </r>
  <r>
    <s v="ORD000071"/>
    <s v="PROD00198"/>
    <n v="1"/>
    <x v="8"/>
    <n v="24.19"/>
    <n v="24.19"/>
    <s v="Light up lawnmower AI powered"/>
    <s v="SELL0067"/>
    <x v="3"/>
    <x v="3"/>
  </r>
  <r>
    <s v="ORD000072"/>
    <s v="PROD00028"/>
    <n v="1"/>
    <x v="4"/>
    <n v="8.39"/>
    <n v="8.39"/>
    <s v="Permanent markers 6 pack black"/>
    <s v="SELL0019"/>
    <x v="1"/>
    <x v="51"/>
  </r>
  <r>
    <s v="ORD000072"/>
    <s v="PROD00057"/>
    <n v="1"/>
    <x v="3"/>
    <n v="26.58"/>
    <n v="26.58"/>
    <s v="Gaming Mouse"/>
    <s v="SELL0032"/>
    <x v="4"/>
    <x v="11"/>
  </r>
  <r>
    <s v="ORD000072"/>
    <s v="PROD00428"/>
    <n v="1"/>
    <x v="6"/>
    <n v="114.11"/>
    <n v="114.11"/>
    <s v="Compact Hiking Backpack 20L (Blue)"/>
    <s v="SELL0093"/>
    <x v="0"/>
    <x v="25"/>
  </r>
  <r>
    <s v="ORD000073"/>
    <s v="PROD00159"/>
    <n v="1"/>
    <x v="8"/>
    <n v="13.7"/>
    <n v="13.7"/>
    <s v="Kids Paint Kit (Blue)"/>
    <s v="SELL0047"/>
    <x v="0"/>
    <x v="16"/>
  </r>
  <r>
    <s v="ORD000074"/>
    <s v="PROD00056"/>
    <n v="1"/>
    <x v="9"/>
    <n v="58.23"/>
    <n v="58.23"/>
    <s v="Yoga Mat 10mm"/>
    <s v="SELL0031"/>
    <x v="4"/>
    <x v="33"/>
  </r>
  <r>
    <s v="ORD000074"/>
    <s v="PROD00269"/>
    <n v="1"/>
    <x v="2"/>
    <n v="26.2"/>
    <n v="26.2"/>
    <s v="Vitamin C Serum 50ml"/>
    <s v="SELL0001"/>
    <x v="4"/>
    <x v="52"/>
  </r>
  <r>
    <s v="ORD000074"/>
    <s v="PROD00286"/>
    <n v="2"/>
    <x v="5"/>
    <n v="54.51"/>
    <n v="109.02"/>
    <s v="Women’s Active Leggings (Yellow)"/>
    <s v="SELL0086"/>
    <x v="4"/>
    <x v="6"/>
  </r>
  <r>
    <s v="ORD000075"/>
    <s v="PROD00263"/>
    <n v="1"/>
    <x v="0"/>
    <n v="119.3"/>
    <n v="119.3"/>
    <s v="Memory Foam Pillow Medium Firm x 2"/>
    <s v="SELL0078"/>
    <x v="6"/>
    <x v="42"/>
  </r>
  <r>
    <s v="ORD000076"/>
    <s v="PROD00358"/>
    <n v="1"/>
    <x v="9"/>
    <n v="29.59"/>
    <n v="29.59"/>
    <s v="Reusable Ice Pack (2 pack) (Grey)"/>
    <s v="SELL0090"/>
    <x v="6"/>
    <x v="53"/>
  </r>
  <r>
    <s v="ORD000076"/>
    <s v="PROD00416"/>
    <n v="2"/>
    <x v="6"/>
    <n v="63.89"/>
    <n v="127.78"/>
    <s v="Camping Kettle 5L Navy"/>
    <s v="SELL0093"/>
    <x v="0"/>
    <x v="25"/>
  </r>
  <r>
    <s v="ORD000077"/>
    <s v="PROD00156"/>
    <n v="1"/>
    <x v="5"/>
    <n v="37.99"/>
    <n v="37.99"/>
    <s v="Cotton T‑Shirt Black M"/>
    <s v="SELL0056"/>
    <x v="3"/>
    <x v="54"/>
  </r>
  <r>
    <s v="ORD000078"/>
    <s v="PROD00077"/>
    <n v="2"/>
    <x v="0"/>
    <n v="26.76"/>
    <n v="53.52"/>
    <s v="Scented Drawer Sachets Jasmine"/>
    <s v="SELL0036"/>
    <x v="0"/>
    <x v="0"/>
  </r>
  <r>
    <s v="ORD000078"/>
    <s v="PROD00373"/>
    <n v="1"/>
    <x v="0"/>
    <n v="115.35"/>
    <n v="115.35"/>
    <s v="Rug 100cm x 250cm"/>
    <s v="SELL0027"/>
    <x v="1"/>
    <x v="18"/>
  </r>
  <r>
    <s v="ORD000079"/>
    <s v="PROD00195"/>
    <n v="1"/>
    <x v="2"/>
    <n v="25.78"/>
    <n v="25.78"/>
    <s v="Rose Water Toner"/>
    <s v="SELL0065"/>
    <x v="5"/>
    <x v="20"/>
  </r>
  <r>
    <s v="ORD000080"/>
    <s v="PROD00017"/>
    <n v="3"/>
    <x v="6"/>
    <n v="13.71"/>
    <n v="41.13"/>
    <s v="BBQ Skewers - 12 pack (Bamboo)"/>
    <s v="SELL0016"/>
    <x v="6"/>
    <x v="55"/>
  </r>
  <r>
    <s v="ORD000080"/>
    <s v="PROD00044"/>
    <n v="1"/>
    <x v="5"/>
    <n v="54.17"/>
    <n v="54.17"/>
    <s v="Unisex Hoodie - Blue XXXL"/>
    <s v="SELL0023"/>
    <x v="4"/>
    <x v="56"/>
  </r>
  <r>
    <s v="ORD000081"/>
    <s v="PROD00032"/>
    <n v="1"/>
    <x v="6"/>
    <n v="115.39"/>
    <n v="115.39"/>
    <s v="Solar Garden Light Set (8 pack)"/>
    <s v="SELL0021"/>
    <x v="4"/>
    <x v="57"/>
  </r>
  <r>
    <s v="ORD000081"/>
    <s v="PROD00224"/>
    <n v="1"/>
    <x v="6"/>
    <n v="26.98"/>
    <n v="26.98"/>
    <s v="Stainless Steel BBQ Tools Set"/>
    <s v="SELL0073"/>
    <x v="2"/>
    <x v="58"/>
  </r>
  <r>
    <s v="ORD000081"/>
    <s v="PROD00424"/>
    <n v="1"/>
    <x v="6"/>
    <n v="25.41"/>
    <n v="25.41"/>
    <s v="Stainless Steel BBQ Tools Set (Navy)"/>
    <s v="SELL0093"/>
    <x v="0"/>
    <x v="25"/>
  </r>
  <r>
    <s v="ORD000082"/>
    <s v="PROD00061"/>
    <n v="2"/>
    <x v="0"/>
    <n v="53.38"/>
    <n v="106.76"/>
    <s v="Cushion Fringe Red 60 x 40"/>
    <s v="SELL0033"/>
    <x v="2"/>
    <x v="59"/>
  </r>
  <r>
    <s v="ORD000082"/>
    <s v="PROD00066"/>
    <n v="1"/>
    <x v="6"/>
    <n v="21.37"/>
    <n v="21.37"/>
    <s v="BBQ Meat Thermometer Battery Powered"/>
    <s v="SELL0034"/>
    <x v="0"/>
    <x v="60"/>
  </r>
  <r>
    <s v="ORD000082"/>
    <s v="PROD00135"/>
    <n v="1"/>
    <x v="6"/>
    <n v="48.81"/>
    <n v="48.81"/>
    <s v="Garden Light Sun Powered No Recharge"/>
    <s v="SELL0048"/>
    <x v="4"/>
    <x v="61"/>
  </r>
  <r>
    <s v="ORD000082"/>
    <s v="PROD00400"/>
    <n v="1"/>
    <x v="1"/>
    <n v="41.73"/>
    <n v="41.73"/>
    <s v="Gold-plated Hoop Earrings 4mm"/>
    <s v="SELL0092"/>
    <x v="4"/>
    <x v="10"/>
  </r>
  <r>
    <s v="ORD000083"/>
    <s v="PROD00042"/>
    <n v="2"/>
    <x v="6"/>
    <n v="38.39"/>
    <n v="76.78"/>
    <s v="Fairy Lights Outdoor Garden String 100"/>
    <s v="SELL0023"/>
    <x v="4"/>
    <x v="56"/>
  </r>
  <r>
    <s v="ORD000084"/>
    <s v="PROD00024"/>
    <n v="1"/>
    <x v="6"/>
    <n v="23.99"/>
    <n v="23.99"/>
    <s v="BBQ Skewers - 24 pack (Bamboo)"/>
    <s v="SELL0018"/>
    <x v="0"/>
    <x v="62"/>
  </r>
  <r>
    <s v="ORD000085"/>
    <s v="PROD00374"/>
    <n v="1"/>
    <x v="0"/>
    <n v="100.7"/>
    <n v="100.7"/>
    <s v="Portable Camping Chair (Yellow)"/>
    <s v="SELL0027"/>
    <x v="1"/>
    <x v="18"/>
  </r>
  <r>
    <s v="ORD000085"/>
    <s v="PROD00442"/>
    <n v="1"/>
    <x v="6"/>
    <n v="44.92"/>
    <n v="44.92"/>
    <s v="Waterproof Picnic Mat"/>
    <s v="SELL0094"/>
    <x v="3"/>
    <x v="41"/>
  </r>
  <r>
    <s v="ORD000086"/>
    <s v="PROD00332"/>
    <n v="1"/>
    <x v="7"/>
    <n v="32.99"/>
    <n v="32.99"/>
    <s v="Baby Shower Gift Bundle (Yellow)"/>
    <s v="SELL0088"/>
    <x v="6"/>
    <x v="12"/>
  </r>
  <r>
    <s v="ORD000087"/>
    <s v="PROD00038"/>
    <n v="2"/>
    <x v="6"/>
    <n v="45.46"/>
    <n v="90.92"/>
    <s v="Outdoor Oven Gloves (Pink)"/>
    <s v="SELL0022"/>
    <x v="3"/>
    <x v="63"/>
  </r>
  <r>
    <s v="ORD000088"/>
    <s v="PROD00232"/>
    <n v="1"/>
    <x v="6"/>
    <n v="75.099999999999994"/>
    <n v="75.099999999999994"/>
    <s v="BBQ - Charcoal"/>
    <s v="SELL0075"/>
    <x v="2"/>
    <x v="2"/>
  </r>
  <r>
    <s v="ORD000088"/>
    <s v="PROD00444"/>
    <n v="1"/>
    <x v="6"/>
    <n v="20.55"/>
    <n v="20.55"/>
    <s v="Stainless Steel Grill Basket"/>
    <s v="SELL0094"/>
    <x v="3"/>
    <x v="41"/>
  </r>
  <r>
    <s v="ORD000089"/>
    <s v="PROD00444"/>
    <n v="1"/>
    <x v="6"/>
    <n v="20.55"/>
    <n v="20.55"/>
    <s v="Stainless Steel Grill Basket"/>
    <s v="SELL0094"/>
    <x v="3"/>
    <x v="41"/>
  </r>
  <r>
    <s v="ORD000090"/>
    <s v="PROD00374"/>
    <n v="2"/>
    <x v="0"/>
    <n v="100.7"/>
    <n v="201.4"/>
    <s v="Portable Camping Chair (Yellow)"/>
    <s v="SELL0027"/>
    <x v="1"/>
    <x v="18"/>
  </r>
  <r>
    <s v="ORD000090"/>
    <s v="PROD00404"/>
    <n v="1"/>
    <x v="6"/>
    <n v="81.02"/>
    <n v="81.02"/>
    <s v="BBQ Meat Thermometer Bluetooth"/>
    <s v="SELL0092"/>
    <x v="4"/>
    <x v="10"/>
  </r>
  <r>
    <s v="ORD000091"/>
    <s v="PROD00041"/>
    <n v="1"/>
    <x v="2"/>
    <n v="14.11"/>
    <n v="14.11"/>
    <s v="Body Lotion - Shea Butter 500ml"/>
    <s v="SELL0023"/>
    <x v="4"/>
    <x v="56"/>
  </r>
  <r>
    <s v="ORD000091"/>
    <s v="PROD00426"/>
    <n v="1"/>
    <x v="6"/>
    <n v="27.32"/>
    <n v="27.32"/>
    <s v="Stainless Steel BBQ Tools Set (Green)"/>
    <s v="SELL0093"/>
    <x v="0"/>
    <x v="25"/>
  </r>
  <r>
    <s v="ORD000092"/>
    <s v="PROD00202"/>
    <n v="2"/>
    <x v="2"/>
    <n v="27.55"/>
    <n v="55.1"/>
    <s v="Body Lotion Shea Butter 1L"/>
    <s v="SELL0067"/>
    <x v="3"/>
    <x v="3"/>
  </r>
  <r>
    <s v="ORD000092"/>
    <s v="PROD00255"/>
    <n v="1"/>
    <x v="6"/>
    <n v="31.66"/>
    <n v="31.66"/>
    <s v="Wood Chips - Hickory"/>
    <s v="SELL0081"/>
    <x v="1"/>
    <x v="43"/>
  </r>
  <r>
    <s v="ORD000092"/>
    <s v="PROD00351"/>
    <n v="1"/>
    <x v="2"/>
    <n v="17.829999999999998"/>
    <n v="17.829999999999998"/>
    <s v="Aloe Vera Gel 500ml"/>
    <s v="SELL0083"/>
    <x v="3"/>
    <x v="64"/>
  </r>
  <r>
    <s v="ORD000093"/>
    <s v="PROD00018"/>
    <n v="1"/>
    <x v="6"/>
    <n v="40.119999999999997"/>
    <n v="40.119999999999997"/>
    <s v="Waterproof Picnic Mat 100x100"/>
    <s v="SELL0016"/>
    <x v="6"/>
    <x v="55"/>
  </r>
  <r>
    <s v="ORD000093"/>
    <s v="PROD00407"/>
    <n v="2"/>
    <x v="6"/>
    <n v="10.07"/>
    <n v="20.14"/>
    <s v="Bamboo Picnic Rug Recycled Material"/>
    <s v="SELL0092"/>
    <x v="4"/>
    <x v="10"/>
  </r>
  <r>
    <s v="ORD000094"/>
    <s v="PROD00017"/>
    <n v="1"/>
    <x v="6"/>
    <n v="13.71"/>
    <n v="13.71"/>
    <s v="BBQ Skewers - 12 pack (Bamboo)"/>
    <s v="SELL0016"/>
    <x v="6"/>
    <x v="55"/>
  </r>
  <r>
    <s v="ORD000094"/>
    <s v="PROD00122"/>
    <n v="1"/>
    <x v="2"/>
    <n v="9.81"/>
    <n v="9.81"/>
    <s v="Scented Candle Rose"/>
    <s v="SELL0045"/>
    <x v="0"/>
    <x v="15"/>
  </r>
  <r>
    <s v="ORD000094"/>
    <s v="PROD00307"/>
    <n v="1"/>
    <x v="3"/>
    <n v="63.84"/>
    <n v="63.84"/>
    <s v="Noise Cancelling Headphones (Blue)"/>
    <s v="SELL0088"/>
    <x v="6"/>
    <x v="12"/>
  </r>
  <r>
    <s v="ORD000095"/>
    <s v="PROD00037"/>
    <n v="1"/>
    <x v="6"/>
    <n v="24.22"/>
    <n v="24.22"/>
    <s v="Outdoor Oven Gloves (Red)"/>
    <s v="SELL0022"/>
    <x v="3"/>
    <x v="63"/>
  </r>
  <r>
    <s v="ORD000096"/>
    <s v="PROD00234"/>
    <n v="1"/>
    <x v="5"/>
    <n v="20.75"/>
    <n v="20.75"/>
    <s v="Wool Beanie - Navy"/>
    <s v="SELL0039"/>
    <x v="1"/>
    <x v="24"/>
  </r>
  <r>
    <s v="ORD000097"/>
    <s v="PROD00042"/>
    <n v="1"/>
    <x v="6"/>
    <n v="38.39"/>
    <n v="38.39"/>
    <s v="Fairy Lights Outdoor Garden String 100"/>
    <s v="SELL0023"/>
    <x v="4"/>
    <x v="56"/>
  </r>
  <r>
    <s v="ORD000098"/>
    <s v="PROD00104"/>
    <n v="1"/>
    <x v="6"/>
    <n v="44.42"/>
    <n v="44.42"/>
    <s v="OutdoorOven Oven Gloves (Green)"/>
    <s v="SELL0041"/>
    <x v="0"/>
    <x v="26"/>
  </r>
  <r>
    <s v="ORD000099"/>
    <s v="PROD00070"/>
    <n v="2"/>
    <x v="6"/>
    <n v="117.79"/>
    <n v="235.58"/>
    <s v="Portable Mini Grill"/>
    <s v="SELL0035"/>
    <x v="5"/>
    <x v="65"/>
  </r>
  <r>
    <s v="ORD000100"/>
    <s v="PROD00015"/>
    <n v="1"/>
    <x v="6"/>
    <n v="48.06"/>
    <n v="48.06"/>
    <s v="Garden Lights 4 pack Solar Power"/>
    <s v="SELL0014"/>
    <x v="5"/>
    <x v="49"/>
  </r>
  <r>
    <s v="ORD000101"/>
    <s v="PROD00072"/>
    <n v="2"/>
    <x v="6"/>
    <n v="36.24"/>
    <n v="72.48"/>
    <s v="Bubble Maker Machine (Red)"/>
    <s v="SELL0035"/>
    <x v="5"/>
    <x v="65"/>
  </r>
  <r>
    <s v="ORD000102"/>
    <s v="PROD00169"/>
    <n v="1"/>
    <x v="1"/>
    <n v="31.11"/>
    <n v="31.11"/>
    <s v="Pearl Stud Earrings Cluster"/>
    <s v="SELL0058"/>
    <x v="1"/>
    <x v="7"/>
  </r>
  <r>
    <s v="ORD000103"/>
    <s v="PROD00066"/>
    <n v="1"/>
    <x v="6"/>
    <n v="21.37"/>
    <n v="21.37"/>
    <s v="BBQ Meat Thermometer Battery Powered"/>
    <s v="SELL0034"/>
    <x v="0"/>
    <x v="60"/>
  </r>
  <r>
    <s v="ORD000103"/>
    <s v="PROD00385"/>
    <n v="1"/>
    <x v="0"/>
    <n v="64.709999999999994"/>
    <n v="64.709999999999994"/>
    <s v="Weighted Blanket 8kg"/>
    <s v="SELL0091"/>
    <x v="6"/>
    <x v="30"/>
  </r>
  <r>
    <s v="ORD000104"/>
    <s v="PROD00305"/>
    <n v="1"/>
    <x v="3"/>
    <n v="29.36"/>
    <n v="29.36"/>
    <s v="Smart Home Hub (Black) 2023"/>
    <s v="SELL0024"/>
    <x v="4"/>
    <x v="32"/>
  </r>
  <r>
    <s v="ORD000104"/>
    <s v="PROD00307"/>
    <n v="1"/>
    <x v="3"/>
    <n v="63.84"/>
    <n v="63.84"/>
    <s v="Noise Cancelling Headphones (Blue)"/>
    <s v="SELL0088"/>
    <x v="6"/>
    <x v="12"/>
  </r>
  <r>
    <s v="ORD000105"/>
    <s v="PROD00047"/>
    <n v="1"/>
    <x v="3"/>
    <n v="89.8"/>
    <n v="89.8"/>
    <s v="Wireless Keyboard (Navy)"/>
    <s v="SELL0026"/>
    <x v="2"/>
    <x v="66"/>
  </r>
  <r>
    <s v="ORD000105"/>
    <s v="PROD00055"/>
    <n v="1"/>
    <x v="8"/>
    <n v="30.74"/>
    <n v="30.74"/>
    <s v="Plush Giraffe Toy"/>
    <s v="SELL0030"/>
    <x v="0"/>
    <x v="67"/>
  </r>
  <r>
    <s v="ORD000106"/>
    <s v="PROD00242"/>
    <n v="1"/>
    <x v="1"/>
    <n v="16.899999999999999"/>
    <n v="16.899999999999999"/>
    <s v="gold Necklace stars"/>
    <s v="SELL0078"/>
    <x v="6"/>
    <x v="42"/>
  </r>
  <r>
    <s v="ORD000107"/>
    <s v="PROD00214"/>
    <n v="1"/>
    <x v="6"/>
    <n v="32.67"/>
    <n v="32.67"/>
    <s v="Snorkel Set - Adult Small"/>
    <s v="SELL0070"/>
    <x v="1"/>
    <x v="22"/>
  </r>
  <r>
    <s v="ORD000107"/>
    <s v="PROD00230"/>
    <n v="1"/>
    <x v="2"/>
    <n v="25"/>
    <n v="25"/>
    <s v="Face mask peel-off orange 3 pack"/>
    <s v="SELL0075"/>
    <x v="2"/>
    <x v="2"/>
  </r>
  <r>
    <s v="ORD000107"/>
    <s v="PROD00416"/>
    <n v="1"/>
    <x v="6"/>
    <n v="63.89"/>
    <n v="63.89"/>
    <s v="Camping Kettle 5L Navy"/>
    <s v="SELL0093"/>
    <x v="0"/>
    <x v="25"/>
  </r>
  <r>
    <s v="ORD000108"/>
    <s v="PROD00201"/>
    <n v="2"/>
    <x v="6"/>
    <n v="72.790000000000006"/>
    <n v="145.58000000000001"/>
    <s v="BBQ Cleaning Brush XXL"/>
    <s v="SELL0067"/>
    <x v="3"/>
    <x v="3"/>
  </r>
  <r>
    <s v="ORD000108"/>
    <s v="PROD00250"/>
    <n v="2"/>
    <x v="4"/>
    <n v="6.18"/>
    <n v="12.36"/>
    <s v="Highlighter 4pc Yellow"/>
    <s v="SELL0080"/>
    <x v="6"/>
    <x v="31"/>
  </r>
  <r>
    <s v="ORD000109"/>
    <s v="PROD00016"/>
    <n v="1"/>
    <x v="6"/>
    <n v="73.55"/>
    <n v="73.55"/>
    <s v="Stainless Steel Grill Basket XL"/>
    <s v="SELL0015"/>
    <x v="2"/>
    <x v="68"/>
  </r>
  <r>
    <s v="ORD000109"/>
    <s v="PROD00306"/>
    <n v="1"/>
    <x v="3"/>
    <n v="92.77"/>
    <n v="92.77"/>
    <s v="Smart LED Light Bulb"/>
    <s v="SELL0087"/>
    <x v="6"/>
    <x v="47"/>
  </r>
  <r>
    <s v="ORD000110"/>
    <s v="PROD00040"/>
    <n v="1"/>
    <x v="2"/>
    <n v="25.82"/>
    <n v="25.82"/>
    <s v="Body Lotion - Shea Butter 200ml"/>
    <s v="SELL0023"/>
    <x v="4"/>
    <x v="56"/>
  </r>
  <r>
    <s v="ORD000110"/>
    <s v="PROD00402"/>
    <n v="1"/>
    <x v="1"/>
    <n v="21.1"/>
    <n v="21.1"/>
    <s v="Gold-plated Hoop Earrings Crystal Clip"/>
    <s v="SELL0092"/>
    <x v="4"/>
    <x v="10"/>
  </r>
  <r>
    <s v="ORD000111"/>
    <s v="PROD00159"/>
    <n v="2"/>
    <x v="8"/>
    <n v="13.7"/>
    <n v="27.4"/>
    <s v="Kids Paint Kit (Blue)"/>
    <s v="SELL0047"/>
    <x v="0"/>
    <x v="16"/>
  </r>
  <r>
    <s v="ORD000111"/>
    <s v="PROD00305"/>
    <n v="1"/>
    <x v="3"/>
    <n v="29.36"/>
    <n v="29.36"/>
    <s v="Smart Home Hub (Black) 2023"/>
    <s v="SELL0024"/>
    <x v="4"/>
    <x v="32"/>
  </r>
  <r>
    <s v="ORD000112"/>
    <s v="PROD00424"/>
    <n v="1"/>
    <x v="6"/>
    <n v="25.41"/>
    <n v="25.41"/>
    <s v="Stainless Steel BBQ Tools Set (Navy)"/>
    <s v="SELL0093"/>
    <x v="0"/>
    <x v="25"/>
  </r>
  <r>
    <s v="ORD000113"/>
    <s v="PROD00037"/>
    <n v="2"/>
    <x v="6"/>
    <n v="24.22"/>
    <n v="48.44"/>
    <s v="Outdoor Oven Gloves (Red)"/>
    <s v="SELL0022"/>
    <x v="3"/>
    <x v="63"/>
  </r>
  <r>
    <s v="ORD000114"/>
    <s v="PROD00032"/>
    <n v="1"/>
    <x v="6"/>
    <n v="115.39"/>
    <n v="115.39"/>
    <s v="Solar Garden Light Set (8 pack)"/>
    <s v="SELL0021"/>
    <x v="4"/>
    <x v="57"/>
  </r>
  <r>
    <s v="ORD000114"/>
    <s v="PROD00389"/>
    <n v="1"/>
    <x v="0"/>
    <n v="21.89"/>
    <n v="21.89"/>
    <s v="Decorative Cushion - Navy 60 x 60"/>
    <s v="SELL0091"/>
    <x v="6"/>
    <x v="30"/>
  </r>
  <r>
    <s v="ORD000115"/>
    <s v="PROD00017"/>
    <n v="3"/>
    <x v="6"/>
    <n v="13.71"/>
    <n v="41.13"/>
    <s v="BBQ Skewers - 12 pack (Bamboo)"/>
    <s v="SELL0016"/>
    <x v="6"/>
    <x v="55"/>
  </r>
  <r>
    <s v="ORD000116"/>
    <s v="PROD00124"/>
    <n v="1"/>
    <x v="0"/>
    <n v="84.85"/>
    <n v="84.85"/>
    <s v="Pillowcase Silk Navy Pair"/>
    <s v="SELL0046"/>
    <x v="6"/>
    <x v="45"/>
  </r>
  <r>
    <s v="ORD000116"/>
    <s v="PROD00240"/>
    <n v="1"/>
    <x v="6"/>
    <n v="51.74"/>
    <n v="51.74"/>
    <s v="Garden Ornament Frog"/>
    <s v="SELL0077"/>
    <x v="5"/>
    <x v="8"/>
  </r>
  <r>
    <s v="ORD000117"/>
    <s v="PROD00094"/>
    <n v="1"/>
    <x v="6"/>
    <n v="40.83"/>
    <n v="40.83"/>
    <s v="BBQ Cleaning Fluid"/>
    <s v="SELL0040"/>
    <x v="6"/>
    <x v="34"/>
  </r>
  <r>
    <s v="ORD000117"/>
    <s v="PROD00137"/>
    <n v="1"/>
    <x v="4"/>
    <n v="7.57"/>
    <n v="7.57"/>
    <s v="Whiteoard Markers - 3 pack"/>
    <s v="SELL0049"/>
    <x v="4"/>
    <x v="27"/>
  </r>
  <r>
    <s v="ORD000118"/>
    <s v="PROD00037"/>
    <n v="1"/>
    <x v="6"/>
    <n v="24.22"/>
    <n v="24.22"/>
    <s v="Outdoor Oven Gloves (Red)"/>
    <s v="SELL0022"/>
    <x v="3"/>
    <x v="63"/>
  </r>
  <r>
    <s v="ORD000118"/>
    <s v="PROD00444"/>
    <n v="2"/>
    <x v="6"/>
    <n v="20.55"/>
    <n v="41.1"/>
    <s v="Stainless Steel Grill Basket"/>
    <s v="SELL0094"/>
    <x v="3"/>
    <x v="41"/>
  </r>
  <r>
    <s v="ORD000119"/>
    <s v="PROD00018"/>
    <n v="1"/>
    <x v="6"/>
    <n v="40.119999999999997"/>
    <n v="40.119999999999997"/>
    <s v="Waterproof Picnic Mat 100x100"/>
    <s v="SELL0016"/>
    <x v="6"/>
    <x v="55"/>
  </r>
  <r>
    <s v="ORD000119"/>
    <s v="PROD00407"/>
    <n v="1"/>
    <x v="6"/>
    <n v="10.07"/>
    <n v="10.07"/>
    <s v="Bamboo Picnic Rug Recycled Material"/>
    <s v="SELL0092"/>
    <x v="4"/>
    <x v="10"/>
  </r>
  <r>
    <s v="ORD000120"/>
    <s v="PROD00407"/>
    <n v="1"/>
    <x v="6"/>
    <n v="10.07"/>
    <n v="10.07"/>
    <s v="Bamboo Picnic Rug Recycled Material"/>
    <s v="SELL0092"/>
    <x v="4"/>
    <x v="10"/>
  </r>
  <r>
    <s v="ORD000120"/>
    <s v="PROD00416"/>
    <n v="1"/>
    <x v="6"/>
    <n v="63.89"/>
    <n v="63.89"/>
    <s v="Camping Kettle 5L Navy"/>
    <s v="SELL0093"/>
    <x v="0"/>
    <x v="25"/>
  </r>
  <r>
    <s v="ORD000121"/>
    <s v="PROD00020"/>
    <n v="2"/>
    <x v="6"/>
    <n v="15.05"/>
    <n v="30.1"/>
    <s v="BBQ Skewers - 12 pack (Stainless Steel)"/>
    <s v="SELL0009"/>
    <x v="1"/>
    <x v="69"/>
  </r>
  <r>
    <s v="ORD000121"/>
    <s v="PROD00042"/>
    <n v="3"/>
    <x v="6"/>
    <n v="38.39"/>
    <n v="115.17"/>
    <s v="Fairy Lights Outdoor Garden String 100"/>
    <s v="SELL0023"/>
    <x v="4"/>
    <x v="56"/>
  </r>
  <r>
    <s v="ORD000122"/>
    <s v="PROD00188"/>
    <n v="1"/>
    <x v="6"/>
    <n v="110.01"/>
    <n v="110.01"/>
    <s v="Waterproof Mat"/>
    <s v="SELL0062"/>
    <x v="1"/>
    <x v="1"/>
  </r>
  <r>
    <s v="ORD000123"/>
    <s v="PROD00014"/>
    <n v="1"/>
    <x v="6"/>
    <n v="46.45"/>
    <n v="46.45"/>
    <s v="Waterproof Picnic Mat 100x100"/>
    <s v="SELL0012"/>
    <x v="3"/>
    <x v="70"/>
  </r>
  <r>
    <s v="ORD000124"/>
    <s v="PROD00022"/>
    <n v="1"/>
    <x v="6"/>
    <n v="27.05"/>
    <n v="27.05"/>
    <s v="BBQ Skewers - 24 pack (Stainless Steel)"/>
    <s v="SELL0018"/>
    <x v="0"/>
    <x v="62"/>
  </r>
  <r>
    <s v="ORD000124"/>
    <s v="PROD00030"/>
    <n v="2"/>
    <x v="1"/>
    <n v="49.31"/>
    <n v="98.62"/>
    <s v="Pendant Necklace - Rose Gold"/>
    <s v="SELL0021"/>
    <x v="4"/>
    <x v="57"/>
  </r>
  <r>
    <s v="ORD000124"/>
    <s v="PROD00083"/>
    <n v="1"/>
    <x v="4"/>
    <n v="6.78"/>
    <n v="6.78"/>
    <s v="Metal Ruler 30cm"/>
    <s v="SELL0037"/>
    <x v="4"/>
    <x v="5"/>
  </r>
  <r>
    <s v="ORD000124"/>
    <s v="PROD00214"/>
    <n v="1"/>
    <x v="6"/>
    <n v="32.67"/>
    <n v="32.67"/>
    <s v="Snorkel Set - Adult Small"/>
    <s v="SELL0070"/>
    <x v="1"/>
    <x v="22"/>
  </r>
  <r>
    <s v="ORD000125"/>
    <s v="PROD00182"/>
    <n v="1"/>
    <x v="5"/>
    <n v="39.99"/>
    <n v="39.99"/>
    <s v="Cotton T‑Shirt Green L"/>
    <s v="SELL0061"/>
    <x v="4"/>
    <x v="71"/>
  </r>
  <r>
    <s v="ORD000126"/>
    <s v="PROD00066"/>
    <n v="1"/>
    <x v="6"/>
    <n v="21.37"/>
    <n v="21.37"/>
    <s v="BBQ Meat Thermometer Battery Powered"/>
    <s v="SELL0034"/>
    <x v="0"/>
    <x v="60"/>
  </r>
  <r>
    <s v="ORD000126"/>
    <s v="PROD00358"/>
    <n v="2"/>
    <x v="9"/>
    <n v="29.59"/>
    <n v="59.18"/>
    <s v="Reusable Ice Pack (2 pack) (Grey)"/>
    <s v="SELL0090"/>
    <x v="6"/>
    <x v="53"/>
  </r>
  <r>
    <s v="ORD000127"/>
    <s v="PROD00407"/>
    <n v="1"/>
    <x v="6"/>
    <n v="10.07"/>
    <n v="10.07"/>
    <s v="Bamboo Picnic Rug Recycled Material"/>
    <s v="SELL0092"/>
    <x v="4"/>
    <x v="10"/>
  </r>
  <r>
    <s v="ORD000127"/>
    <s v="PROD00442"/>
    <n v="1"/>
    <x v="6"/>
    <n v="44.92"/>
    <n v="44.92"/>
    <s v="Waterproof Picnic Mat"/>
    <s v="SELL0094"/>
    <x v="3"/>
    <x v="41"/>
  </r>
  <r>
    <s v="ORD000128"/>
    <s v="PROD00407"/>
    <n v="1"/>
    <x v="6"/>
    <n v="10.07"/>
    <n v="10.07"/>
    <s v="Bamboo Picnic Rug Recycled Material"/>
    <s v="SELL0092"/>
    <x v="4"/>
    <x v="10"/>
  </r>
  <r>
    <s v="ORD000129"/>
    <s v="PROD00006"/>
    <n v="2"/>
    <x v="4"/>
    <n v="4.47"/>
    <n v="8.94"/>
    <s v="Highlighter Set Bright 4 pen"/>
    <s v="SELL0005"/>
    <x v="6"/>
    <x v="72"/>
  </r>
  <r>
    <s v="ORD000129"/>
    <s v="PROD00237"/>
    <n v="2"/>
    <x v="4"/>
    <n v="2.1800000000000002"/>
    <n v="4.3600000000000003"/>
    <s v="Ballpoint pen 6 pack"/>
    <s v="SELL0076"/>
    <x v="1"/>
    <x v="39"/>
  </r>
  <r>
    <s v="ORD000130"/>
    <s v="PROD00425"/>
    <n v="1"/>
    <x v="6"/>
    <n v="26.98"/>
    <n v="26.98"/>
    <s v="Stainless Steel BBQ Tools Set (Grey)"/>
    <s v="SELL0093"/>
    <x v="0"/>
    <x v="25"/>
  </r>
  <r>
    <s v="ORD000131"/>
    <s v="PROD00429"/>
    <n v="2"/>
    <x v="6"/>
    <n v="87.51"/>
    <n v="175.02"/>
    <s v="Garden Hose 50m (Green)"/>
    <s v="SELL0093"/>
    <x v="0"/>
    <x v="25"/>
  </r>
  <r>
    <s v="ORD000132"/>
    <s v="PROD00072"/>
    <n v="1"/>
    <x v="6"/>
    <n v="36.24"/>
    <n v="36.24"/>
    <s v="Bubble Maker Machine (Red)"/>
    <s v="SELL0035"/>
    <x v="5"/>
    <x v="65"/>
  </r>
  <r>
    <s v="ORD000133"/>
    <s v="PROD00406"/>
    <n v="1"/>
    <x v="6"/>
    <n v="23.33"/>
    <n v="23.33"/>
    <s v="Solar Garden Light Set"/>
    <s v="SELL0092"/>
    <x v="4"/>
    <x v="10"/>
  </r>
  <r>
    <s v="ORD000134"/>
    <s v="PROD00275"/>
    <n v="1"/>
    <x v="5"/>
    <n v="27.32"/>
    <n v="27.32"/>
    <s v="Denim S Child"/>
    <s v="SELL0086"/>
    <x v="4"/>
    <x v="6"/>
  </r>
  <r>
    <s v="ORD000134"/>
    <s v="PROD00443"/>
    <n v="1"/>
    <x v="6"/>
    <n v="80.069999999999993"/>
    <n v="80.069999999999993"/>
    <s v="BBQ Apron - Blue"/>
    <s v="SELL0094"/>
    <x v="3"/>
    <x v="41"/>
  </r>
  <r>
    <s v="ORD000135"/>
    <s v="PROD00212"/>
    <n v="1"/>
    <x v="8"/>
    <n v="32.44"/>
    <n v="32.44"/>
    <s v="Educational Puzzle - Zoo Animals"/>
    <s v="SELL0070"/>
    <x v="1"/>
    <x v="22"/>
  </r>
  <r>
    <s v="ORD000135"/>
    <s v="PROD00229"/>
    <n v="1"/>
    <x v="2"/>
    <n v="32.19"/>
    <n v="32.19"/>
    <s v="Makeup Sponge Pack Orange"/>
    <s v="SELL0074"/>
    <x v="0"/>
    <x v="17"/>
  </r>
  <r>
    <s v="ORD000136"/>
    <s v="PROD00017"/>
    <n v="1"/>
    <x v="6"/>
    <n v="13.71"/>
    <n v="13.71"/>
    <s v="BBQ Skewers - 12 pack (Bamboo)"/>
    <s v="SELL0016"/>
    <x v="6"/>
    <x v="55"/>
  </r>
  <r>
    <s v="ORD000136"/>
    <s v="PROD00443"/>
    <n v="2"/>
    <x v="6"/>
    <n v="80.069999999999993"/>
    <n v="160.13999999999999"/>
    <s v="BBQ Apron - Blue"/>
    <s v="SELL0094"/>
    <x v="3"/>
    <x v="41"/>
  </r>
  <r>
    <s v="ORD000137"/>
    <s v="PROD00429"/>
    <n v="1"/>
    <x v="6"/>
    <n v="87.51"/>
    <n v="87.51"/>
    <s v="Garden Hose 50m (Green)"/>
    <s v="SELL0093"/>
    <x v="0"/>
    <x v="25"/>
  </r>
  <r>
    <s v="ORD000138"/>
    <s v="PROD00215"/>
    <n v="2"/>
    <x v="0"/>
    <n v="19.989999999999998"/>
    <n v="39.979999999999997"/>
    <s v="Drawer Organiser 5 sections"/>
    <s v="SELL0070"/>
    <x v="1"/>
    <x v="22"/>
  </r>
  <r>
    <s v="ORD000138"/>
    <s v="PROD00392"/>
    <n v="1"/>
    <x v="1"/>
    <n v="59.61"/>
    <n v="59.61"/>
    <s v="Jewellery Box White Oak"/>
    <s v="SELL0091"/>
    <x v="6"/>
    <x v="30"/>
  </r>
  <r>
    <s v="ORD000139"/>
    <s v="PROD00275"/>
    <n v="1"/>
    <x v="5"/>
    <n v="27.32"/>
    <n v="27.32"/>
    <s v="Denim S Child"/>
    <s v="SELL0086"/>
    <x v="4"/>
    <x v="6"/>
  </r>
  <r>
    <s v="ORD000140"/>
    <s v="PROD00421"/>
    <n v="1"/>
    <x v="6"/>
    <n v="66.94"/>
    <n v="66.94"/>
    <s v="paddling pool blue inflatable fishes"/>
    <s v="SELL0092"/>
    <x v="4"/>
    <x v="10"/>
  </r>
  <r>
    <s v="ORD000140"/>
    <s v="PROD00424"/>
    <n v="1"/>
    <x v="6"/>
    <n v="25.41"/>
    <n v="25.41"/>
    <s v="Stainless Steel BBQ Tools Set (Navy)"/>
    <s v="SELL0093"/>
    <x v="0"/>
    <x v="25"/>
  </r>
  <r>
    <s v="ORD000141"/>
    <s v="PROD00438"/>
    <n v="1"/>
    <x v="6"/>
    <n v="54.41"/>
    <n v="54.41"/>
    <s v="BBQ Grill Mat - Non‑stick (Navy)"/>
    <s v="SELL0093"/>
    <x v="0"/>
    <x v="25"/>
  </r>
  <r>
    <s v="ORD000142"/>
    <s v="PROD00209"/>
    <n v="1"/>
    <x v="6"/>
    <n v="50.7"/>
    <n v="50.7"/>
    <s v="Beach Umbrella - UV50+ White"/>
    <s v="SELL0069"/>
    <x v="4"/>
    <x v="73"/>
  </r>
  <r>
    <s v="ORD000143"/>
    <s v="PROD00320"/>
    <n v="1"/>
    <x v="7"/>
    <n v="33.89"/>
    <n v="33.89"/>
    <s v="Mini Plant Starter Kit (Lily)"/>
    <s v="SELL0088"/>
    <x v="6"/>
    <x v="12"/>
  </r>
  <r>
    <s v="ORD000143"/>
    <s v="PROD00387"/>
    <n v="1"/>
    <x v="0"/>
    <n v="21.89"/>
    <n v="21.89"/>
    <s v="Decorative Cushion - Blue 60 x 60"/>
    <s v="SELL0091"/>
    <x v="6"/>
    <x v="30"/>
  </r>
  <r>
    <s v="ORD000143"/>
    <s v="PROD00406"/>
    <n v="1"/>
    <x v="6"/>
    <n v="23.33"/>
    <n v="23.33"/>
    <s v="Solar Garden Light Set"/>
    <s v="SELL0092"/>
    <x v="4"/>
    <x v="10"/>
  </r>
  <r>
    <s v="ORD000144"/>
    <s v="PROD00017"/>
    <n v="1"/>
    <x v="6"/>
    <n v="13.71"/>
    <n v="13.71"/>
    <s v="BBQ Skewers - 12 pack (Bamboo)"/>
    <s v="SELL0016"/>
    <x v="6"/>
    <x v="55"/>
  </r>
  <r>
    <s v="ORD000144"/>
    <s v="PROD00388"/>
    <n v="2"/>
    <x v="0"/>
    <n v="110.1"/>
    <n v="220.2"/>
    <s v="Memory Foam Pillow Firm"/>
    <s v="SELL0091"/>
    <x v="6"/>
    <x v="30"/>
  </r>
  <r>
    <s v="ORD000145"/>
    <s v="PROD00072"/>
    <n v="2"/>
    <x v="6"/>
    <n v="36.24"/>
    <n v="72.48"/>
    <s v="Bubble Maker Machine (Red)"/>
    <s v="SELL0035"/>
    <x v="5"/>
    <x v="65"/>
  </r>
  <r>
    <s v="ORD000145"/>
    <s v="PROD00164"/>
    <n v="1"/>
    <x v="0"/>
    <n v="89.07"/>
    <n v="89.07"/>
    <s v="Ceramic Vase - Sand Finish"/>
    <s v="SELL0057"/>
    <x v="6"/>
    <x v="48"/>
  </r>
  <r>
    <s v="ORD000146"/>
    <s v="PROD00089"/>
    <n v="1"/>
    <x v="6"/>
    <n v="43.42"/>
    <n v="43.42"/>
    <s v="Picnic basket"/>
    <s v="SELL0039"/>
    <x v="1"/>
    <x v="24"/>
  </r>
  <r>
    <s v="ORD000146"/>
    <s v="PROD00272"/>
    <n v="2"/>
    <x v="2"/>
    <n v="13.25"/>
    <n v="26.5"/>
    <s v="Aloe Vera Gel 150ml 2 pack"/>
    <s v="SELL0086"/>
    <x v="4"/>
    <x v="6"/>
  </r>
  <r>
    <s v="ORD000147"/>
    <s v="PROD00176"/>
    <n v="1"/>
    <x v="6"/>
    <n v="34.86"/>
    <n v="34.86"/>
    <s v="Steel Grill Basket"/>
    <s v="SELL0060"/>
    <x v="4"/>
    <x v="74"/>
  </r>
  <r>
    <s v="ORD000147"/>
    <s v="PROD00176"/>
    <n v="2"/>
    <x v="6"/>
    <n v="34.86"/>
    <n v="69.72"/>
    <s v="Steel Grill Basket"/>
    <s v="SELL0060"/>
    <x v="4"/>
    <x v="74"/>
  </r>
  <r>
    <s v="ORD000148"/>
    <s v="PROD00222"/>
    <n v="2"/>
    <x v="6"/>
    <n v="93.44"/>
    <n v="186.88"/>
    <s v="Charcoal Starter Chimney XL"/>
    <s v="SELL0072"/>
    <x v="5"/>
    <x v="75"/>
  </r>
  <r>
    <s v="ORD000149"/>
    <s v="PROD00240"/>
    <n v="1"/>
    <x v="6"/>
    <n v="51.74"/>
    <n v="51.74"/>
    <s v="Garden Ornament Frog"/>
    <s v="SELL0077"/>
    <x v="5"/>
    <x v="8"/>
  </r>
  <r>
    <s v="ORD000149"/>
    <s v="PROD00416"/>
    <n v="2"/>
    <x v="6"/>
    <n v="63.89"/>
    <n v="127.78"/>
    <s v="Camping Kettle 5L Navy"/>
    <s v="SELL0093"/>
    <x v="0"/>
    <x v="25"/>
  </r>
  <r>
    <s v="ORD000150"/>
    <s v="PROD00017"/>
    <n v="1"/>
    <x v="6"/>
    <n v="13.71"/>
    <n v="13.71"/>
    <s v="BBQ Skewers - 12 pack (Bamboo)"/>
    <s v="SELL0016"/>
    <x v="6"/>
    <x v="55"/>
  </r>
  <r>
    <s v="ORD000150"/>
    <s v="PROD00104"/>
    <n v="1"/>
    <x v="6"/>
    <n v="44.42"/>
    <n v="44.42"/>
    <s v="OutdoorOven Oven Gloves (Green)"/>
    <s v="SELL0041"/>
    <x v="0"/>
    <x v="26"/>
  </r>
  <r>
    <s v="ORD000150"/>
    <s v="PROD00170"/>
    <n v="2"/>
    <x v="6"/>
    <n v="75.239999999999995"/>
    <n v="150.47999999999999"/>
    <s v="Ice bucket outdoor beers garden picnic"/>
    <s v="SELL0058"/>
    <x v="1"/>
    <x v="7"/>
  </r>
  <r>
    <s v="ORD000150"/>
    <s v="PROD00340"/>
    <n v="1"/>
    <x v="9"/>
    <n v="23.35"/>
    <n v="23.35"/>
    <s v="Adjustable Dumbbell 10kg"/>
    <s v="SELL0051"/>
    <x v="0"/>
    <x v="19"/>
  </r>
  <r>
    <s v="ORD000151"/>
    <s v="PROD00020"/>
    <n v="1"/>
    <x v="6"/>
    <n v="15.05"/>
    <n v="15.05"/>
    <s v="BBQ Skewers - 12 pack (Stainless Steel)"/>
    <s v="SELL0009"/>
    <x v="1"/>
    <x v="69"/>
  </r>
  <r>
    <s v="ORD000152"/>
    <s v="PROD00016"/>
    <n v="1"/>
    <x v="6"/>
    <n v="73.55"/>
    <n v="73.55"/>
    <s v="Stainless Steel Grill Basket XL"/>
    <s v="SELL0015"/>
    <x v="2"/>
    <x v="68"/>
  </r>
  <r>
    <s v="ORD000152"/>
    <s v="PROD00402"/>
    <n v="1"/>
    <x v="1"/>
    <n v="21.1"/>
    <n v="21.1"/>
    <s v="Gold-plated Hoop Earrings Crystal Clip"/>
    <s v="SELL0092"/>
    <x v="4"/>
    <x v="10"/>
  </r>
  <r>
    <s v="ORD000153"/>
    <s v="PROD00028"/>
    <n v="1"/>
    <x v="4"/>
    <n v="8.39"/>
    <n v="8.39"/>
    <s v="Permanent markers 6 pack black"/>
    <s v="SELL0019"/>
    <x v="1"/>
    <x v="51"/>
  </r>
  <r>
    <s v="ORD000153"/>
    <s v="PROD00443"/>
    <n v="1"/>
    <x v="6"/>
    <n v="80.069999999999993"/>
    <n v="80.069999999999993"/>
    <s v="BBQ Apron - Blue"/>
    <s v="SELL0094"/>
    <x v="3"/>
    <x v="41"/>
  </r>
  <r>
    <s v="ORD000154"/>
    <s v="PROD00038"/>
    <n v="1"/>
    <x v="6"/>
    <n v="45.46"/>
    <n v="45.46"/>
    <s v="Outdoor Oven Gloves (Pink)"/>
    <s v="SELL0022"/>
    <x v="3"/>
    <x v="63"/>
  </r>
  <r>
    <s v="ORD000154"/>
    <s v="PROD00170"/>
    <n v="1"/>
    <x v="6"/>
    <n v="75.239999999999995"/>
    <n v="75.239999999999995"/>
    <s v="Ice bucket outdoor beers garden picnic"/>
    <s v="SELL0058"/>
    <x v="1"/>
    <x v="7"/>
  </r>
  <r>
    <s v="ORD000155"/>
    <s v="PROD00098"/>
    <n v="1"/>
    <x v="6"/>
    <n v="115.39"/>
    <n v="115.39"/>
    <s v="Solar Garden Light Set (8 pack)"/>
    <s v="SELL0021"/>
    <x v="4"/>
    <x v="57"/>
  </r>
  <r>
    <s v="ORD000155"/>
    <s v="PROD00414"/>
    <n v="1"/>
    <x v="6"/>
    <n v="67.33"/>
    <n v="67.33"/>
    <s v="Camping Kettle 2L Navy"/>
    <s v="SELL0093"/>
    <x v="0"/>
    <x v="25"/>
  </r>
  <r>
    <s v="ORD000156"/>
    <s v="PROD00126"/>
    <n v="1"/>
    <x v="4"/>
    <n v="5.49"/>
    <n v="5.49"/>
    <s v="Whiteboard Markers 6pc"/>
    <s v="SELL0046"/>
    <x v="6"/>
    <x v="45"/>
  </r>
  <r>
    <s v="ORD000157"/>
    <s v="PROD00167"/>
    <n v="1"/>
    <x v="4"/>
    <n v="12.82"/>
    <n v="12.82"/>
    <s v="Scented gel pen 20 pack pastel party"/>
    <s v="SELL0057"/>
    <x v="6"/>
    <x v="48"/>
  </r>
  <r>
    <s v="ORD000157"/>
    <s v="PROD00394"/>
    <n v="1"/>
    <x v="1"/>
    <n v="32.96"/>
    <n v="32.96"/>
    <s v="Crystal Earrings Stud"/>
    <s v="SELL0092"/>
    <x v="4"/>
    <x v="10"/>
  </r>
  <r>
    <s v="ORD000157"/>
    <s v="PROD00416"/>
    <n v="1"/>
    <x v="6"/>
    <n v="63.89"/>
    <n v="63.89"/>
    <s v="Camping Kettle 5L Navy"/>
    <s v="SELL0093"/>
    <x v="0"/>
    <x v="25"/>
  </r>
  <r>
    <s v="ORD000158"/>
    <s v="PROD00014"/>
    <n v="1"/>
    <x v="6"/>
    <n v="46.45"/>
    <n v="46.45"/>
    <s v="Waterproof Picnic Mat 100x100"/>
    <s v="SELL0012"/>
    <x v="3"/>
    <x v="70"/>
  </r>
  <r>
    <s v="ORD000158"/>
    <s v="PROD00176"/>
    <n v="1"/>
    <x v="6"/>
    <n v="34.86"/>
    <n v="34.86"/>
    <s v="Steel Grill Basket"/>
    <s v="SELL0060"/>
    <x v="4"/>
    <x v="74"/>
  </r>
  <r>
    <s v="ORD000158"/>
    <s v="PROD00354"/>
    <n v="1"/>
    <x v="9"/>
    <n v="43.01"/>
    <n v="43.01"/>
    <s v="Foam Roller - Firm Black"/>
    <s v="SELL0090"/>
    <x v="6"/>
    <x v="53"/>
  </r>
  <r>
    <s v="ORD000158"/>
    <s v="PROD00424"/>
    <n v="1"/>
    <x v="6"/>
    <n v="25.41"/>
    <n v="25.41"/>
    <s v="Stainless Steel BBQ Tools Set (Navy)"/>
    <s v="SELL0093"/>
    <x v="0"/>
    <x v="25"/>
  </r>
  <r>
    <s v="ORD000159"/>
    <s v="PROD00017"/>
    <n v="1"/>
    <x v="6"/>
    <n v="13.71"/>
    <n v="13.71"/>
    <s v="BBQ Skewers - 12 pack (Bamboo)"/>
    <s v="SELL0016"/>
    <x v="6"/>
    <x v="55"/>
  </r>
  <r>
    <s v="ORD000160"/>
    <s v="PROD00406"/>
    <n v="1"/>
    <x v="6"/>
    <n v="23.33"/>
    <n v="23.33"/>
    <s v="Solar Garden Light Set"/>
    <s v="SELL0092"/>
    <x v="4"/>
    <x v="10"/>
  </r>
  <r>
    <s v="ORD000161"/>
    <s v="PROD00407"/>
    <n v="1"/>
    <x v="6"/>
    <n v="10.07"/>
    <n v="10.07"/>
    <s v="Bamboo Picnic Rug Recycled Material"/>
    <s v="SELL0092"/>
    <x v="4"/>
    <x v="10"/>
  </r>
  <r>
    <s v="ORD000162"/>
    <s v="PROD00029"/>
    <n v="1"/>
    <x v="4"/>
    <n v="10.39"/>
    <n v="10.39"/>
    <s v="Permanent markers 6 pack blue"/>
    <s v="SELL0020"/>
    <x v="0"/>
    <x v="76"/>
  </r>
  <r>
    <s v="ORD000163"/>
    <s v="PROD00136"/>
    <n v="2"/>
    <x v="8"/>
    <n v="20.309999999999999"/>
    <n v="40.619999999999997"/>
    <s v="Rainbow Kite - Light-Up"/>
    <s v="SELL0049"/>
    <x v="4"/>
    <x v="27"/>
  </r>
  <r>
    <s v="ORD000164"/>
    <s v="PROD00443"/>
    <n v="1"/>
    <x v="6"/>
    <n v="80.069999999999993"/>
    <n v="80.069999999999993"/>
    <s v="BBQ Apron - Blue"/>
    <s v="SELL0094"/>
    <x v="3"/>
    <x v="41"/>
  </r>
  <r>
    <s v="ORD000165"/>
    <s v="PROD00201"/>
    <n v="1"/>
    <x v="6"/>
    <n v="72.790000000000006"/>
    <n v="72.790000000000006"/>
    <s v="BBQ Cleaning Brush XXL"/>
    <s v="SELL0067"/>
    <x v="3"/>
    <x v="3"/>
  </r>
  <r>
    <s v="ORD000165"/>
    <s v="PROD00369"/>
    <n v="1"/>
    <x v="0"/>
    <n v="107.11"/>
    <n v="107.11"/>
    <s v="Rug 200cm x 180cm"/>
    <s v="SELL0027"/>
    <x v="1"/>
    <x v="18"/>
  </r>
  <r>
    <s v="ORD000166"/>
    <s v="PROD00250"/>
    <n v="1"/>
    <x v="4"/>
    <n v="6.18"/>
    <n v="6.18"/>
    <s v="Highlighter 4pc Yellow"/>
    <s v="SELL0080"/>
    <x v="6"/>
    <x v="31"/>
  </r>
  <r>
    <s v="ORD000166"/>
    <s v="PROD00435"/>
    <n v="1"/>
    <x v="9"/>
    <n v="28.76"/>
    <n v="28.76"/>
    <s v="Hand Grip Strengthener (Red)"/>
    <s v="SELL0051"/>
    <x v="0"/>
    <x v="19"/>
  </r>
  <r>
    <s v="ORD000167"/>
    <s v="PROD00020"/>
    <n v="1"/>
    <x v="6"/>
    <n v="15.05"/>
    <n v="15.05"/>
    <s v="BBQ Skewers - 12 pack (Stainless Steel)"/>
    <s v="SELL0009"/>
    <x v="1"/>
    <x v="69"/>
  </r>
  <r>
    <s v="ORD000168"/>
    <s v="PROD00214"/>
    <n v="1"/>
    <x v="6"/>
    <n v="32.67"/>
    <n v="32.67"/>
    <s v="Snorkel Set - Adult Small"/>
    <s v="SELL0070"/>
    <x v="1"/>
    <x v="22"/>
  </r>
  <r>
    <s v="ORD000169"/>
    <s v="PROD00460"/>
    <n v="1"/>
    <x v="8"/>
    <n v="13.7"/>
    <n v="13.7"/>
    <s v="Kids Paint Kit (Green)"/>
    <s v="SELL0095"/>
    <x v="6"/>
    <x v="28"/>
  </r>
  <r>
    <s v="ORD000170"/>
    <s v="PROD00014"/>
    <n v="1"/>
    <x v="6"/>
    <n v="46.45"/>
    <n v="46.45"/>
    <s v="Waterproof Picnic Mat 100x100"/>
    <s v="SELL0012"/>
    <x v="3"/>
    <x v="70"/>
  </r>
  <r>
    <s v="ORD000170"/>
    <s v="PROD00331"/>
    <n v="1"/>
    <x v="7"/>
    <n v="32.89"/>
    <n v="32.89"/>
    <s v="Baby Shower Gift Bundle (Blue)"/>
    <s v="SELL0088"/>
    <x v="6"/>
    <x v="12"/>
  </r>
  <r>
    <s v="ORD000171"/>
    <s v="PROD00070"/>
    <n v="1"/>
    <x v="6"/>
    <n v="117.79"/>
    <n v="117.79"/>
    <s v="Portable Mini Grill"/>
    <s v="SELL0035"/>
    <x v="5"/>
    <x v="65"/>
  </r>
  <r>
    <s v="ORD000172"/>
    <s v="PROD00158"/>
    <n v="1"/>
    <x v="3"/>
    <n v="88.29"/>
    <n v="88.29"/>
    <s v="LED Light Bulb Reusable"/>
    <s v="SELL0057"/>
    <x v="6"/>
    <x v="48"/>
  </r>
  <r>
    <s v="ORD000173"/>
    <s v="PROD00092"/>
    <n v="1"/>
    <x v="7"/>
    <n v="37.630000000000003"/>
    <n v="37.630000000000003"/>
    <s v="Luxury Skincare Set Shea Vitamin"/>
    <s v="SELL0040"/>
    <x v="6"/>
    <x v="34"/>
  </r>
  <r>
    <s v="ORD000173"/>
    <s v="PROD00340"/>
    <n v="2"/>
    <x v="9"/>
    <n v="23.35"/>
    <n v="46.7"/>
    <s v="Adjustable Dumbbell 10kg"/>
    <s v="SELL0051"/>
    <x v="0"/>
    <x v="19"/>
  </r>
  <r>
    <s v="ORD000173"/>
    <s v="PROD00364"/>
    <n v="6"/>
    <x v="0"/>
    <n v="34.11"/>
    <n v="204.66"/>
    <s v="Beeswax Candle - Mint Rosemary"/>
    <s v="SELL0027"/>
    <x v="1"/>
    <x v="18"/>
  </r>
  <r>
    <s v="ORD000174"/>
    <s v="PROD00321"/>
    <n v="1"/>
    <x v="7"/>
    <n v="32.33"/>
    <n v="32.33"/>
    <s v="Tea Lovers Hamper Darjelling"/>
    <s v="SELL0088"/>
    <x v="6"/>
    <x v="12"/>
  </r>
  <r>
    <s v="ORD000175"/>
    <s v="PROD00196"/>
    <n v="1"/>
    <x v="8"/>
    <n v="37.9"/>
    <n v="37.9"/>
    <s v="Kite Rainbow"/>
    <s v="SELL0065"/>
    <x v="5"/>
    <x v="20"/>
  </r>
  <r>
    <s v="ORD000175"/>
    <s v="PROD00324"/>
    <n v="1"/>
    <x v="7"/>
    <n v="33.89"/>
    <n v="33.89"/>
    <s v="Mini Plant Starter Kit (Diasy)"/>
    <s v="SELL0088"/>
    <x v="6"/>
    <x v="12"/>
  </r>
  <r>
    <s v="ORD000176"/>
    <s v="PROD00035"/>
    <n v="1"/>
    <x v="8"/>
    <n v="17.940000000000001"/>
    <n v="17.940000000000001"/>
    <s v="Snorkel Set - Child"/>
    <s v="SELL0022"/>
    <x v="3"/>
    <x v="63"/>
  </r>
  <r>
    <s v="ORD000176"/>
    <s v="PROD00192"/>
    <n v="1"/>
    <x v="3"/>
    <n v="40.97"/>
    <n v="40.97"/>
    <s v="Smart Home Hub"/>
    <s v="SELL0063"/>
    <x v="7"/>
    <x v="38"/>
  </r>
  <r>
    <s v="ORD000177"/>
    <s v="PROD00028"/>
    <n v="1"/>
    <x v="4"/>
    <n v="8.39"/>
    <n v="8.39"/>
    <s v="Permanent markers 6 pack black"/>
    <s v="SELL0019"/>
    <x v="1"/>
    <x v="51"/>
  </r>
  <r>
    <s v="ORD000177"/>
    <s v="PROD00147"/>
    <n v="1"/>
    <x v="6"/>
    <n v="88.21"/>
    <n v="88.21"/>
    <s v="Portable Mini Grill Gas Fire"/>
    <s v="SELL0053"/>
    <x v="5"/>
    <x v="44"/>
  </r>
  <r>
    <s v="ORD000178"/>
    <s v="PROD00302"/>
    <n v="1"/>
    <x v="5"/>
    <n v="53.17"/>
    <n v="53.17"/>
    <s v="Unisex Hoodie - Yellow L"/>
    <s v="SELL0039"/>
    <x v="1"/>
    <x v="24"/>
  </r>
  <r>
    <s v="ORD000178"/>
    <s v="PROD00448"/>
    <n v="1"/>
    <x v="4"/>
    <n v="5.1100000000000003"/>
    <n v="5.1100000000000003"/>
    <s v="Sticky Notes Cube 200pc"/>
    <s v="SELL0094"/>
    <x v="3"/>
    <x v="41"/>
  </r>
  <r>
    <s v="ORD000179"/>
    <s v="PROD00118"/>
    <n v="1"/>
    <x v="5"/>
    <n v="53.17"/>
    <n v="53.17"/>
    <s v="Unisex Hoodie - Black XXL"/>
    <s v="SELL0044"/>
    <x v="1"/>
    <x v="77"/>
  </r>
  <r>
    <s v="ORD000179"/>
    <s v="PROD00127"/>
    <n v="1"/>
    <x v="6"/>
    <n v="92.15"/>
    <n v="92.15"/>
    <s v="Hickory Wood Chips Large Bag"/>
    <s v="SELL0046"/>
    <x v="6"/>
    <x v="45"/>
  </r>
  <r>
    <s v="ORD000179"/>
    <s v="PROD00256"/>
    <n v="5"/>
    <x v="6"/>
    <n v="48.14"/>
    <n v="240.7"/>
    <s v="Disposible Mini Grill"/>
    <s v="SELL0081"/>
    <x v="1"/>
    <x v="43"/>
  </r>
  <r>
    <s v="ORD000180"/>
    <s v="PROD00045"/>
    <n v="1"/>
    <x v="3"/>
    <n v="62.94"/>
    <n v="62.94"/>
    <s v="Wireless Keyboard (Yellow)"/>
    <s v="SELL0024"/>
    <x v="4"/>
    <x v="32"/>
  </r>
  <r>
    <s v="ORD000180"/>
    <s v="PROD00113"/>
    <n v="1"/>
    <x v="5"/>
    <n v="53.5"/>
    <n v="53.5"/>
    <s v="Rain Jacket Red XS"/>
    <s v="SELL0043"/>
    <x v="3"/>
    <x v="37"/>
  </r>
  <r>
    <s v="ORD000180"/>
    <s v="PROD00237"/>
    <n v="1"/>
    <x v="4"/>
    <n v="2.1800000000000002"/>
    <n v="2.1800000000000002"/>
    <s v="Ballpoint pen 6 pack"/>
    <s v="SELL0076"/>
    <x v="1"/>
    <x v="39"/>
  </r>
  <r>
    <s v="ORD000181"/>
    <s v="PROD00235"/>
    <n v="1"/>
    <x v="5"/>
    <n v="20.75"/>
    <n v="20.75"/>
    <s v="Wool Beanie - Blue"/>
    <s v="SELL0039"/>
    <x v="1"/>
    <x v="24"/>
  </r>
  <r>
    <s v="ORD000182"/>
    <s v="PROD00148"/>
    <n v="1"/>
    <x v="1"/>
    <n v="35.020000000000003"/>
    <n v="35.020000000000003"/>
    <s v="Jewellery Box Birch"/>
    <s v="SELL0053"/>
    <x v="5"/>
    <x v="44"/>
  </r>
  <r>
    <s v="ORD000182"/>
    <s v="PROD00458"/>
    <n v="1"/>
    <x v="8"/>
    <n v="21.04"/>
    <n v="21.04"/>
    <s v="Talking doll happy smile matching outfit"/>
    <s v="SELL0095"/>
    <x v="6"/>
    <x v="28"/>
  </r>
  <r>
    <s v="ORD000183"/>
    <s v="PROD00122"/>
    <n v="1"/>
    <x v="2"/>
    <n v="9.81"/>
    <n v="9.81"/>
    <s v="Scented Candle Rose"/>
    <s v="SELL0045"/>
    <x v="0"/>
    <x v="15"/>
  </r>
  <r>
    <s v="ORD000183"/>
    <s v="PROD00319"/>
    <n v="1"/>
    <x v="7"/>
    <n v="24.92"/>
    <n v="24.92"/>
    <s v="Spa Pamper Gift Set Fruity Mix"/>
    <s v="SELL0088"/>
    <x v="6"/>
    <x v="12"/>
  </r>
  <r>
    <s v="ORD000184"/>
    <s v="PROD00428"/>
    <n v="1"/>
    <x v="6"/>
    <n v="114.11"/>
    <n v="114.11"/>
    <s v="Compact Hiking Backpack 20L (Blue)"/>
    <s v="SELL0093"/>
    <x v="0"/>
    <x v="25"/>
  </r>
  <r>
    <s v="ORD000185"/>
    <s v="PROD00071"/>
    <n v="1"/>
    <x v="7"/>
    <n v="39.85"/>
    <n v="39.85"/>
    <s v="Bath Bomb Variety Pack (Ylang ylang jasmine)"/>
    <s v="SELL0035"/>
    <x v="5"/>
    <x v="65"/>
  </r>
  <r>
    <s v="ORD000186"/>
    <s v="PROD00238"/>
    <n v="1"/>
    <x v="8"/>
    <n v="26.73"/>
    <n v="26.73"/>
    <s v="Skipping Rope"/>
    <s v="SELL0076"/>
    <x v="1"/>
    <x v="39"/>
  </r>
  <r>
    <s v="ORD000186"/>
    <s v="PROD00455"/>
    <n v="1"/>
    <x v="8"/>
    <n v="38.72"/>
    <n v="38.72"/>
    <s v="Remote Control Car Vroom Noise"/>
    <s v="SELL0095"/>
    <x v="6"/>
    <x v="28"/>
  </r>
  <r>
    <s v="ORD000187"/>
    <s v="PROD00032"/>
    <n v="1"/>
    <x v="6"/>
    <n v="115.39"/>
    <n v="115.39"/>
    <s v="Solar Garden Light Set (8 pack)"/>
    <s v="SELL0021"/>
    <x v="4"/>
    <x v="57"/>
  </r>
  <r>
    <s v="ORD000188"/>
    <s v="PROD00379"/>
    <n v="1"/>
    <x v="0"/>
    <n v="22.63"/>
    <n v="22.63"/>
    <s v="Vitamin C Serum 50ml"/>
    <s v="SELL0091"/>
    <x v="6"/>
    <x v="30"/>
  </r>
  <r>
    <s v="ORD000189"/>
    <s v="PROD00149"/>
    <n v="1"/>
    <x v="7"/>
    <n v="14.62"/>
    <n v="14.62"/>
    <s v="Tea Lovers Hamper Vegemite Edition"/>
    <s v="SELL0053"/>
    <x v="5"/>
    <x v="44"/>
  </r>
  <r>
    <s v="ORD000190"/>
    <s v="PROD00439"/>
    <n v="1"/>
    <x v="6"/>
    <n v="60.6"/>
    <n v="60.6"/>
    <s v="BBQ Grill Mat - Non‑stick (Blue)"/>
    <s v="SELL0093"/>
    <x v="0"/>
    <x v="25"/>
  </r>
  <r>
    <s v="ORD000191"/>
    <s v="PROD00050"/>
    <n v="1"/>
    <x v="0"/>
    <n v="29.36"/>
    <n v="29.36"/>
    <s v="Essential Oil Diffuser"/>
    <s v="SELL0028"/>
    <x v="0"/>
    <x v="29"/>
  </r>
  <r>
    <s v="ORD000191"/>
    <s v="PROD00312"/>
    <n v="1"/>
    <x v="3"/>
    <n v="63.84"/>
    <n v="63.84"/>
    <s v="Noise Cancelling Headphones (Green)"/>
    <s v="SELL0088"/>
    <x v="6"/>
    <x v="12"/>
  </r>
  <r>
    <s v="ORD000192"/>
    <s v="PROD00051"/>
    <n v="1"/>
    <x v="0"/>
    <n v="30.81"/>
    <n v="30.81"/>
    <s v="Protein Shaker Bottle 600ml (Red)"/>
    <s v="SELL0028"/>
    <x v="0"/>
    <x v="29"/>
  </r>
  <r>
    <s v="ORD000193"/>
    <s v="PROD00211"/>
    <n v="1"/>
    <x v="0"/>
    <n v="14.98"/>
    <n v="14.98"/>
    <s v="Essential Oil Diffuser Mains Powered"/>
    <s v="SELL0070"/>
    <x v="1"/>
    <x v="22"/>
  </r>
  <r>
    <s v="ORD000194"/>
    <s v="PROD00008"/>
    <n v="1"/>
    <x v="8"/>
    <n v="38.25"/>
    <n v="38.25"/>
    <s v="Slime Lab Green 8pc"/>
    <s v="SELL0006"/>
    <x v="4"/>
    <x v="13"/>
  </r>
  <r>
    <s v="ORD000195"/>
    <s v="PROD00059"/>
    <n v="1"/>
    <x v="2"/>
    <n v="15.04"/>
    <n v="15.04"/>
    <s v="Blending Sponge"/>
    <s v="SELL0032"/>
    <x v="4"/>
    <x v="11"/>
  </r>
  <r>
    <s v="ORD000196"/>
    <s v="PROD00197"/>
    <n v="1"/>
    <x v="9"/>
    <n v="40.75"/>
    <n v="40.75"/>
    <s v="Blood Pressure Monitor Digital"/>
    <s v="SELL0066"/>
    <x v="4"/>
    <x v="21"/>
  </r>
  <r>
    <s v="ORD000197"/>
    <s v="PROD00155"/>
    <n v="1"/>
    <x v="8"/>
    <n v="16.22"/>
    <n v="16.22"/>
    <s v="Kids Paint Kit"/>
    <s v="SELL0055"/>
    <x v="2"/>
    <x v="40"/>
  </r>
  <r>
    <s v="ORD000198"/>
    <s v="PROD00080"/>
    <n v="1"/>
    <x v="7"/>
    <n v="39.36"/>
    <n v="39.36"/>
    <s v="Mini Plant Starter Kit (Tulip)"/>
    <s v="SELL0037"/>
    <x v="4"/>
    <x v="5"/>
  </r>
  <r>
    <s v="ORD000199"/>
    <s v="PROD00398"/>
    <n v="2"/>
    <x v="1"/>
    <n v="35.5"/>
    <n v="71"/>
    <s v="Pendant Necklace - Silver"/>
    <s v="SELL0092"/>
    <x v="4"/>
    <x v="10"/>
  </r>
  <r>
    <s v="ORD000200"/>
    <s v="PROD00175"/>
    <n v="1"/>
    <x v="1"/>
    <n v="36.35"/>
    <n v="36.35"/>
    <s v="Pearl Earrings Stud"/>
    <s v="SELL0060"/>
    <x v="4"/>
    <x v="74"/>
  </r>
  <r>
    <s v="ORD000201"/>
    <s v="PROD00168"/>
    <n v="1"/>
    <x v="1"/>
    <n v="33.36"/>
    <n v="33.36"/>
    <s v="Pearl Stud Earrings"/>
    <s v="SELL0058"/>
    <x v="1"/>
    <x v="7"/>
  </r>
  <r>
    <s v="ORD000202"/>
    <s v="PROD00271"/>
    <n v="2"/>
    <x v="2"/>
    <n v="19.37"/>
    <n v="38.74"/>
    <s v="Aloe Vera Gel 200ml 2 pack"/>
    <s v="SELL0086"/>
    <x v="4"/>
    <x v="6"/>
  </r>
  <r>
    <s v="ORD000203"/>
    <s v="PROD00048"/>
    <n v="1"/>
    <x v="0"/>
    <n v="34.869999999999997"/>
    <n v="34.869999999999997"/>
    <s v="Essential Oil Diffuser"/>
    <s v="SELL0026"/>
    <x v="2"/>
    <x v="66"/>
  </r>
  <r>
    <s v="ORD000203"/>
    <s v="PROD00297"/>
    <n v="1"/>
    <x v="3"/>
    <n v="97.88"/>
    <n v="97.88"/>
    <s v="HD Webcam 1080p USB Desktop"/>
    <s v="SELL0024"/>
    <x v="4"/>
    <x v="32"/>
  </r>
  <r>
    <s v="ORD000203"/>
    <s v="PROD00435"/>
    <n v="1"/>
    <x v="9"/>
    <n v="28.76"/>
    <n v="28.76"/>
    <s v="Hand Grip Strengthener (Red)"/>
    <s v="SELL0051"/>
    <x v="0"/>
    <x v="19"/>
  </r>
  <r>
    <s v="ORD000204"/>
    <s v="PROD00073"/>
    <n v="1"/>
    <x v="6"/>
    <n v="31.66"/>
    <n v="31.66"/>
    <s v="Wood Chips - Oak"/>
    <s v="SELL0035"/>
    <x v="5"/>
    <x v="65"/>
  </r>
  <r>
    <s v="ORD000204"/>
    <s v="PROD00212"/>
    <n v="1"/>
    <x v="8"/>
    <n v="32.44"/>
    <n v="32.44"/>
    <s v="Educational Puzzle - Zoo Animals"/>
    <s v="SELL0070"/>
    <x v="1"/>
    <x v="22"/>
  </r>
  <r>
    <s v="ORD000205"/>
    <s v="PROD00408"/>
    <n v="1"/>
    <x v="6"/>
    <n v="73.400000000000006"/>
    <n v="73.400000000000006"/>
    <s v="BBQ Meat Thermometer WiFi"/>
    <s v="SELL0092"/>
    <x v="4"/>
    <x v="10"/>
  </r>
  <r>
    <s v="ORD000206"/>
    <s v="PROD00086"/>
    <n v="1"/>
    <x v="7"/>
    <n v="37.840000000000003"/>
    <n v="37.840000000000003"/>
    <s v="Bath Bomb Strawberry Vanilla Gift Set"/>
    <s v="SELL0038"/>
    <x v="7"/>
    <x v="23"/>
  </r>
  <r>
    <s v="ORD000206"/>
    <s v="PROD00276"/>
    <n v="1"/>
    <x v="5"/>
    <n v="44.13"/>
    <n v="44.13"/>
    <s v="Men’s Chino Shorts XL"/>
    <s v="SELL0086"/>
    <x v="4"/>
    <x v="6"/>
  </r>
  <r>
    <s v="ORD000206"/>
    <s v="PROD00426"/>
    <n v="1"/>
    <x v="6"/>
    <n v="27.32"/>
    <n v="27.32"/>
    <s v="Stainless Steel BBQ Tools Set (Green)"/>
    <s v="SELL0093"/>
    <x v="0"/>
    <x v="25"/>
  </r>
  <r>
    <s v="ORD000207"/>
    <s v="PROD00286"/>
    <n v="2"/>
    <x v="5"/>
    <n v="54.51"/>
    <n v="109.02"/>
    <s v="Women’s Active Leggings (Yellow)"/>
    <s v="SELL0086"/>
    <x v="4"/>
    <x v="6"/>
  </r>
  <r>
    <s v="ORD000208"/>
    <s v="PROD00037"/>
    <n v="1"/>
    <x v="6"/>
    <n v="24.22"/>
    <n v="24.22"/>
    <s v="Outdoor Oven Gloves (Red)"/>
    <s v="SELL0022"/>
    <x v="3"/>
    <x v="63"/>
  </r>
  <r>
    <s v="ORD000208"/>
    <s v="PROD00125"/>
    <n v="1"/>
    <x v="1"/>
    <n v="13.79"/>
    <n v="13.79"/>
    <s v="Charm Bracelet gold"/>
    <s v="SELL0046"/>
    <x v="6"/>
    <x v="45"/>
  </r>
  <r>
    <s v="ORD000208"/>
    <s v="PROD00360"/>
    <n v="1"/>
    <x v="0"/>
    <n v="20.79"/>
    <n v="20.79"/>
    <s v="Silicone Laundry Basket - White"/>
    <s v="SELL0027"/>
    <x v="1"/>
    <x v="18"/>
  </r>
  <r>
    <s v="ORD000209"/>
    <s v="PROD00264"/>
    <n v="1"/>
    <x v="2"/>
    <n v="32.26"/>
    <n v="32.26"/>
    <s v="Vitamin C Serum 50ml"/>
    <s v="SELL0084"/>
    <x v="2"/>
    <x v="35"/>
  </r>
  <r>
    <s v="ORD000209"/>
    <s v="PROD00370"/>
    <n v="1"/>
    <x v="0"/>
    <n v="24.23"/>
    <n v="24.23"/>
    <s v="Rug 200cm x 220cm"/>
    <s v="SELL0027"/>
    <x v="1"/>
    <x v="18"/>
  </r>
  <r>
    <s v="ORD000210"/>
    <s v="PROD00036"/>
    <n v="1"/>
    <x v="8"/>
    <n v="38.630000000000003"/>
    <n v="38.630000000000003"/>
    <s v="Snorkel Set - Child Pink"/>
    <s v="SELL0022"/>
    <x v="3"/>
    <x v="63"/>
  </r>
  <r>
    <s v="ORD000211"/>
    <s v="PROD00173"/>
    <n v="1"/>
    <x v="1"/>
    <n v="29"/>
    <n v="29"/>
    <s v="Drop Earrings Dangle Silver"/>
    <s v="SELL0059"/>
    <x v="2"/>
    <x v="78"/>
  </r>
  <r>
    <s v="ORD000211"/>
    <s v="PROD00204"/>
    <n v="1"/>
    <x v="3"/>
    <n v="38.56"/>
    <n v="38.56"/>
    <s v="USB C Fast Charger 30W (Black)"/>
    <s v="SELL0067"/>
    <x v="3"/>
    <x v="3"/>
  </r>
  <r>
    <s v="ORD000212"/>
    <s v="PROD00064"/>
    <n v="1"/>
    <x v="9"/>
    <n v="55.35"/>
    <n v="55.35"/>
    <s v="Blood Pressure Monitor (White)"/>
    <s v="SELL0034"/>
    <x v="0"/>
    <x v="60"/>
  </r>
  <r>
    <s v="ORD000212"/>
    <s v="PROD00199"/>
    <n v="1"/>
    <x v="5"/>
    <n v="32.42"/>
    <n v="32.42"/>
    <s v="Rain Jacket - Lightweight"/>
    <s v="SELL0067"/>
    <x v="3"/>
    <x v="3"/>
  </r>
  <r>
    <s v="ORD000212"/>
    <s v="PROD00394"/>
    <n v="1"/>
    <x v="1"/>
    <n v="32.96"/>
    <n v="32.96"/>
    <s v="Crystal Earrings Stud"/>
    <s v="SELL0092"/>
    <x v="4"/>
    <x v="10"/>
  </r>
  <r>
    <s v="ORD000213"/>
    <s v="PROD00046"/>
    <n v="1"/>
    <x v="5"/>
    <n v="54.17"/>
    <n v="54.17"/>
    <s v="Unisex Hoodie - Black XXXL"/>
    <s v="SELL0025"/>
    <x v="4"/>
    <x v="79"/>
  </r>
  <r>
    <s v="ORD000213"/>
    <s v="PROD00086"/>
    <n v="1"/>
    <x v="7"/>
    <n v="37.840000000000003"/>
    <n v="37.840000000000003"/>
    <s v="Bath Bomb Strawberry Vanilla Gift Set"/>
    <s v="SELL0038"/>
    <x v="7"/>
    <x v="23"/>
  </r>
  <r>
    <s v="ORD000213"/>
    <s v="PROD00265"/>
    <n v="1"/>
    <x v="2"/>
    <n v="22.24"/>
    <n v="22.24"/>
    <s v="Vitamin C Serum 30ml"/>
    <s v="SELL0084"/>
    <x v="2"/>
    <x v="35"/>
  </r>
  <r>
    <s v="ORD000213"/>
    <s v="PROD00311"/>
    <n v="1"/>
    <x v="3"/>
    <n v="113.45"/>
    <n v="113.45"/>
    <s v="Noise Cancelling Headphones (White)"/>
    <s v="SELL0088"/>
    <x v="6"/>
    <x v="12"/>
  </r>
  <r>
    <s v="ORD000214"/>
    <s v="PROD00052"/>
    <n v="3"/>
    <x v="4"/>
    <n v="7.72"/>
    <n v="23.16"/>
    <s v="Glitter Gel Pens 4 pack"/>
    <s v="SELL0028"/>
    <x v="0"/>
    <x v="29"/>
  </r>
  <r>
    <s v="ORD000214"/>
    <s v="PROD00390"/>
    <n v="1"/>
    <x v="0"/>
    <n v="66.88"/>
    <n v="66.88"/>
    <s v="Wall Clock - Minimalist (Blue)"/>
    <s v="SELL0091"/>
    <x v="6"/>
    <x v="30"/>
  </r>
  <r>
    <s v="ORD000215"/>
    <s v="PROD00194"/>
    <n v="1"/>
    <x v="8"/>
    <n v="29.09"/>
    <n v="29.09"/>
    <s v="Water Gun Set"/>
    <s v="SELL0064"/>
    <x v="7"/>
    <x v="80"/>
  </r>
  <r>
    <s v="ORD000215"/>
    <s v="PROD00225"/>
    <n v="1"/>
    <x v="3"/>
    <n v="23.36"/>
    <n v="23.36"/>
    <s v="USB C Fast Charge 30W"/>
    <s v="SELL0073"/>
    <x v="2"/>
    <x v="58"/>
  </r>
  <r>
    <s v="ORD000216"/>
    <s v="PROD00043"/>
    <n v="1"/>
    <x v="6"/>
    <n v="55.89"/>
    <n v="55.89"/>
    <s v="Fairy Lights Outdoor Garden String 200"/>
    <s v="SELL0023"/>
    <x v="4"/>
    <x v="56"/>
  </r>
  <r>
    <s v="ORD000216"/>
    <s v="PROD00117"/>
    <n v="1"/>
    <x v="1"/>
    <n v="13.95"/>
    <n v="13.95"/>
    <s v="Anklet - Gold"/>
    <s v="SELL0044"/>
    <x v="1"/>
    <x v="77"/>
  </r>
  <r>
    <s v="ORD000216"/>
    <s v="PROD00368"/>
    <n v="1"/>
    <x v="0"/>
    <n v="101.55"/>
    <n v="101.55"/>
    <s v="Ceramic Vase Grey Sand"/>
    <s v="SELL0090"/>
    <x v="6"/>
    <x v="53"/>
  </r>
  <r>
    <s v="ORD000217"/>
    <s v="PROD00012"/>
    <n v="2"/>
    <x v="4"/>
    <n v="7.06"/>
    <n v="14.12"/>
    <s v="Whiteboard Markers - 6 pack"/>
    <s v="SELL0010"/>
    <x v="4"/>
    <x v="4"/>
  </r>
  <r>
    <s v="ORD000217"/>
    <s v="PROD00219"/>
    <n v="1"/>
    <x v="6"/>
    <n v="74.39"/>
    <n v="74.39"/>
    <s v="Waterproof Picnic Mat Tartan"/>
    <s v="SELL0072"/>
    <x v="5"/>
    <x v="75"/>
  </r>
  <r>
    <s v="ORD000217"/>
    <s v="PROD00392"/>
    <n v="1"/>
    <x v="1"/>
    <n v="59.61"/>
    <n v="59.61"/>
    <s v="Jewellery Box White Oak"/>
    <s v="SELL0091"/>
    <x v="6"/>
    <x v="30"/>
  </r>
  <r>
    <s v="ORD000217"/>
    <s v="PROD00408"/>
    <n v="1"/>
    <x v="6"/>
    <n v="73.400000000000006"/>
    <n v="73.400000000000006"/>
    <s v="BBQ Meat Thermometer WiFi"/>
    <s v="SELL0092"/>
    <x v="4"/>
    <x v="10"/>
  </r>
  <r>
    <s v="ORD000218"/>
    <s v="PROD00202"/>
    <n v="1"/>
    <x v="2"/>
    <n v="27.55"/>
    <n v="27.55"/>
    <s v="Body Lotion Shea Butter 1L"/>
    <s v="SELL0067"/>
    <x v="3"/>
    <x v="3"/>
  </r>
  <r>
    <s v="ORD000218"/>
    <s v="PROD00419"/>
    <n v="1"/>
    <x v="8"/>
    <n v="26.9"/>
    <n v="26.9"/>
    <s v="Building Blocks 600 pcs"/>
    <s v="SELL0047"/>
    <x v="0"/>
    <x v="16"/>
  </r>
  <r>
    <s v="ORD000219"/>
    <s v="PROD00380"/>
    <n v="1"/>
    <x v="0"/>
    <n v="18.559999999999999"/>
    <n v="18.559999999999999"/>
    <s v="LED Floor Lamp"/>
    <s v="SELL0091"/>
    <x v="6"/>
    <x v="30"/>
  </r>
  <r>
    <s v="ORD000220"/>
    <s v="PROD00094"/>
    <n v="1"/>
    <x v="6"/>
    <n v="40.83"/>
    <n v="40.83"/>
    <s v="BBQ Cleaning Fluid"/>
    <s v="SELL0040"/>
    <x v="6"/>
    <x v="34"/>
  </r>
  <r>
    <s v="ORD000220"/>
    <s v="PROD00263"/>
    <n v="1"/>
    <x v="0"/>
    <n v="119.3"/>
    <n v="119.3"/>
    <s v="Memory Foam Pillow Medium Firm x 2"/>
    <s v="SELL0078"/>
    <x v="6"/>
    <x v="42"/>
  </r>
  <r>
    <s v="ORD000220"/>
    <s v="PROD00292"/>
    <n v="1"/>
    <x v="3"/>
    <n v="47.75"/>
    <n v="47.75"/>
    <s v="Portable Power Bank 20000mAh"/>
    <s v="SELL0024"/>
    <x v="4"/>
    <x v="32"/>
  </r>
  <r>
    <s v="ORD000221"/>
    <s v="PROD00086"/>
    <n v="1"/>
    <x v="7"/>
    <n v="37.840000000000003"/>
    <n v="37.840000000000003"/>
    <s v="Bath Bomb Strawberry Vanilla Gift Set"/>
    <s v="SELL0038"/>
    <x v="7"/>
    <x v="23"/>
  </r>
  <r>
    <s v="ORD000222"/>
    <s v="PROD00085"/>
    <n v="2"/>
    <x v="7"/>
    <n v="22.33"/>
    <n v="44.66"/>
    <s v="Tea Lovers Hamper Earl Grey"/>
    <s v="SELL0037"/>
    <x v="4"/>
    <x v="5"/>
  </r>
  <r>
    <s v="ORD000222"/>
    <s v="PROD00147"/>
    <n v="1"/>
    <x v="6"/>
    <n v="88.21"/>
    <n v="88.21"/>
    <s v="Portable Mini Grill Gas Fire"/>
    <s v="SELL0053"/>
    <x v="5"/>
    <x v="44"/>
  </r>
  <r>
    <s v="ORD000223"/>
    <s v="PROD00088"/>
    <n v="1"/>
    <x v="5"/>
    <n v="27.88"/>
    <n v="27.88"/>
    <s v="Sports Socks - 5 pack"/>
    <s v="SELL0039"/>
    <x v="1"/>
    <x v="24"/>
  </r>
  <r>
    <s v="ORD000224"/>
    <s v="PROD00211"/>
    <n v="1"/>
    <x v="0"/>
    <n v="14.98"/>
    <n v="14.98"/>
    <s v="Essential Oil Diffuser Mains Powered"/>
    <s v="SELL0070"/>
    <x v="1"/>
    <x v="22"/>
  </r>
  <r>
    <s v="ORD000225"/>
    <s v="PROD00386"/>
    <n v="1"/>
    <x v="0"/>
    <n v="65.459999999999994"/>
    <n v="65.459999999999994"/>
    <s v="Weighted Blanket 5kg"/>
    <s v="SELL0091"/>
    <x v="6"/>
    <x v="30"/>
  </r>
  <r>
    <s v="ORD000225"/>
    <s v="PROD00414"/>
    <n v="1"/>
    <x v="6"/>
    <n v="67.33"/>
    <n v="67.33"/>
    <s v="Camping Kettle 2L Navy"/>
    <s v="SELL0093"/>
    <x v="0"/>
    <x v="25"/>
  </r>
  <r>
    <s v="ORD000226"/>
    <s v="PROD00051"/>
    <n v="1"/>
    <x v="0"/>
    <n v="30.81"/>
    <n v="30.81"/>
    <s v="Protein Shaker Bottle 600ml (Red)"/>
    <s v="SELL0028"/>
    <x v="0"/>
    <x v="29"/>
  </r>
  <r>
    <s v="ORD000227"/>
    <s v="PROD00257"/>
    <n v="1"/>
    <x v="2"/>
    <n v="17.28"/>
    <n v="17.28"/>
    <s v="Face Mist Vitamin E"/>
    <s v="SELL0082"/>
    <x v="2"/>
    <x v="81"/>
  </r>
  <r>
    <s v="ORD000227"/>
    <s v="PROD00330"/>
    <n v="1"/>
    <x v="0"/>
    <n v="49.8"/>
    <n v="49.8"/>
    <s v="Vase Ceramic Sand Finish Navy"/>
    <s v="SELL0027"/>
    <x v="1"/>
    <x v="18"/>
  </r>
  <r>
    <s v="ORD000228"/>
    <s v="PROD00345"/>
    <n v="1"/>
    <x v="9"/>
    <n v="32.81"/>
    <n v="32.81"/>
    <s v="Protein Shaker Bottle 600ml"/>
    <s v="SELL0051"/>
    <x v="0"/>
    <x v="19"/>
  </r>
  <r>
    <s v="ORD000228"/>
    <s v="PROD00384"/>
    <n v="1"/>
    <x v="0"/>
    <n v="116.81"/>
    <n v="116.81"/>
    <s v="Weighted Blanket 20kg"/>
    <s v="SELL0091"/>
    <x v="6"/>
    <x v="30"/>
  </r>
  <r>
    <s v="ORD000229"/>
    <s v="PROD00305"/>
    <n v="1"/>
    <x v="3"/>
    <n v="29.36"/>
    <n v="29.36"/>
    <s v="Smart Home Hub (Black) 2023"/>
    <s v="SELL0024"/>
    <x v="4"/>
    <x v="32"/>
  </r>
  <r>
    <s v="ORD000229"/>
    <s v="PROD00309"/>
    <n v="1"/>
    <x v="3"/>
    <n v="63.84"/>
    <n v="63.84"/>
    <s v="Noise Cancelling Headphones (Yellow)"/>
    <s v="SELL0088"/>
    <x v="6"/>
    <x v="12"/>
  </r>
  <r>
    <s v="ORD000230"/>
    <s v="PROD00359"/>
    <n v="1"/>
    <x v="0"/>
    <n v="86.5"/>
    <n v="86.5"/>
    <s v="Indoor Plant Pot - XL"/>
    <s v="SELL0027"/>
    <x v="1"/>
    <x v="18"/>
  </r>
  <r>
    <s v="ORD000231"/>
    <s v="PROD00050"/>
    <n v="1"/>
    <x v="0"/>
    <n v="29.36"/>
    <n v="29.36"/>
    <s v="Essential Oil Diffuser"/>
    <s v="SELL0028"/>
    <x v="0"/>
    <x v="29"/>
  </r>
  <r>
    <s v="ORD000231"/>
    <s v="PROD00133"/>
    <n v="1"/>
    <x v="8"/>
    <n v="35.11"/>
    <n v="35.11"/>
    <s v="Building Blocks 300 pcs Special Edition space"/>
    <s v="SELL0047"/>
    <x v="0"/>
    <x v="16"/>
  </r>
  <r>
    <s v="ORD000232"/>
    <s v="PROD00308"/>
    <n v="1"/>
    <x v="3"/>
    <n v="63.84"/>
    <n v="63.84"/>
    <s v="Noise Cancelling Headphones (Red)"/>
    <s v="SELL0088"/>
    <x v="6"/>
    <x v="12"/>
  </r>
  <r>
    <s v="ORD000232"/>
    <s v="PROD00376"/>
    <n v="1"/>
    <x v="0"/>
    <n v="75.400000000000006"/>
    <n v="75.400000000000006"/>
    <s v="Adjustable Dumbbell 8kg"/>
    <s v="SELL0090"/>
    <x v="6"/>
    <x v="53"/>
  </r>
  <r>
    <s v="ORD000233"/>
    <s v="PROD00261"/>
    <n v="1"/>
    <x v="2"/>
    <n v="6.91"/>
    <n v="6.91"/>
    <s v="Aloe Vera Gel 200ml"/>
    <s v="SELL0083"/>
    <x v="3"/>
    <x v="64"/>
  </r>
  <r>
    <s v="ORD000234"/>
    <s v="PROD00297"/>
    <n v="1"/>
    <x v="3"/>
    <n v="97.88"/>
    <n v="97.88"/>
    <s v="HD Webcam 1080p USB Desktop"/>
    <s v="SELL0024"/>
    <x v="4"/>
    <x v="32"/>
  </r>
  <r>
    <s v="ORD000234"/>
    <s v="PROD00350"/>
    <n v="1"/>
    <x v="2"/>
    <n v="13.58"/>
    <n v="13.58"/>
    <s v="Nail Polish - Midnight Sky"/>
    <s v="SELL0083"/>
    <x v="3"/>
    <x v="64"/>
  </r>
  <r>
    <s v="ORD000235"/>
    <s v="PROD00213"/>
    <n v="1"/>
    <x v="1"/>
    <n v="52.35"/>
    <n v="52.35"/>
    <s v="Sterling Silver 925 Stud Earrings Pair Ladybird"/>
    <s v="SELL0063"/>
    <x v="7"/>
    <x v="38"/>
  </r>
  <r>
    <s v="ORD000236"/>
    <s v="PROD00423"/>
    <n v="1"/>
    <x v="6"/>
    <n v="97.17"/>
    <n v="97.17"/>
    <s v="BBQ Apron - Red"/>
    <s v="SELL0093"/>
    <x v="0"/>
    <x v="25"/>
  </r>
  <r>
    <s v="ORD000237"/>
    <s v="PROD00404"/>
    <n v="1"/>
    <x v="6"/>
    <n v="81.02"/>
    <n v="81.02"/>
    <s v="BBQ Meat Thermometer Bluetooth"/>
    <s v="SELL0092"/>
    <x v="4"/>
    <x v="10"/>
  </r>
  <r>
    <s v="ORD000238"/>
    <s v="PROD00263"/>
    <n v="1"/>
    <x v="0"/>
    <n v="119.3"/>
    <n v="119.3"/>
    <s v="Memory Foam Pillow Medium Firm x 2"/>
    <s v="SELL0078"/>
    <x v="6"/>
    <x v="42"/>
  </r>
  <r>
    <s v="ORD000238"/>
    <s v="PROD00387"/>
    <n v="1"/>
    <x v="0"/>
    <n v="21.89"/>
    <n v="21.89"/>
    <s v="Decorative Cushion - Blue 60 x 60"/>
    <s v="SELL0091"/>
    <x v="6"/>
    <x v="30"/>
  </r>
  <r>
    <s v="ORD000238"/>
    <s v="PROD00409"/>
    <n v="1"/>
    <x v="5"/>
    <n v="64.84"/>
    <n v="64.84"/>
    <s v="Portable Camping Chair (Blue)"/>
    <s v="SELL0092"/>
    <x v="4"/>
    <x v="10"/>
  </r>
  <r>
    <s v="ORD000239"/>
    <s v="PROD00103"/>
    <n v="1"/>
    <x v="5"/>
    <n v="39.99"/>
    <n v="39.99"/>
    <s v="Cotton T‑Shirt Green XL"/>
    <s v="SELL0041"/>
    <x v="0"/>
    <x v="26"/>
  </r>
  <r>
    <s v="ORD000240"/>
    <s v="PROD00082"/>
    <n v="1"/>
    <x v="7"/>
    <n v="19.89"/>
    <n v="19.89"/>
    <s v="Candle Trio Gift Set Lily"/>
    <s v="SELL0037"/>
    <x v="4"/>
    <x v="5"/>
  </r>
  <r>
    <s v="ORD000241"/>
    <s v="PROD00109"/>
    <n v="1"/>
    <x v="1"/>
    <n v="13.16"/>
    <n v="13.16"/>
    <s v="Sterling Silver Necklace"/>
    <s v="SELL0042"/>
    <x v="3"/>
    <x v="14"/>
  </r>
  <r>
    <s v="ORD000242"/>
    <s v="PROD00453"/>
    <n v="1"/>
    <x v="4"/>
    <n v="14.36"/>
    <n v="14.36"/>
    <s v="Premium Pencil Case (Black)"/>
    <s v="SELL0095"/>
    <x v="6"/>
    <x v="28"/>
  </r>
  <r>
    <s v="ORD000243"/>
    <s v="PROD00067"/>
    <n v="1"/>
    <x v="8"/>
    <n v="23.3"/>
    <n v="23.3"/>
    <s v="Car Controlled Phone Remote"/>
    <s v="SELL0034"/>
    <x v="0"/>
    <x v="60"/>
  </r>
  <r>
    <s v="ORD000243"/>
    <s v="PROD00083"/>
    <n v="1"/>
    <x v="4"/>
    <n v="6.78"/>
    <n v="6.78"/>
    <s v="Metal Ruler 30cm"/>
    <s v="SELL0037"/>
    <x v="4"/>
    <x v="5"/>
  </r>
  <r>
    <s v="ORD000244"/>
    <s v="PROD00125"/>
    <n v="2"/>
    <x v="1"/>
    <n v="13.79"/>
    <n v="27.58"/>
    <s v="Charm Bracelet gold"/>
    <s v="SELL0046"/>
    <x v="6"/>
    <x v="45"/>
  </r>
  <r>
    <s v="ORD000244"/>
    <s v="PROD00154"/>
    <n v="1"/>
    <x v="2"/>
    <n v="23.68"/>
    <n v="23.68"/>
    <s v="Pendant Necklace Silver"/>
    <s v="SELL0055"/>
    <x v="2"/>
    <x v="40"/>
  </r>
  <r>
    <s v="ORD000245"/>
    <s v="PROD00390"/>
    <n v="2"/>
    <x v="0"/>
    <n v="66.88"/>
    <n v="133.76"/>
    <s v="Wall Clock - Minimalist (Blue)"/>
    <s v="SELL0091"/>
    <x v="6"/>
    <x v="30"/>
  </r>
  <r>
    <s v="ORD000246"/>
    <s v="PROD00080"/>
    <n v="1"/>
    <x v="7"/>
    <n v="39.36"/>
    <n v="39.36"/>
    <s v="Mini Plant Starter Kit (Tulip)"/>
    <s v="SELL0037"/>
    <x v="4"/>
    <x v="5"/>
  </r>
  <r>
    <s v="ORD000246"/>
    <s v="PROD00130"/>
    <n v="1"/>
    <x v="8"/>
    <n v="12.31"/>
    <n v="12.31"/>
    <s v="Kite Glitter"/>
    <s v="SELL0047"/>
    <x v="0"/>
    <x v="16"/>
  </r>
  <r>
    <s v="ORD000247"/>
    <s v="PROD00107"/>
    <n v="1"/>
    <x v="5"/>
    <n v="41.73"/>
    <n v="41.73"/>
    <s v="Rain Jacket Red L"/>
    <s v="SELL0042"/>
    <x v="3"/>
    <x v="14"/>
  </r>
  <r>
    <s v="ORD000248"/>
    <s v="PROD00063"/>
    <n v="1"/>
    <x v="3"/>
    <n v="109.54"/>
    <n v="109.54"/>
    <s v="Wireless Keyboard Premium"/>
    <s v="SELL0033"/>
    <x v="2"/>
    <x v="59"/>
  </r>
  <r>
    <s v="ORD000248"/>
    <s v="PROD00118"/>
    <n v="1"/>
    <x v="5"/>
    <n v="53.17"/>
    <n v="53.17"/>
    <s v="Unisex Hoodie - Black XXL"/>
    <s v="SELL0044"/>
    <x v="1"/>
    <x v="77"/>
  </r>
  <r>
    <s v="ORD000249"/>
    <s v="PROD00198"/>
    <n v="1"/>
    <x v="8"/>
    <n v="24.19"/>
    <n v="24.19"/>
    <s v="Light up lawnmower AI powered"/>
    <s v="SELL0067"/>
    <x v="3"/>
    <x v="3"/>
  </r>
  <r>
    <s v="ORD000249"/>
    <s v="PROD00439"/>
    <n v="1"/>
    <x v="6"/>
    <n v="60.6"/>
    <n v="60.6"/>
    <s v="BBQ Grill Mat - Non‑stick (Blue)"/>
    <s v="SELL0093"/>
    <x v="0"/>
    <x v="25"/>
  </r>
  <r>
    <s v="ORD000250"/>
    <s v="PROD00402"/>
    <n v="1"/>
    <x v="1"/>
    <n v="21.1"/>
    <n v="21.1"/>
    <s v="Gold-plated Hoop Earrings Crystal Clip"/>
    <s v="SELL0092"/>
    <x v="4"/>
    <x v="10"/>
  </r>
  <r>
    <s v="ORD000251"/>
    <s v="PROD00074"/>
    <n v="1"/>
    <x v="6"/>
    <n v="49.99"/>
    <n v="49.99"/>
    <s v="Wood Chips Smoked Mesquite Premium"/>
    <s v="SELL0036"/>
    <x v="0"/>
    <x v="0"/>
  </r>
  <r>
    <s v="ORD000252"/>
    <s v="PROD00187"/>
    <n v="1"/>
    <x v="1"/>
    <n v="24.7"/>
    <n v="24.7"/>
    <s v="antique bronze necklace owl vintage"/>
    <s v="SELL0062"/>
    <x v="1"/>
    <x v="1"/>
  </r>
  <r>
    <s v="ORD000253"/>
    <s v="PROD00018"/>
    <n v="1"/>
    <x v="6"/>
    <n v="40.119999999999997"/>
    <n v="40.119999999999997"/>
    <s v="Waterproof Picnic Mat 100x100"/>
    <s v="SELL0016"/>
    <x v="6"/>
    <x v="55"/>
  </r>
  <r>
    <s v="ORD000253"/>
    <s v="PROD00201"/>
    <n v="1"/>
    <x v="6"/>
    <n v="72.790000000000006"/>
    <n v="72.790000000000006"/>
    <s v="BBQ Cleaning Brush XXL"/>
    <s v="SELL0067"/>
    <x v="3"/>
    <x v="3"/>
  </r>
  <r>
    <s v="ORD000254"/>
    <s v="PROD00378"/>
    <n v="1"/>
    <x v="0"/>
    <n v="15.21"/>
    <n v="15.21"/>
    <s v="LED Floor Lamp"/>
    <s v="SELL0090"/>
    <x v="6"/>
    <x v="53"/>
  </r>
  <r>
    <s v="ORD000255"/>
    <s v="PROD00111"/>
    <n v="1"/>
    <x v="5"/>
    <n v="37.79"/>
    <n v="37.79"/>
    <s v="Kids Cotton Pyjamas 18month"/>
    <s v="SELL0043"/>
    <x v="3"/>
    <x v="37"/>
  </r>
  <r>
    <s v="ORD000255"/>
    <s v="PROD00130"/>
    <n v="1"/>
    <x v="8"/>
    <n v="12.31"/>
    <n v="12.31"/>
    <s v="Kite Glitter"/>
    <s v="SELL0047"/>
    <x v="0"/>
    <x v="16"/>
  </r>
  <r>
    <s v="ORD000255"/>
    <s v="PROD00388"/>
    <n v="1"/>
    <x v="0"/>
    <n v="110.1"/>
    <n v="110.1"/>
    <s v="Memory Foam Pillow Firm"/>
    <s v="SELL0091"/>
    <x v="6"/>
    <x v="30"/>
  </r>
  <r>
    <s v="ORD000256"/>
    <s v="PROD00136"/>
    <n v="1"/>
    <x v="8"/>
    <n v="20.309999999999999"/>
    <n v="20.309999999999999"/>
    <s v="Rainbow Kite - Light-Up"/>
    <s v="SELL0049"/>
    <x v="4"/>
    <x v="27"/>
  </r>
  <r>
    <s v="ORD000256"/>
    <s v="PROD00175"/>
    <n v="1"/>
    <x v="1"/>
    <n v="36.35"/>
    <n v="36.35"/>
    <s v="Pearl Earrings Stud"/>
    <s v="SELL0060"/>
    <x v="4"/>
    <x v="74"/>
  </r>
  <r>
    <s v="ORD000257"/>
    <s v="PROD00227"/>
    <n v="1"/>
    <x v="7"/>
    <n v="19.03"/>
    <n v="19.03"/>
    <s v="Tea Lovers Hamper Shapes Edition"/>
    <s v="SELL0073"/>
    <x v="2"/>
    <x v="58"/>
  </r>
  <r>
    <s v="ORD000258"/>
    <s v="PROD00035"/>
    <n v="1"/>
    <x v="8"/>
    <n v="17.940000000000001"/>
    <n v="17.940000000000001"/>
    <s v="Snorkel Set - Child"/>
    <s v="SELL0022"/>
    <x v="3"/>
    <x v="63"/>
  </r>
  <r>
    <s v="ORD000258"/>
    <s v="PROD00063"/>
    <n v="1"/>
    <x v="3"/>
    <n v="109.54"/>
    <n v="109.54"/>
    <s v="Wireless Keyboard Premium"/>
    <s v="SELL0033"/>
    <x v="2"/>
    <x v="59"/>
  </r>
  <r>
    <s v="ORD000258"/>
    <s v="PROD00236"/>
    <n v="1"/>
    <x v="5"/>
    <n v="34.22"/>
    <n v="34.22"/>
    <s v="Wool Beanie - Black"/>
    <s v="SELL0039"/>
    <x v="1"/>
    <x v="24"/>
  </r>
  <r>
    <s v="ORD000259"/>
    <s v="PROD00064"/>
    <n v="2"/>
    <x v="9"/>
    <n v="55.35"/>
    <n v="110.7"/>
    <s v="Blood Pressure Monitor (White)"/>
    <s v="SELL0034"/>
    <x v="0"/>
    <x v="60"/>
  </r>
  <r>
    <s v="ORD000259"/>
    <s v="PROD00421"/>
    <n v="1"/>
    <x v="6"/>
    <n v="66.94"/>
    <n v="66.94"/>
    <s v="paddling pool blue inflatable fishes"/>
    <s v="SELL0092"/>
    <x v="4"/>
    <x v="10"/>
  </r>
  <r>
    <s v="ORD000260"/>
    <s v="PROD00069"/>
    <n v="1"/>
    <x v="0"/>
    <n v="11.91"/>
    <n v="11.91"/>
    <s v="Scented Drawer Sachets Lavender"/>
    <s v="SELL0035"/>
    <x v="5"/>
    <x v="65"/>
  </r>
  <r>
    <s v="ORD000261"/>
    <s v="PROD00322"/>
    <n v="1"/>
    <x v="7"/>
    <n v="13.54"/>
    <n v="13.54"/>
    <s v="Bath Bomb Variety Pack (Rose lavender)"/>
    <s v="SELL0088"/>
    <x v="6"/>
    <x v="12"/>
  </r>
  <r>
    <s v="ORD000261"/>
    <s v="PROD00409"/>
    <n v="1"/>
    <x v="5"/>
    <n v="64.84"/>
    <n v="64.84"/>
    <s v="Portable Camping Chair (Blue)"/>
    <s v="SELL0092"/>
    <x v="4"/>
    <x v="10"/>
  </r>
  <r>
    <s v="ORD000262"/>
    <s v="PROD00093"/>
    <n v="1"/>
    <x v="4"/>
    <n v="12.88"/>
    <n v="12.88"/>
    <s v="Highlighter Set Pens Yellow"/>
    <s v="SELL0040"/>
    <x v="6"/>
    <x v="34"/>
  </r>
  <r>
    <s v="ORD000262"/>
    <s v="PROD00349"/>
    <n v="1"/>
    <x v="2"/>
    <n v="15.83"/>
    <n v="15.83"/>
    <s v="Hydrating Face Mist Vitamin E"/>
    <s v="SELL0083"/>
    <x v="3"/>
    <x v="64"/>
  </r>
  <r>
    <s v="ORD000262"/>
    <s v="PROD00365"/>
    <n v="1"/>
    <x v="0"/>
    <n v="29.46"/>
    <n v="29.46"/>
    <s v="Cotton Bath Towels Navy"/>
    <s v="SELL0090"/>
    <x v="6"/>
    <x v="53"/>
  </r>
  <r>
    <s v="ORD000263"/>
    <s v="PROD00130"/>
    <n v="1"/>
    <x v="8"/>
    <n v="12.31"/>
    <n v="12.31"/>
    <s v="Kite Glitter"/>
    <s v="SELL0047"/>
    <x v="0"/>
    <x v="16"/>
  </r>
  <r>
    <s v="ORD000263"/>
    <s v="PROD00344"/>
    <n v="1"/>
    <x v="9"/>
    <n v="60.93"/>
    <n v="60.93"/>
    <s v="Adjustable Dumbbell 25kg"/>
    <s v="SELL0051"/>
    <x v="0"/>
    <x v="19"/>
  </r>
  <r>
    <s v="ORD000264"/>
    <s v="PROD00088"/>
    <n v="1"/>
    <x v="5"/>
    <n v="27.88"/>
    <n v="27.88"/>
    <s v="Sports Socks - 5 pack"/>
    <s v="SELL0039"/>
    <x v="1"/>
    <x v="24"/>
  </r>
  <r>
    <s v="ORD000265"/>
    <s v="PROD00239"/>
    <n v="1"/>
    <x v="9"/>
    <n v="79.16"/>
    <n v="79.16"/>
    <s v="Heat Therapy Pad Reusable"/>
    <s v="SELL0076"/>
    <x v="1"/>
    <x v="39"/>
  </r>
  <r>
    <s v="ORD000266"/>
    <s v="PROD00128"/>
    <n v="1"/>
    <x v="7"/>
    <n v="37.340000000000003"/>
    <n v="37.340000000000003"/>
    <s v="Spa Pamper Gift Set For Him"/>
    <s v="SELL0046"/>
    <x v="6"/>
    <x v="45"/>
  </r>
  <r>
    <s v="ORD000267"/>
    <s v="PROD00028"/>
    <n v="1"/>
    <x v="4"/>
    <n v="8.39"/>
    <n v="8.39"/>
    <s v="Permanent markers 6 pack black"/>
    <s v="SELL0019"/>
    <x v="1"/>
    <x v="51"/>
  </r>
  <r>
    <s v="ORD000267"/>
    <s v="PROD00126"/>
    <n v="1"/>
    <x v="4"/>
    <n v="5.49"/>
    <n v="5.49"/>
    <s v="Whiteboard Markers 6pc"/>
    <s v="SELL0046"/>
    <x v="6"/>
    <x v="45"/>
  </r>
  <r>
    <s v="ORD000268"/>
    <s v="PROD00001"/>
    <n v="1"/>
    <x v="2"/>
    <n v="33.08"/>
    <n v="33.08"/>
    <s v="Hair Strengthening Mask shea butter 4 pack"/>
    <s v="SELL0001"/>
    <x v="4"/>
    <x v="52"/>
  </r>
  <r>
    <s v="ORD000268"/>
    <s v="PROD00128"/>
    <n v="1"/>
    <x v="7"/>
    <n v="37.340000000000003"/>
    <n v="37.340000000000003"/>
    <s v="Spa Pamper Gift Set For Him"/>
    <s v="SELL0046"/>
    <x v="6"/>
    <x v="45"/>
  </r>
  <r>
    <s v="ORD000269"/>
    <s v="PROD00228"/>
    <n v="1"/>
    <x v="0"/>
    <n v="64.55"/>
    <n v="64.55"/>
    <s v="Carbon Fiber Mug Set"/>
    <s v="SELL0074"/>
    <x v="0"/>
    <x v="17"/>
  </r>
  <r>
    <s v="ORD000269"/>
    <s v="PROD00327"/>
    <n v="1"/>
    <x v="7"/>
    <n v="24.26"/>
    <n v="24.26"/>
    <s v="Fruity Mango Bath Gel Gift Set"/>
    <s v="SELL0088"/>
    <x v="6"/>
    <x v="12"/>
  </r>
  <r>
    <s v="ORD000269"/>
    <s v="PROD00340"/>
    <n v="1"/>
    <x v="9"/>
    <n v="23.35"/>
    <n v="23.35"/>
    <s v="Adjustable Dumbbell 10kg"/>
    <s v="SELL0051"/>
    <x v="0"/>
    <x v="19"/>
  </r>
  <r>
    <s v="ORD000270"/>
    <s v="PROD00153"/>
    <n v="1"/>
    <x v="9"/>
    <n v="48.8"/>
    <n v="48.8"/>
    <s v="Digital Thermometer Battery Powered"/>
    <s v="SELL0054"/>
    <x v="5"/>
    <x v="82"/>
  </r>
  <r>
    <s v="ORD000271"/>
    <s v="PROD00012"/>
    <n v="2"/>
    <x v="4"/>
    <n v="7.06"/>
    <n v="14.12"/>
    <s v="Whiteboard Markers - 6 pack"/>
    <s v="SELL0010"/>
    <x v="4"/>
    <x v="4"/>
  </r>
  <r>
    <s v="ORD000272"/>
    <s v="PROD00169"/>
    <n v="1"/>
    <x v="1"/>
    <n v="31.11"/>
    <n v="31.11"/>
    <s v="Pearl Stud Earrings Cluster"/>
    <s v="SELL0058"/>
    <x v="1"/>
    <x v="7"/>
  </r>
  <r>
    <s v="ORD000272"/>
    <s v="PROD00313"/>
    <n v="1"/>
    <x v="3"/>
    <n v="63.84"/>
    <n v="63.84"/>
    <s v="Noise Cancelling Headphones (Black)"/>
    <s v="SELL0088"/>
    <x v="6"/>
    <x v="12"/>
  </r>
  <r>
    <s v="ORD000272"/>
    <s v="PROD00339"/>
    <n v="2"/>
    <x v="9"/>
    <n v="77.56"/>
    <n v="155.12"/>
    <s v="Yoga Mat - 10mm Thick (Green)"/>
    <s v="SELL0089"/>
    <x v="1"/>
    <x v="36"/>
  </r>
  <r>
    <s v="ORD000273"/>
    <s v="PROD00257"/>
    <n v="1"/>
    <x v="2"/>
    <n v="17.28"/>
    <n v="17.28"/>
    <s v="Face Mist Vitamin E"/>
    <s v="SELL0082"/>
    <x v="2"/>
    <x v="81"/>
  </r>
  <r>
    <s v="ORD000273"/>
    <s v="PROD00377"/>
    <n v="2"/>
    <x v="0"/>
    <n v="85.94"/>
    <n v="171.88"/>
    <s v="Adjustable Dumbbell 15kg"/>
    <s v="SELL0090"/>
    <x v="6"/>
    <x v="53"/>
  </r>
  <r>
    <s v="ORD000273"/>
    <s v="PROD00398"/>
    <n v="1"/>
    <x v="1"/>
    <n v="35.5"/>
    <n v="35.5"/>
    <s v="Pendant Necklace - Silver"/>
    <s v="SELL0092"/>
    <x v="4"/>
    <x v="10"/>
  </r>
  <r>
    <s v="ORD000275"/>
    <s v="PROD00259"/>
    <n v="2"/>
    <x v="2"/>
    <n v="22.28"/>
    <n v="44.56"/>
    <s v="Hair Strengthening Mask shea butter"/>
    <s v="SELL0082"/>
    <x v="2"/>
    <x v="81"/>
  </r>
  <r>
    <s v="ORD000276"/>
    <s v="PROD00058"/>
    <n v="1"/>
    <x v="8"/>
    <n v="36.26"/>
    <n v="36.26"/>
    <s v="Educational Puzzle - Jungle Animals"/>
    <s v="SELL0032"/>
    <x v="4"/>
    <x v="11"/>
  </r>
  <r>
    <s v="ORD000276"/>
    <s v="PROD00434"/>
    <n v="2"/>
    <x v="9"/>
    <n v="24.44"/>
    <n v="48.88"/>
    <s v="Hand Grip Strengthener (Grey)"/>
    <s v="SELL0051"/>
    <x v="0"/>
    <x v="19"/>
  </r>
  <r>
    <s v="ORD000277"/>
    <s v="PROD00240"/>
    <n v="1"/>
    <x v="6"/>
    <n v="51.74"/>
    <n v="51.74"/>
    <s v="Garden Ornament Frog"/>
    <s v="SELL0077"/>
    <x v="5"/>
    <x v="8"/>
  </r>
  <r>
    <s v="ORD000278"/>
    <s v="PROD00158"/>
    <n v="1"/>
    <x v="3"/>
    <n v="88.29"/>
    <n v="88.29"/>
    <s v="LED Light Bulb Reusable"/>
    <s v="SELL0057"/>
    <x v="6"/>
    <x v="48"/>
  </r>
  <r>
    <s v="ORD000278"/>
    <s v="PROD00340"/>
    <n v="1"/>
    <x v="9"/>
    <n v="23.35"/>
    <n v="23.35"/>
    <s v="Adjustable Dumbbell 10kg"/>
    <s v="SELL0051"/>
    <x v="0"/>
    <x v="19"/>
  </r>
  <r>
    <s v="ORD000279"/>
    <s v="PROD00277"/>
    <n v="2"/>
    <x v="5"/>
    <n v="37.99"/>
    <n v="75.98"/>
    <s v="Cotton T Black Small"/>
    <s v="SELL0086"/>
    <x v="4"/>
    <x v="6"/>
  </r>
  <r>
    <s v="ORD000280"/>
    <s v="PROD00348"/>
    <n v="1"/>
    <x v="9"/>
    <n v="34.46"/>
    <n v="34.46"/>
    <s v="Protein Shaker Bottle 600ml"/>
    <s v="SELL0066"/>
    <x v="4"/>
    <x v="21"/>
  </r>
  <r>
    <s v="ORD000281"/>
    <s v="PROD00108"/>
    <n v="1"/>
    <x v="0"/>
    <n v="91.41"/>
    <n v="91.41"/>
    <s v="Premium Soy Candle Orange Blossom"/>
    <s v="SELL0042"/>
    <x v="3"/>
    <x v="14"/>
  </r>
  <r>
    <s v="ORD000281"/>
    <s v="PROD00334"/>
    <n v="1"/>
    <x v="9"/>
    <n v="75.05"/>
    <n v="75.05"/>
    <s v="Blood Pressure Monitor bluetooth"/>
    <s v="SELL0089"/>
    <x v="1"/>
    <x v="36"/>
  </r>
  <r>
    <s v="ORD000282"/>
    <s v="PROD00100"/>
    <n v="1"/>
    <x v="1"/>
    <n v="58.45"/>
    <n v="58.45"/>
    <s v="Pearl Stud Earrings Genuine Pearl"/>
    <s v="SELL0041"/>
    <x v="0"/>
    <x v="26"/>
  </r>
  <r>
    <s v="ORD000282"/>
    <s v="PROD00101"/>
    <n v="1"/>
    <x v="7"/>
    <n v="32.44"/>
    <n v="32.44"/>
    <s v="Dark Chocolate Selection Box"/>
    <s v="SELL0041"/>
    <x v="0"/>
    <x v="26"/>
  </r>
  <r>
    <s v="ORD000283"/>
    <s v="PROD00103"/>
    <n v="2"/>
    <x v="5"/>
    <n v="39.99"/>
    <n v="79.98"/>
    <s v="Cotton T‑Shirt Green XL"/>
    <s v="SELL0041"/>
    <x v="0"/>
    <x v="26"/>
  </r>
  <r>
    <s v="ORD000283"/>
    <s v="PROD00229"/>
    <n v="1"/>
    <x v="2"/>
    <n v="32.19"/>
    <n v="32.19"/>
    <s v="Makeup Sponge Pack Orange"/>
    <s v="SELL0074"/>
    <x v="0"/>
    <x v="17"/>
  </r>
  <r>
    <s v="ORD000284"/>
    <s v="PROD00015"/>
    <n v="1"/>
    <x v="6"/>
    <n v="48.06"/>
    <n v="48.06"/>
    <s v="Garden Lights 4 pack Solar Power"/>
    <s v="SELL0014"/>
    <x v="5"/>
    <x v="49"/>
  </r>
  <r>
    <s v="ORD000285"/>
    <s v="PROD00377"/>
    <n v="1"/>
    <x v="0"/>
    <n v="85.94"/>
    <n v="85.94"/>
    <s v="Adjustable Dumbbell 15kg"/>
    <s v="SELL0090"/>
    <x v="6"/>
    <x v="53"/>
  </r>
  <r>
    <s v="ORD000286"/>
    <s v="PROD00047"/>
    <n v="1"/>
    <x v="3"/>
    <n v="89.8"/>
    <n v="89.8"/>
    <s v="Wireless Keyboard (Navy)"/>
    <s v="SELL0026"/>
    <x v="2"/>
    <x v="66"/>
  </r>
  <r>
    <s v="ORD000286"/>
    <s v="PROD00091"/>
    <n v="1"/>
    <x v="5"/>
    <n v="27.76"/>
    <n v="27.76"/>
    <s v="T‑Shirt XL Polycotton Black"/>
    <s v="SELL0039"/>
    <x v="1"/>
    <x v="24"/>
  </r>
  <r>
    <s v="ORD000286"/>
    <s v="PROD00264"/>
    <n v="2"/>
    <x v="2"/>
    <n v="32.26"/>
    <n v="64.52"/>
    <s v="Vitamin C Serum 50ml"/>
    <s v="SELL0084"/>
    <x v="2"/>
    <x v="35"/>
  </r>
  <r>
    <s v="ORD000287"/>
    <s v="PROD00113"/>
    <n v="1"/>
    <x v="5"/>
    <n v="53.5"/>
    <n v="53.5"/>
    <s v="Rain Jacket Red XS"/>
    <s v="SELL0043"/>
    <x v="3"/>
    <x v="37"/>
  </r>
  <r>
    <s v="ORD000287"/>
    <s v="PROD00190"/>
    <n v="1"/>
    <x v="1"/>
    <n v="48.51"/>
    <n v="48.51"/>
    <s v="Jewellery Gift Box Clear Plastic 6 compartment"/>
    <s v="SELL0062"/>
    <x v="1"/>
    <x v="1"/>
  </r>
  <r>
    <s v="ORD000288"/>
    <s v="PROD00108"/>
    <n v="1"/>
    <x v="0"/>
    <n v="91.41"/>
    <n v="91.41"/>
    <s v="Premium Soy Candle Orange Blossom"/>
    <s v="SELL0042"/>
    <x v="3"/>
    <x v="14"/>
  </r>
  <r>
    <s v="ORD000289"/>
    <s v="PROD00274"/>
    <n v="1"/>
    <x v="5"/>
    <n v="36.49"/>
    <n v="36.49"/>
    <s v="Cotton T‑Shirt Green S"/>
    <s v="SELL0086"/>
    <x v="4"/>
    <x v="6"/>
  </r>
  <r>
    <s v="ORD000289"/>
    <s v="PROD00308"/>
    <n v="1"/>
    <x v="3"/>
    <n v="63.84"/>
    <n v="63.84"/>
    <s v="Noise Cancelling Headphones (Red)"/>
    <s v="SELL0088"/>
    <x v="6"/>
    <x v="12"/>
  </r>
  <r>
    <s v="ORD000290"/>
    <s v="PROD00109"/>
    <n v="1"/>
    <x v="1"/>
    <n v="13.16"/>
    <n v="13.16"/>
    <s v="Sterling Silver Necklace"/>
    <s v="SELL0042"/>
    <x v="3"/>
    <x v="14"/>
  </r>
  <r>
    <s v="ORD000290"/>
    <s v="PROD00110"/>
    <n v="1"/>
    <x v="2"/>
    <n v="15.99"/>
    <n v="15.99"/>
    <s v="Organic Lip Balm - Cherry"/>
    <s v="SELL0043"/>
    <x v="3"/>
    <x v="37"/>
  </r>
  <r>
    <s v="ORD000291"/>
    <s v="PROD00244"/>
    <n v="2"/>
    <x v="7"/>
    <n v="34.36"/>
    <n v="68.72"/>
    <s v="Spa Pamper Gift Set Relaxing Calm"/>
    <s v="SELL0078"/>
    <x v="6"/>
    <x v="42"/>
  </r>
  <r>
    <s v="ORD000292"/>
    <s v="PROD00238"/>
    <n v="1"/>
    <x v="8"/>
    <n v="26.73"/>
    <n v="26.73"/>
    <s v="Skipping Rope"/>
    <s v="SELL0076"/>
    <x v="1"/>
    <x v="39"/>
  </r>
  <r>
    <s v="ORD000293"/>
    <s v="PROD00229"/>
    <n v="1"/>
    <x v="2"/>
    <n v="32.19"/>
    <n v="32.19"/>
    <s v="Makeup Sponge Pack Orange"/>
    <s v="SELL0074"/>
    <x v="0"/>
    <x v="17"/>
  </r>
  <r>
    <s v="ORD000293"/>
    <s v="PROD00351"/>
    <n v="1"/>
    <x v="2"/>
    <n v="17.829999999999998"/>
    <n v="17.829999999999998"/>
    <s v="Aloe Vera Gel 500ml"/>
    <s v="SELL0083"/>
    <x v="3"/>
    <x v="64"/>
  </r>
  <r>
    <s v="ORD000294"/>
    <s v="PROD00140"/>
    <n v="1"/>
    <x v="3"/>
    <n v="81.81"/>
    <n v="81.81"/>
    <s v="Wireless Bluetooth Earbuds"/>
    <s v="SELL0049"/>
    <x v="4"/>
    <x v="27"/>
  </r>
  <r>
    <s v="ORD000295"/>
    <s v="PROD00046"/>
    <n v="1"/>
    <x v="5"/>
    <n v="54.17"/>
    <n v="54.17"/>
    <s v="Unisex Hoodie - Black XXXL"/>
    <s v="SELL0025"/>
    <x v="4"/>
    <x v="79"/>
  </r>
  <r>
    <s v="ORD000296"/>
    <s v="PROD00320"/>
    <n v="2"/>
    <x v="7"/>
    <n v="33.89"/>
    <n v="67.78"/>
    <s v="Mini Plant Starter Kit (Lily)"/>
    <s v="SELL0088"/>
    <x v="6"/>
    <x v="12"/>
  </r>
  <r>
    <s v="ORD000296"/>
    <s v="PROD00367"/>
    <n v="2"/>
    <x v="0"/>
    <n v="29.92"/>
    <n v="59.84"/>
    <s v="LED Floor Lamp Battery"/>
    <s v="SELL0090"/>
    <x v="6"/>
    <x v="53"/>
  </r>
  <r>
    <s v="ORD000296"/>
    <s v="PROD00387"/>
    <n v="1"/>
    <x v="0"/>
    <n v="21.89"/>
    <n v="21.89"/>
    <s v="Decorative Cushion - Blue 60 x 60"/>
    <s v="SELL0091"/>
    <x v="6"/>
    <x v="30"/>
  </r>
  <r>
    <s v="ORD000297"/>
    <s v="PROD00168"/>
    <n v="2"/>
    <x v="1"/>
    <n v="33.36"/>
    <n v="66.72"/>
    <s v="Pearl Stud Earrings"/>
    <s v="SELL0058"/>
    <x v="1"/>
    <x v="7"/>
  </r>
  <r>
    <s v="ORD000298"/>
    <s v="PROD00103"/>
    <n v="2"/>
    <x v="5"/>
    <n v="39.99"/>
    <n v="79.98"/>
    <s v="Cotton T‑Shirt Green XL"/>
    <s v="SELL0041"/>
    <x v="0"/>
    <x v="26"/>
  </r>
  <r>
    <s v="ORD000298"/>
    <s v="PROD00228"/>
    <n v="1"/>
    <x v="0"/>
    <n v="64.55"/>
    <n v="64.55"/>
    <s v="Carbon Fiber Mug Set"/>
    <s v="SELL0074"/>
    <x v="0"/>
    <x v="17"/>
  </r>
  <r>
    <s v="ORD000299"/>
    <s v="PROD00135"/>
    <n v="6"/>
    <x v="6"/>
    <n v="48.81"/>
    <n v="292.86"/>
    <s v="Garden Light Sun Powered No Recharge"/>
    <s v="SELL0048"/>
    <x v="4"/>
    <x v="61"/>
  </r>
  <r>
    <s v="ORD000300"/>
    <s v="PROD00136"/>
    <n v="1"/>
    <x v="8"/>
    <n v="20.309999999999999"/>
    <n v="20.309999999999999"/>
    <s v="Rainbow Kite - Light-Up"/>
    <s v="SELL0049"/>
    <x v="4"/>
    <x v="27"/>
  </r>
  <r>
    <s v="ORD000300"/>
    <s v="PROD00303"/>
    <n v="1"/>
    <x v="3"/>
    <n v="66.33"/>
    <n v="66.33"/>
    <s v="Smart Home Hub (Green) 2023"/>
    <s v="SELL0024"/>
    <x v="4"/>
    <x v="32"/>
  </r>
  <r>
    <s v="ORD000300"/>
    <s v="PROD00316"/>
    <n v="1"/>
    <x v="3"/>
    <n v="36.57"/>
    <n v="36.57"/>
    <s v="Portable Power Bank 10,000mAh (White)"/>
    <s v="SELL0088"/>
    <x v="6"/>
    <x v="12"/>
  </r>
  <r>
    <s v="ORD000301"/>
    <s v="PROD00431"/>
    <n v="1"/>
    <x v="6"/>
    <n v="55.99"/>
    <n v="55.99"/>
    <s v="Garden Hose 20m (Grey)"/>
    <s v="SELL0093"/>
    <x v="0"/>
    <x v="25"/>
  </r>
  <r>
    <s v="ORD000302"/>
    <s v="PROD00035"/>
    <n v="1"/>
    <x v="8"/>
    <n v="17.940000000000001"/>
    <n v="17.940000000000001"/>
    <s v="Snorkel Set - Child"/>
    <s v="SELL0022"/>
    <x v="3"/>
    <x v="63"/>
  </r>
  <r>
    <s v="ORD000303"/>
    <s v="PROD00044"/>
    <n v="1"/>
    <x v="5"/>
    <n v="54.17"/>
    <n v="54.17"/>
    <s v="Unisex Hoodie - Blue XXXL"/>
    <s v="SELL0023"/>
    <x v="4"/>
    <x v="56"/>
  </r>
  <r>
    <s v="ORD000303"/>
    <s v="PROD00172"/>
    <n v="1"/>
    <x v="7"/>
    <n v="29.98"/>
    <n v="29.98"/>
    <s v="Coffee Sampler Pack"/>
    <s v="SELL0058"/>
    <x v="1"/>
    <x v="7"/>
  </r>
  <r>
    <s v="ORD000304"/>
    <s v="PROD00016"/>
    <n v="1"/>
    <x v="6"/>
    <n v="73.55"/>
    <n v="73.55"/>
    <s v="Stainless Steel Grill Basket XL"/>
    <s v="SELL0015"/>
    <x v="2"/>
    <x v="68"/>
  </r>
  <r>
    <s v="ORD000305"/>
    <s v="PROD00213"/>
    <n v="1"/>
    <x v="1"/>
    <n v="52.35"/>
    <n v="52.35"/>
    <s v="Sterling Silver 925 Stud Earrings Pair Ladybird"/>
    <s v="SELL0063"/>
    <x v="7"/>
    <x v="38"/>
  </r>
  <r>
    <s v="ORD000306"/>
    <s v="PROD00047"/>
    <n v="1"/>
    <x v="3"/>
    <n v="89.8"/>
    <n v="89.8"/>
    <s v="Wireless Keyboard (Navy)"/>
    <s v="SELL0026"/>
    <x v="2"/>
    <x v="66"/>
  </r>
  <r>
    <s v="ORD000306"/>
    <s v="PROD00277"/>
    <n v="2"/>
    <x v="5"/>
    <n v="37.99"/>
    <n v="75.98"/>
    <s v="Cotton T Black Small"/>
    <s v="SELL0086"/>
    <x v="4"/>
    <x v="6"/>
  </r>
  <r>
    <s v="ORD000306"/>
    <s v="PROD00458"/>
    <n v="1"/>
    <x v="8"/>
    <n v="21.04"/>
    <n v="21.04"/>
    <s v="Talking doll happy smile matching outfit"/>
    <s v="SELL0095"/>
    <x v="6"/>
    <x v="28"/>
  </r>
  <r>
    <s v="ORD000307"/>
    <s v="PROD00109"/>
    <n v="2"/>
    <x v="1"/>
    <n v="13.16"/>
    <n v="26.32"/>
    <s v="Sterling Silver Necklace"/>
    <s v="SELL0042"/>
    <x v="3"/>
    <x v="14"/>
  </r>
  <r>
    <s v="ORD000307"/>
    <s v="PROD00346"/>
    <n v="1"/>
    <x v="9"/>
    <n v="32.93"/>
    <n v="32.93"/>
    <s v="Protein Shaker Bottle 500ml"/>
    <s v="SELL0051"/>
    <x v="0"/>
    <x v="19"/>
  </r>
  <r>
    <s v="ORD000308"/>
    <s v="PROD00111"/>
    <n v="1"/>
    <x v="5"/>
    <n v="37.79"/>
    <n v="37.79"/>
    <s v="Kids Cotton Pyjamas 18month"/>
    <s v="SELL0043"/>
    <x v="3"/>
    <x v="37"/>
  </r>
  <r>
    <s v="ORD000308"/>
    <s v="PROD00298"/>
    <n v="1"/>
    <x v="3"/>
    <n v="63.55"/>
    <n v="63.55"/>
    <s v="Smart Home Hub (Navy) 2023"/>
    <s v="SELL0024"/>
    <x v="4"/>
    <x v="32"/>
  </r>
  <r>
    <s v="ORD000308"/>
    <s v="PROD00457"/>
    <n v="1"/>
    <x v="8"/>
    <n v="24.92"/>
    <n v="24.92"/>
    <s v="building blocks 800 pc"/>
    <s v="SELL0095"/>
    <x v="6"/>
    <x v="28"/>
  </r>
  <r>
    <s v="ORD000309"/>
    <s v="PROD00252"/>
    <n v="1"/>
    <x v="5"/>
    <n v="56.67"/>
    <n v="56.67"/>
    <s v="Men’s Chino Shorts M"/>
    <s v="SELL0081"/>
    <x v="1"/>
    <x v="43"/>
  </r>
  <r>
    <s v="ORD000310"/>
    <s v="PROD00375"/>
    <n v="1"/>
    <x v="0"/>
    <n v="16.88"/>
    <n v="16.88"/>
    <s v="Scented Soy Candle - Oud"/>
    <s v="SELL0027"/>
    <x v="1"/>
    <x v="18"/>
  </r>
  <r>
    <s v="ORD000311"/>
    <s v="PROD00438"/>
    <n v="1"/>
    <x v="6"/>
    <n v="54.41"/>
    <n v="54.41"/>
    <s v="BBQ Grill Mat - Non‑stick (Navy)"/>
    <s v="SELL0093"/>
    <x v="0"/>
    <x v="25"/>
  </r>
  <r>
    <s v="ORD000312"/>
    <s v="PROD00393"/>
    <n v="1"/>
    <x v="1"/>
    <n v="49.13"/>
    <n v="49.13"/>
    <s v="Ring Set (Rose Gold)"/>
    <s v="SELL0092"/>
    <x v="4"/>
    <x v="10"/>
  </r>
  <r>
    <s v="ORD000312"/>
    <s v="PROD00441"/>
    <n v="1"/>
    <x v="6"/>
    <n v="26.7"/>
    <n v="26.7"/>
    <s v="Waterproof Picnic Mat"/>
    <s v="SELL0094"/>
    <x v="3"/>
    <x v="41"/>
  </r>
  <r>
    <s v="ORD000313"/>
    <s v="PROD00428"/>
    <n v="1"/>
    <x v="6"/>
    <n v="114.11"/>
    <n v="114.11"/>
    <s v="Compact Hiking Backpack 20L (Blue)"/>
    <s v="SELL0093"/>
    <x v="0"/>
    <x v="25"/>
  </r>
  <r>
    <s v="ORD000314"/>
    <s v="PROD00214"/>
    <n v="1"/>
    <x v="6"/>
    <n v="32.67"/>
    <n v="32.67"/>
    <s v="Snorkel Set - Adult Small"/>
    <s v="SELL0070"/>
    <x v="1"/>
    <x v="22"/>
  </r>
  <r>
    <s v="ORD000315"/>
    <s v="PROD00409"/>
    <n v="1"/>
    <x v="5"/>
    <n v="64.84"/>
    <n v="64.84"/>
    <s v="Portable Camping Chair (Blue)"/>
    <s v="SELL0092"/>
    <x v="4"/>
    <x v="10"/>
  </r>
  <r>
    <s v="ORD000316"/>
    <s v="PROD00038"/>
    <n v="1"/>
    <x v="6"/>
    <n v="45.46"/>
    <n v="45.46"/>
    <s v="Outdoor Oven Gloves (Pink)"/>
    <s v="SELL0022"/>
    <x v="3"/>
    <x v="63"/>
  </r>
  <r>
    <s v="ORD000316"/>
    <s v="PROD00201"/>
    <n v="1"/>
    <x v="6"/>
    <n v="72.790000000000006"/>
    <n v="72.790000000000006"/>
    <s v="BBQ Cleaning Brush XXL"/>
    <s v="SELL0067"/>
    <x v="3"/>
    <x v="3"/>
  </r>
  <r>
    <s v="ORD000317"/>
    <s v="PROD00021"/>
    <n v="1"/>
    <x v="6"/>
    <n v="113.99"/>
    <n v="113.99"/>
    <s v="Garden Lights 10 pack Solar Power"/>
    <s v="SELL0017"/>
    <x v="1"/>
    <x v="9"/>
  </r>
  <r>
    <s v="ORD000318"/>
    <s v="PROD00333"/>
    <n v="1"/>
    <x v="7"/>
    <n v="32.299999999999997"/>
    <n v="32.299999999999997"/>
    <s v="Mens Cologne Gift Set Tester Bottles"/>
    <s v="SELL0088"/>
    <x v="6"/>
    <x v="12"/>
  </r>
  <r>
    <s v="ORD000318"/>
    <s v="PROD00404"/>
    <n v="1"/>
    <x v="6"/>
    <n v="81.02"/>
    <n v="81.02"/>
    <s v="BBQ Meat Thermometer Bluetooth"/>
    <s v="SELL0092"/>
    <x v="4"/>
    <x v="10"/>
  </r>
  <r>
    <s v="ORD000319"/>
    <s v="PROD00017"/>
    <n v="1"/>
    <x v="6"/>
    <n v="13.71"/>
    <n v="13.71"/>
    <s v="BBQ Skewers - 12 pack (Bamboo)"/>
    <s v="SELL0016"/>
    <x v="6"/>
    <x v="55"/>
  </r>
  <r>
    <s v="ORD000319"/>
    <s v="PROD00066"/>
    <n v="1"/>
    <x v="6"/>
    <n v="21.37"/>
    <n v="21.37"/>
    <s v="BBQ Meat Thermometer Battery Powered"/>
    <s v="SELL0034"/>
    <x v="0"/>
    <x v="60"/>
  </r>
  <r>
    <s v="ORD000319"/>
    <s v="PROD00443"/>
    <n v="2"/>
    <x v="6"/>
    <n v="80.069999999999993"/>
    <n v="160.13999999999999"/>
    <s v="BBQ Apron - Blue"/>
    <s v="SELL0094"/>
    <x v="3"/>
    <x v="41"/>
  </r>
  <r>
    <s v="ORD000320"/>
    <s v="PROD00219"/>
    <n v="1"/>
    <x v="6"/>
    <n v="74.39"/>
    <n v="74.39"/>
    <s v="Waterproof Picnic Mat Tartan"/>
    <s v="SELL0072"/>
    <x v="5"/>
    <x v="75"/>
  </r>
  <r>
    <s v="ORD000321"/>
    <s v="PROD00214"/>
    <n v="1"/>
    <x v="6"/>
    <n v="32.67"/>
    <n v="32.67"/>
    <s v="Snorkel Set - Adult Small"/>
    <s v="SELL0070"/>
    <x v="1"/>
    <x v="22"/>
  </r>
  <r>
    <s v="ORD000321"/>
    <s v="PROD00232"/>
    <n v="1"/>
    <x v="6"/>
    <n v="75.099999999999994"/>
    <n v="75.099999999999994"/>
    <s v="BBQ - Charcoal"/>
    <s v="SELL0075"/>
    <x v="2"/>
    <x v="2"/>
  </r>
  <r>
    <s v="ORD000322"/>
    <s v="PROD00031"/>
    <n v="2"/>
    <x v="6"/>
    <n v="43.27"/>
    <n v="86.54"/>
    <s v="Solar Garden Light Set (4 pack)"/>
    <s v="SELL0021"/>
    <x v="4"/>
    <x v="57"/>
  </r>
  <r>
    <s v="ORD000322"/>
    <s v="PROD00074"/>
    <n v="1"/>
    <x v="6"/>
    <n v="49.99"/>
    <n v="49.99"/>
    <s v="Wood Chips Smoked Mesquite Premium"/>
    <s v="SELL0036"/>
    <x v="0"/>
    <x v="0"/>
  </r>
  <r>
    <s v="ORD000322"/>
    <s v="PROD00244"/>
    <n v="1"/>
    <x v="7"/>
    <n v="34.36"/>
    <n v="34.36"/>
    <s v="Spa Pamper Gift Set Relaxing Calm"/>
    <s v="SELL0078"/>
    <x v="6"/>
    <x v="42"/>
  </r>
  <r>
    <s v="ORD000323"/>
    <s v="PROD00380"/>
    <n v="1"/>
    <x v="0"/>
    <n v="18.559999999999999"/>
    <n v="18.559999999999999"/>
    <s v="LED Floor Lamp"/>
    <s v="SELL0091"/>
    <x v="6"/>
    <x v="30"/>
  </r>
  <r>
    <s v="ORD000324"/>
    <s v="PROD00017"/>
    <n v="1"/>
    <x v="6"/>
    <n v="13.71"/>
    <n v="13.71"/>
    <s v="BBQ Skewers - 12 pack (Bamboo)"/>
    <s v="SELL0016"/>
    <x v="6"/>
    <x v="55"/>
  </r>
  <r>
    <s v="ORD000324"/>
    <s v="PROD00188"/>
    <n v="1"/>
    <x v="6"/>
    <n v="110.01"/>
    <n v="110.01"/>
    <s v="Waterproof Mat"/>
    <s v="SELL0062"/>
    <x v="1"/>
    <x v="1"/>
  </r>
  <r>
    <s v="ORD000325"/>
    <s v="PROD00170"/>
    <n v="1"/>
    <x v="6"/>
    <n v="75.239999999999995"/>
    <n v="75.239999999999995"/>
    <s v="Ice bucket outdoor beers garden picnic"/>
    <s v="SELL0058"/>
    <x v="1"/>
    <x v="7"/>
  </r>
  <r>
    <s v="ORD000325"/>
    <s v="PROD00215"/>
    <n v="1"/>
    <x v="0"/>
    <n v="19.989999999999998"/>
    <n v="19.989999999999998"/>
    <s v="Drawer Organiser 5 sections"/>
    <s v="SELL0070"/>
    <x v="1"/>
    <x v="22"/>
  </r>
  <r>
    <s v="ORD000325"/>
    <s v="PROD00232"/>
    <n v="1"/>
    <x v="6"/>
    <n v="75.099999999999994"/>
    <n v="75.099999999999994"/>
    <s v="BBQ - Charcoal"/>
    <s v="SELL0075"/>
    <x v="2"/>
    <x v="2"/>
  </r>
  <r>
    <s v="ORD000325"/>
    <s v="PROD00388"/>
    <n v="1"/>
    <x v="0"/>
    <n v="110.1"/>
    <n v="110.1"/>
    <s v="Memory Foam Pillow Firm"/>
    <s v="SELL0091"/>
    <x v="6"/>
    <x v="30"/>
  </r>
  <r>
    <s v="ORD000326"/>
    <s v="PROD00017"/>
    <n v="1"/>
    <x v="6"/>
    <n v="13.71"/>
    <n v="13.71"/>
    <s v="BBQ Skewers - 12 pack (Bamboo)"/>
    <s v="SELL0016"/>
    <x v="6"/>
    <x v="55"/>
  </r>
  <r>
    <s v="ORD000326"/>
    <s v="PROD00037"/>
    <n v="1"/>
    <x v="6"/>
    <n v="24.22"/>
    <n v="24.22"/>
    <s v="Outdoor Oven Gloves (Red)"/>
    <s v="SELL0022"/>
    <x v="3"/>
    <x v="63"/>
  </r>
  <r>
    <s v="ORD000326"/>
    <s v="PROD00107"/>
    <n v="1"/>
    <x v="5"/>
    <n v="41.73"/>
    <n v="41.73"/>
    <s v="Rain Jacket Red L"/>
    <s v="SELL0042"/>
    <x v="3"/>
    <x v="14"/>
  </r>
  <r>
    <s v="ORD000326"/>
    <s v="PROD00323"/>
    <n v="2"/>
    <x v="7"/>
    <n v="21.81"/>
    <n v="43.62"/>
    <s v="White Chocolate Selection Box"/>
    <s v="SELL0088"/>
    <x v="6"/>
    <x v="12"/>
  </r>
  <r>
    <s v="ORD000326"/>
    <s v="PROD00438"/>
    <n v="2"/>
    <x v="6"/>
    <n v="54.41"/>
    <n v="108.82"/>
    <s v="BBQ Grill Mat - Non‑stick (Navy)"/>
    <s v="SELL0093"/>
    <x v="0"/>
    <x v="25"/>
  </r>
  <r>
    <s v="ORD000327"/>
    <s v="PROD00176"/>
    <n v="1"/>
    <x v="6"/>
    <n v="34.86"/>
    <n v="34.86"/>
    <s v="Steel Grill Basket"/>
    <s v="SELL0060"/>
    <x v="4"/>
    <x v="74"/>
  </r>
  <r>
    <s v="ORD000328"/>
    <s v="PROD00073"/>
    <n v="1"/>
    <x v="6"/>
    <n v="31.66"/>
    <n v="31.66"/>
    <s v="Wood Chips - Oak"/>
    <s v="SELL0035"/>
    <x v="5"/>
    <x v="65"/>
  </r>
  <r>
    <s v="ORD000328"/>
    <s v="PROD00257"/>
    <n v="2"/>
    <x v="2"/>
    <n v="17.28"/>
    <n v="34.56"/>
    <s v="Face Mist Vitamin E"/>
    <s v="SELL0082"/>
    <x v="2"/>
    <x v="81"/>
  </r>
  <r>
    <s v="ORD000328"/>
    <s v="PROD00323"/>
    <n v="1"/>
    <x v="7"/>
    <n v="21.81"/>
    <n v="21.81"/>
    <s v="White Chocolate Selection Box"/>
    <s v="SELL0088"/>
    <x v="6"/>
    <x v="12"/>
  </r>
  <r>
    <s v="ORD000329"/>
    <s v="PROD00104"/>
    <n v="1"/>
    <x v="6"/>
    <n v="44.42"/>
    <n v="44.42"/>
    <s v="OutdoorOven Oven Gloves (Green)"/>
    <s v="SELL0041"/>
    <x v="0"/>
    <x v="26"/>
  </r>
  <r>
    <s v="ORD000330"/>
    <s v="PROD00020"/>
    <n v="2"/>
    <x v="6"/>
    <n v="15.05"/>
    <n v="30.1"/>
    <s v="BBQ Skewers - 12 pack (Stainless Steel)"/>
    <s v="SELL0009"/>
    <x v="1"/>
    <x v="69"/>
  </r>
  <r>
    <s v="ORD000330"/>
    <s v="PROD00301"/>
    <n v="1"/>
    <x v="5"/>
    <n v="53.17"/>
    <n v="53.17"/>
    <s v="Unisex Hoodie - Grey L"/>
    <s v="SELL0039"/>
    <x v="1"/>
    <x v="24"/>
  </r>
  <r>
    <s v="ORD000330"/>
    <s v="PROD00444"/>
    <n v="2"/>
    <x v="6"/>
    <n v="20.55"/>
    <n v="41.1"/>
    <s v="Stainless Steel Grill Basket"/>
    <s v="SELL0094"/>
    <x v="3"/>
    <x v="41"/>
  </r>
  <r>
    <s v="ORD000331"/>
    <s v="PROD00159"/>
    <n v="1"/>
    <x v="8"/>
    <n v="13.7"/>
    <n v="13.7"/>
    <s v="Kids Paint Kit (Blue)"/>
    <s v="SELL0047"/>
    <x v="0"/>
    <x v="16"/>
  </r>
  <r>
    <s v="ORD000331"/>
    <s v="PROD00214"/>
    <n v="1"/>
    <x v="6"/>
    <n v="32.67"/>
    <n v="32.67"/>
    <s v="Snorkel Set - Adult Small"/>
    <s v="SELL0070"/>
    <x v="1"/>
    <x v="22"/>
  </r>
  <r>
    <s v="ORD000331"/>
    <s v="PROD00405"/>
    <n v="1"/>
    <x v="6"/>
    <n v="99.85"/>
    <n v="99.85"/>
    <s v="Turtle Ornament Garden"/>
    <s v="SELL0092"/>
    <x v="4"/>
    <x v="10"/>
  </r>
  <r>
    <s v="ORD000332"/>
    <s v="PROD00176"/>
    <n v="1"/>
    <x v="6"/>
    <n v="34.86"/>
    <n v="34.86"/>
    <s v="Steel Grill Basket"/>
    <s v="SELL0060"/>
    <x v="4"/>
    <x v="74"/>
  </r>
  <r>
    <s v="ORD000332"/>
    <s v="PROD00214"/>
    <n v="1"/>
    <x v="6"/>
    <n v="32.67"/>
    <n v="32.67"/>
    <s v="Snorkel Set - Adult Small"/>
    <s v="SELL0070"/>
    <x v="1"/>
    <x v="22"/>
  </r>
  <r>
    <s v="ORD000332"/>
    <s v="PROD00410"/>
    <n v="1"/>
    <x v="6"/>
    <n v="97.96"/>
    <n v="97.96"/>
    <s v="Portable Camping Chair (Yellow)"/>
    <s v="SELL0092"/>
    <x v="4"/>
    <x v="10"/>
  </r>
  <r>
    <s v="ORD000333"/>
    <s v="PROD00014"/>
    <n v="2"/>
    <x v="6"/>
    <n v="46.45"/>
    <n v="92.9"/>
    <s v="Waterproof Picnic Mat 100x100"/>
    <s v="SELL0012"/>
    <x v="3"/>
    <x v="70"/>
  </r>
  <r>
    <s v="ORD000333"/>
    <s v="PROD00107"/>
    <n v="1"/>
    <x v="5"/>
    <n v="41.73"/>
    <n v="41.73"/>
    <s v="Rain Jacket Red L"/>
    <s v="SELL0042"/>
    <x v="3"/>
    <x v="14"/>
  </r>
  <r>
    <s v="ORD000333"/>
    <s v="PROD00214"/>
    <n v="2"/>
    <x v="6"/>
    <n v="32.67"/>
    <n v="65.34"/>
    <s v="Snorkel Set - Adult Small"/>
    <s v="SELL0070"/>
    <x v="1"/>
    <x v="22"/>
  </r>
  <r>
    <s v="ORD000334"/>
    <s v="PROD00015"/>
    <n v="1"/>
    <x v="6"/>
    <n v="48.06"/>
    <n v="48.06"/>
    <s v="Garden Lights 4 pack Solar Power"/>
    <s v="SELL0014"/>
    <x v="5"/>
    <x v="49"/>
  </r>
  <r>
    <s v="ORD000334"/>
    <s v="PROD00037"/>
    <n v="1"/>
    <x v="6"/>
    <n v="24.22"/>
    <n v="24.22"/>
    <s v="Outdoor Oven Gloves (Red)"/>
    <s v="SELL0022"/>
    <x v="3"/>
    <x v="63"/>
  </r>
  <r>
    <s v="ORD000334"/>
    <s v="PROD00200"/>
    <n v="1"/>
    <x v="6"/>
    <n v="30.95"/>
    <n v="30.95"/>
    <s v="BBQ Cleaning Brush"/>
    <s v="SELL0067"/>
    <x v="3"/>
    <x v="3"/>
  </r>
  <r>
    <s v="ORD000335"/>
    <s v="PROD00321"/>
    <n v="1"/>
    <x v="7"/>
    <n v="32.33"/>
    <n v="32.33"/>
    <s v="Tea Lovers Hamper Darjelling"/>
    <s v="SELL0088"/>
    <x v="6"/>
    <x v="12"/>
  </r>
  <r>
    <s v="ORD000336"/>
    <s v="PROD00368"/>
    <n v="1"/>
    <x v="0"/>
    <n v="101.55"/>
    <n v="101.55"/>
    <s v="Ceramic Vase Grey Sand"/>
    <s v="SELL0090"/>
    <x v="6"/>
    <x v="53"/>
  </r>
  <r>
    <s v="ORD000337"/>
    <s v="PROD00094"/>
    <n v="1"/>
    <x v="6"/>
    <n v="40.83"/>
    <n v="40.83"/>
    <s v="BBQ Cleaning Fluid"/>
    <s v="SELL0040"/>
    <x v="6"/>
    <x v="34"/>
  </r>
  <r>
    <s v="ORD000337"/>
    <s v="PROD00407"/>
    <n v="1"/>
    <x v="6"/>
    <n v="10.07"/>
    <n v="10.07"/>
    <s v="Bamboo Picnic Rug Recycled Material"/>
    <s v="SELL0092"/>
    <x v="4"/>
    <x v="10"/>
  </r>
  <r>
    <s v="ORD000338"/>
    <s v="PROD00042"/>
    <n v="1"/>
    <x v="6"/>
    <n v="38.39"/>
    <n v="38.39"/>
    <s v="Fairy Lights Outdoor Garden String 100"/>
    <s v="SELL0023"/>
    <x v="4"/>
    <x v="56"/>
  </r>
  <r>
    <s v="ORD000338"/>
    <s v="PROD00086"/>
    <n v="2"/>
    <x v="7"/>
    <n v="37.840000000000003"/>
    <n v="75.680000000000007"/>
    <s v="Bath Bomb Strawberry Vanilla Gift Set"/>
    <s v="SELL0038"/>
    <x v="7"/>
    <x v="23"/>
  </r>
  <r>
    <s v="ORD000338"/>
    <s v="PROD00406"/>
    <n v="1"/>
    <x v="6"/>
    <n v="23.33"/>
    <n v="23.33"/>
    <s v="Solar Garden Light Set"/>
    <s v="SELL0092"/>
    <x v="4"/>
    <x v="10"/>
  </r>
  <r>
    <s v="ORD000339"/>
    <s v="PROD00094"/>
    <n v="1"/>
    <x v="6"/>
    <n v="40.83"/>
    <n v="40.83"/>
    <s v="BBQ Cleaning Fluid"/>
    <s v="SELL0040"/>
    <x v="6"/>
    <x v="34"/>
  </r>
  <r>
    <s v="ORD000339"/>
    <s v="PROD00130"/>
    <n v="2"/>
    <x v="8"/>
    <n v="12.31"/>
    <n v="24.62"/>
    <s v="Kite Glitter"/>
    <s v="SELL0047"/>
    <x v="0"/>
    <x v="16"/>
  </r>
  <r>
    <s v="ORD000339"/>
    <s v="PROD00294"/>
    <n v="2"/>
    <x v="3"/>
    <n v="110.9"/>
    <n v="221.8"/>
    <s v="Wireless Bluetooht Earphones"/>
    <s v="SELL0087"/>
    <x v="6"/>
    <x v="47"/>
  </r>
  <r>
    <s v="ORD000340"/>
    <s v="PROD00438"/>
    <n v="2"/>
    <x v="6"/>
    <n v="54.41"/>
    <n v="108.82"/>
    <s v="BBQ Grill Mat - Non‑stick (Navy)"/>
    <s v="SELL0093"/>
    <x v="0"/>
    <x v="25"/>
  </r>
  <r>
    <s v="ORD000341"/>
    <s v="PROD00261"/>
    <n v="1"/>
    <x v="2"/>
    <n v="6.91"/>
    <n v="6.91"/>
    <s v="Aloe Vera Gel 200ml"/>
    <s v="SELL0083"/>
    <x v="3"/>
    <x v="64"/>
  </r>
  <r>
    <s v="ORD000342"/>
    <s v="PROD00014"/>
    <n v="1"/>
    <x v="6"/>
    <n v="46.45"/>
    <n v="46.45"/>
    <s v="Waterproof Picnic Mat 100x100"/>
    <s v="SELL0012"/>
    <x v="3"/>
    <x v="70"/>
  </r>
  <r>
    <s v="ORD000343"/>
    <s v="PROD00200"/>
    <n v="2"/>
    <x v="6"/>
    <n v="30.95"/>
    <n v="61.9"/>
    <s v="BBQ Cleaning Brush"/>
    <s v="SELL0067"/>
    <x v="3"/>
    <x v="3"/>
  </r>
  <r>
    <s v="ORD000344"/>
    <s v="PROD00224"/>
    <n v="1"/>
    <x v="6"/>
    <n v="26.98"/>
    <n v="26.98"/>
    <s v="Stainless Steel BBQ Tools Set"/>
    <s v="SELL0073"/>
    <x v="2"/>
    <x v="58"/>
  </r>
  <r>
    <s v="ORD000345"/>
    <s v="PROD00048"/>
    <n v="2"/>
    <x v="0"/>
    <n v="34.869999999999997"/>
    <n v="69.739999999999995"/>
    <s v="Essential Oil Diffuser"/>
    <s v="SELL0026"/>
    <x v="2"/>
    <x v="66"/>
  </r>
  <r>
    <s v="ORD000345"/>
    <s v="PROD00200"/>
    <n v="2"/>
    <x v="6"/>
    <n v="30.95"/>
    <n v="61.9"/>
    <s v="BBQ Cleaning Brush"/>
    <s v="SELL0067"/>
    <x v="3"/>
    <x v="3"/>
  </r>
  <r>
    <s v="ORD000346"/>
    <s v="PROD00020"/>
    <n v="1"/>
    <x v="6"/>
    <n v="15.05"/>
    <n v="15.05"/>
    <s v="BBQ Skewers - 12 pack (Stainless Steel)"/>
    <s v="SELL0009"/>
    <x v="1"/>
    <x v="69"/>
  </r>
  <r>
    <s v="ORD000346"/>
    <s v="PROD00419"/>
    <n v="1"/>
    <x v="8"/>
    <n v="26.9"/>
    <n v="26.9"/>
    <s v="Building Blocks 600 pcs"/>
    <s v="SELL0047"/>
    <x v="0"/>
    <x v="16"/>
  </r>
  <r>
    <s v="ORD000346"/>
    <s v="PROD00432"/>
    <n v="1"/>
    <x v="6"/>
    <n v="57.98"/>
    <n v="57.98"/>
    <s v="Garden Hose 20m (Green)"/>
    <s v="SELL0093"/>
    <x v="0"/>
    <x v="25"/>
  </r>
  <r>
    <s v="ORD000347"/>
    <s v="PROD00214"/>
    <n v="2"/>
    <x v="6"/>
    <n v="32.67"/>
    <n v="65.34"/>
    <s v="Snorkel Set - Adult Small"/>
    <s v="SELL0070"/>
    <x v="1"/>
    <x v="22"/>
  </r>
  <r>
    <s v="ORD000347"/>
    <s v="PROD00240"/>
    <n v="2"/>
    <x v="6"/>
    <n v="51.74"/>
    <n v="103.48"/>
    <s v="Garden Ornament Frog"/>
    <s v="SELL0077"/>
    <x v="5"/>
    <x v="8"/>
  </r>
  <r>
    <s v="ORD000348"/>
    <s v="PROD00066"/>
    <n v="1"/>
    <x v="6"/>
    <n v="21.37"/>
    <n v="21.37"/>
    <s v="BBQ Meat Thermometer Battery Powered"/>
    <s v="SELL0034"/>
    <x v="0"/>
    <x v="60"/>
  </r>
  <r>
    <s v="ORD000348"/>
    <s v="PROD00407"/>
    <n v="1"/>
    <x v="6"/>
    <n v="10.07"/>
    <n v="10.07"/>
    <s v="Bamboo Picnic Rug Recycled Material"/>
    <s v="SELL0092"/>
    <x v="4"/>
    <x v="10"/>
  </r>
  <r>
    <s v="ORD000349"/>
    <s v="PROD00028"/>
    <n v="1"/>
    <x v="4"/>
    <n v="8.39"/>
    <n v="8.39"/>
    <s v="Permanent markers 6 pack black"/>
    <s v="SELL0019"/>
    <x v="1"/>
    <x v="51"/>
  </r>
  <r>
    <s v="ORD000349"/>
    <s v="PROD00157"/>
    <n v="2"/>
    <x v="2"/>
    <n v="16.149999999999999"/>
    <n v="32.299999999999997"/>
    <s v="Organic Lip Balm - Mint"/>
    <s v="SELL0057"/>
    <x v="6"/>
    <x v="48"/>
  </r>
  <r>
    <s v="ORD000349"/>
    <s v="PROD00219"/>
    <n v="1"/>
    <x v="6"/>
    <n v="74.39"/>
    <n v="74.39"/>
    <s v="Waterproof Picnic Mat Tartan"/>
    <s v="SELL0072"/>
    <x v="5"/>
    <x v="75"/>
  </r>
  <r>
    <s v="ORD000350"/>
    <s v="PROD00236"/>
    <n v="1"/>
    <x v="5"/>
    <n v="34.22"/>
    <n v="34.22"/>
    <s v="Wool Beanie - Black"/>
    <s v="SELL0039"/>
    <x v="1"/>
    <x v="24"/>
  </r>
  <r>
    <s v="ORD000351"/>
    <s v="PROD00018"/>
    <n v="2"/>
    <x v="6"/>
    <n v="40.119999999999997"/>
    <n v="80.239999999999995"/>
    <s v="Waterproof Picnic Mat 100x100"/>
    <s v="SELL0016"/>
    <x v="6"/>
    <x v="55"/>
  </r>
  <r>
    <s v="ORD000351"/>
    <s v="PROD00200"/>
    <n v="2"/>
    <x v="6"/>
    <n v="30.95"/>
    <n v="61.9"/>
    <s v="BBQ Cleaning Brush"/>
    <s v="SELL0067"/>
    <x v="3"/>
    <x v="3"/>
  </r>
  <r>
    <s v="ORD000351"/>
    <s v="PROD00423"/>
    <n v="1"/>
    <x v="6"/>
    <n v="97.17"/>
    <n v="97.17"/>
    <s v="BBQ Apron - Red"/>
    <s v="SELL0093"/>
    <x v="0"/>
    <x v="25"/>
  </r>
  <r>
    <s v="ORD000352"/>
    <s v="PROD00407"/>
    <n v="1"/>
    <x v="6"/>
    <n v="10.07"/>
    <n v="10.07"/>
    <s v="Bamboo Picnic Rug Recycled Material"/>
    <s v="SELL0092"/>
    <x v="4"/>
    <x v="10"/>
  </r>
  <r>
    <s v="ORD000353"/>
    <s v="PROD00409"/>
    <n v="2"/>
    <x v="5"/>
    <n v="64.84"/>
    <n v="129.68"/>
    <s v="Portable Camping Chair (Blue)"/>
    <s v="SELL0092"/>
    <x v="4"/>
    <x v="10"/>
  </r>
  <r>
    <s v="ORD000354"/>
    <s v="PROD00207"/>
    <n v="1"/>
    <x v="2"/>
    <n v="32.01"/>
    <n v="32.01"/>
    <s v="Hydrating Face Mist 500ml"/>
    <s v="SELL0069"/>
    <x v="4"/>
    <x v="73"/>
  </r>
  <r>
    <s v="ORD000354"/>
    <s v="PROD00424"/>
    <n v="2"/>
    <x v="6"/>
    <n v="25.41"/>
    <n v="50.82"/>
    <s v="Stainless Steel BBQ Tools Set (Navy)"/>
    <s v="SELL0093"/>
    <x v="0"/>
    <x v="25"/>
  </r>
  <r>
    <s v="ORD000355"/>
    <s v="PROD00020"/>
    <n v="1"/>
    <x v="6"/>
    <n v="15.05"/>
    <n v="15.05"/>
    <s v="BBQ Skewers - 12 pack (Stainless Steel)"/>
    <s v="SELL0009"/>
    <x v="1"/>
    <x v="69"/>
  </r>
  <r>
    <s v="ORD000355"/>
    <s v="PROD00296"/>
    <n v="2"/>
    <x v="3"/>
    <n v="49.85"/>
    <n v="99.7"/>
    <s v="HD Webcam 1080p USB Desktop"/>
    <s v="SELL0024"/>
    <x v="4"/>
    <x v="32"/>
  </r>
  <r>
    <s v="ORD000356"/>
    <s v="PROD00421"/>
    <n v="1"/>
    <x v="6"/>
    <n v="66.94"/>
    <n v="66.94"/>
    <s v="paddling pool blue inflatable fishes"/>
    <s v="SELL0092"/>
    <x v="4"/>
    <x v="10"/>
  </r>
  <r>
    <s v="ORD000357"/>
    <s v="PROD00407"/>
    <n v="1"/>
    <x v="6"/>
    <n v="10.07"/>
    <n v="10.07"/>
    <s v="Bamboo Picnic Rug Recycled Material"/>
    <s v="SELL0092"/>
    <x v="4"/>
    <x v="10"/>
  </r>
  <r>
    <s v="ORD000357"/>
    <s v="PROD00438"/>
    <n v="1"/>
    <x v="6"/>
    <n v="54.41"/>
    <n v="54.41"/>
    <s v="BBQ Grill Mat - Non‑stick (Navy)"/>
    <s v="SELL0093"/>
    <x v="0"/>
    <x v="25"/>
  </r>
  <r>
    <s v="ORD000358"/>
    <s v="PROD00042"/>
    <n v="1"/>
    <x v="6"/>
    <n v="38.39"/>
    <n v="38.39"/>
    <s v="Fairy Lights Outdoor Garden String 100"/>
    <s v="SELL0023"/>
    <x v="4"/>
    <x v="56"/>
  </r>
  <r>
    <s v="ORD000359"/>
    <s v="PROD00333"/>
    <n v="1"/>
    <x v="7"/>
    <n v="32.299999999999997"/>
    <n v="32.299999999999997"/>
    <s v="Mens Cologne Gift Set Tester Bottles"/>
    <s v="SELL0088"/>
    <x v="6"/>
    <x v="12"/>
  </r>
  <r>
    <s v="ORD000360"/>
    <s v="PROD00022"/>
    <n v="2"/>
    <x v="6"/>
    <n v="27.05"/>
    <n v="54.1"/>
    <s v="BBQ Skewers - 24 pack (Stainless Steel)"/>
    <s v="SELL0018"/>
    <x v="0"/>
    <x v="62"/>
  </r>
  <r>
    <s v="ORD000360"/>
    <s v="PROD00200"/>
    <n v="1"/>
    <x v="6"/>
    <n v="30.95"/>
    <n v="30.95"/>
    <s v="BBQ Cleaning Brush"/>
    <s v="SELL0067"/>
    <x v="3"/>
    <x v="3"/>
  </r>
  <r>
    <s v="ORD000360"/>
    <s v="PROD00222"/>
    <n v="1"/>
    <x v="6"/>
    <n v="93.44"/>
    <n v="93.44"/>
    <s v="Charcoal Starter Chimney XL"/>
    <s v="SELL0072"/>
    <x v="5"/>
    <x v="75"/>
  </r>
  <r>
    <s v="ORD000360"/>
    <s v="PROD00407"/>
    <n v="1"/>
    <x v="6"/>
    <n v="10.07"/>
    <n v="10.07"/>
    <s v="Bamboo Picnic Rug Recycled Material"/>
    <s v="SELL0092"/>
    <x v="4"/>
    <x v="10"/>
  </r>
  <r>
    <s v="ORD000361"/>
    <s v="PROD00414"/>
    <n v="1"/>
    <x v="6"/>
    <n v="67.33"/>
    <n v="67.33"/>
    <s v="Camping Kettle 2L Navy"/>
    <s v="SELL0093"/>
    <x v="0"/>
    <x v="25"/>
  </r>
  <r>
    <s v="ORD000362"/>
    <s v="PROD00205"/>
    <n v="1"/>
    <x v="5"/>
    <n v="52.53"/>
    <n v="52.53"/>
    <s v="Denim Shirt M"/>
    <s v="SELL0068"/>
    <x v="6"/>
    <x v="83"/>
  </r>
  <r>
    <s v="ORD000363"/>
    <s v="PROD00231"/>
    <n v="1"/>
    <x v="1"/>
    <n v="59.4"/>
    <n v="59.4"/>
    <s v="Jewellery Box Pink"/>
    <s v="SELL0075"/>
    <x v="2"/>
    <x v="2"/>
  </r>
  <r>
    <s v="ORD000364"/>
    <s v="PROD00089"/>
    <n v="1"/>
    <x v="6"/>
    <n v="43.42"/>
    <n v="43.42"/>
    <s v="Picnic basket"/>
    <s v="SELL0039"/>
    <x v="1"/>
    <x v="24"/>
  </r>
  <r>
    <s v="ORD000365"/>
    <s v="PROD00158"/>
    <n v="1"/>
    <x v="3"/>
    <n v="88.29"/>
    <n v="88.29"/>
    <s v="LED Light Bulb Reusable"/>
    <s v="SELL0057"/>
    <x v="6"/>
    <x v="48"/>
  </r>
  <r>
    <s v="ORD000365"/>
    <s v="PROD00232"/>
    <n v="1"/>
    <x v="6"/>
    <n v="75.099999999999994"/>
    <n v="75.099999999999994"/>
    <s v="BBQ - Charcoal"/>
    <s v="SELL0075"/>
    <x v="2"/>
    <x v="2"/>
  </r>
  <r>
    <s v="ORD000366"/>
    <s v="PROD00186"/>
    <n v="2"/>
    <x v="8"/>
    <n v="18.989999999999998"/>
    <n v="37.979999999999997"/>
    <s v="Foam Maker"/>
    <s v="SELL0062"/>
    <x v="1"/>
    <x v="1"/>
  </r>
  <r>
    <s v="ORD000366"/>
    <s v="PROD00405"/>
    <n v="1"/>
    <x v="6"/>
    <n v="99.85"/>
    <n v="99.85"/>
    <s v="Turtle Ornament Garden"/>
    <s v="SELL0092"/>
    <x v="4"/>
    <x v="10"/>
  </r>
  <r>
    <s v="ORD000367"/>
    <s v="PROD00024"/>
    <n v="2"/>
    <x v="6"/>
    <n v="23.99"/>
    <n v="47.98"/>
    <s v="BBQ Skewers - 24 pack (Bamboo)"/>
    <s v="SELL0018"/>
    <x v="0"/>
    <x v="62"/>
  </r>
  <r>
    <s v="ORD000367"/>
    <s v="PROD00444"/>
    <n v="1"/>
    <x v="6"/>
    <n v="20.55"/>
    <n v="20.55"/>
    <s v="Stainless Steel Grill Basket"/>
    <s v="SELL0094"/>
    <x v="3"/>
    <x v="41"/>
  </r>
  <r>
    <s v="ORD000368"/>
    <s v="PROD00080"/>
    <n v="1"/>
    <x v="7"/>
    <n v="39.36"/>
    <n v="39.36"/>
    <s v="Mini Plant Starter Kit (Tulip)"/>
    <s v="SELL0037"/>
    <x v="4"/>
    <x v="5"/>
  </r>
  <r>
    <s v="ORD000368"/>
    <s v="PROD00298"/>
    <n v="1"/>
    <x v="3"/>
    <n v="63.55"/>
    <n v="63.55"/>
    <s v="Smart Home Hub (Navy) 2023"/>
    <s v="SELL0024"/>
    <x v="4"/>
    <x v="32"/>
  </r>
  <r>
    <s v="ORD000369"/>
    <s v="PROD00070"/>
    <n v="1"/>
    <x v="6"/>
    <n v="117.79"/>
    <n v="117.79"/>
    <s v="Portable Mini Grill"/>
    <s v="SELL0035"/>
    <x v="5"/>
    <x v="65"/>
  </r>
  <r>
    <s v="ORD000370"/>
    <s v="PROD00135"/>
    <n v="1"/>
    <x v="6"/>
    <n v="48.81"/>
    <n v="48.81"/>
    <s v="Garden Light Sun Powered No Recharge"/>
    <s v="SELL0048"/>
    <x v="4"/>
    <x v="61"/>
  </r>
  <r>
    <s v="ORD000371"/>
    <s v="PROD00214"/>
    <n v="1"/>
    <x v="6"/>
    <n v="32.67"/>
    <n v="32.67"/>
    <s v="Snorkel Set - Adult Small"/>
    <s v="SELL0070"/>
    <x v="1"/>
    <x v="22"/>
  </r>
  <r>
    <s v="ORD000371"/>
    <s v="PROD00349"/>
    <n v="1"/>
    <x v="2"/>
    <n v="15.83"/>
    <n v="15.83"/>
    <s v="Hydrating Face Mist Vitamin E"/>
    <s v="SELL0083"/>
    <x v="3"/>
    <x v="64"/>
  </r>
  <r>
    <s v="ORD000371"/>
    <s v="PROD00407"/>
    <n v="2"/>
    <x v="6"/>
    <n v="10.07"/>
    <n v="20.14"/>
    <s v="Bamboo Picnic Rug Recycled Material"/>
    <s v="SELL0092"/>
    <x v="4"/>
    <x v="10"/>
  </r>
  <r>
    <s v="ORD000372"/>
    <s v="PROD00081"/>
    <n v="2"/>
    <x v="1"/>
    <n v="20.59"/>
    <n v="41.18"/>
    <s v="Crystal Drop Earrings Clipon"/>
    <s v="SELL0037"/>
    <x v="4"/>
    <x v="5"/>
  </r>
  <r>
    <s v="ORD000372"/>
    <s v="PROD00424"/>
    <n v="2"/>
    <x v="6"/>
    <n v="25.41"/>
    <n v="50.82"/>
    <s v="Stainless Steel BBQ Tools Set (Navy)"/>
    <s v="SELL0093"/>
    <x v="0"/>
    <x v="25"/>
  </r>
  <r>
    <s v="ORD000373"/>
    <s v="PROD00156"/>
    <n v="1"/>
    <x v="5"/>
    <n v="37.99"/>
    <n v="37.99"/>
    <s v="Cotton T‑Shirt Black M"/>
    <s v="SELL0056"/>
    <x v="3"/>
    <x v="54"/>
  </r>
  <r>
    <s v="ORD000373"/>
    <s v="PROD00444"/>
    <n v="2"/>
    <x v="6"/>
    <n v="20.55"/>
    <n v="41.1"/>
    <s v="Stainless Steel Grill Basket"/>
    <s v="SELL0094"/>
    <x v="3"/>
    <x v="41"/>
  </r>
  <r>
    <s v="ORD000374"/>
    <s v="PROD00067"/>
    <n v="1"/>
    <x v="8"/>
    <n v="23.3"/>
    <n v="23.3"/>
    <s v="Car Controlled Phone Remote"/>
    <s v="SELL0034"/>
    <x v="0"/>
    <x v="60"/>
  </r>
  <r>
    <s v="ORD000375"/>
    <s v="PROD00323"/>
    <n v="1"/>
    <x v="7"/>
    <n v="21.81"/>
    <n v="21.81"/>
    <s v="White Chocolate Selection Box"/>
    <s v="SELL0088"/>
    <x v="6"/>
    <x v="12"/>
  </r>
  <r>
    <s v="ORD000376"/>
    <s v="PROD00031"/>
    <n v="1"/>
    <x v="6"/>
    <n v="43.27"/>
    <n v="43.27"/>
    <s v="Solar Garden Light Set (4 pack)"/>
    <s v="SELL0021"/>
    <x v="4"/>
    <x v="57"/>
  </r>
  <r>
    <s v="ORD000377"/>
    <s v="PROD00093"/>
    <n v="2"/>
    <x v="4"/>
    <n v="12.88"/>
    <n v="25.76"/>
    <s v="Highlighter Set Pens Yellow"/>
    <s v="SELL0040"/>
    <x v="6"/>
    <x v="34"/>
  </r>
  <r>
    <s v="ORD000377"/>
    <s v="PROD00200"/>
    <n v="2"/>
    <x v="6"/>
    <n v="30.95"/>
    <n v="61.9"/>
    <s v="BBQ Cleaning Brush"/>
    <s v="SELL0067"/>
    <x v="3"/>
    <x v="3"/>
  </r>
  <r>
    <s v="ORD000377"/>
    <s v="PROD00240"/>
    <n v="1"/>
    <x v="6"/>
    <n v="51.74"/>
    <n v="51.74"/>
    <s v="Garden Ornament Frog"/>
    <s v="SELL0077"/>
    <x v="5"/>
    <x v="8"/>
  </r>
  <r>
    <s v="ORD000377"/>
    <s v="PROD00272"/>
    <n v="1"/>
    <x v="2"/>
    <n v="13.25"/>
    <n v="13.25"/>
    <s v="Aloe Vera Gel 150ml 2 pack"/>
    <s v="SELL0086"/>
    <x v="4"/>
    <x v="6"/>
  </r>
  <r>
    <s v="ORD000378"/>
    <s v="PROD00017"/>
    <n v="1"/>
    <x v="6"/>
    <n v="13.71"/>
    <n v="13.71"/>
    <s v="BBQ Skewers - 12 pack (Bamboo)"/>
    <s v="SELL0016"/>
    <x v="6"/>
    <x v="55"/>
  </r>
  <r>
    <s v="ORD000380"/>
    <s v="PROD00013"/>
    <n v="2"/>
    <x v="9"/>
    <n v="37.4"/>
    <n v="74.8"/>
    <s v="Heat Therapy Pad"/>
    <s v="SELL0011"/>
    <x v="1"/>
    <x v="84"/>
  </r>
  <r>
    <s v="ORD000380"/>
    <s v="PROD00042"/>
    <n v="1"/>
    <x v="6"/>
    <n v="38.39"/>
    <n v="38.39"/>
    <s v="Fairy Lights Outdoor Garden String 100"/>
    <s v="SELL0023"/>
    <x v="4"/>
    <x v="56"/>
  </r>
  <r>
    <s v="ORD000380"/>
    <s v="PROD00334"/>
    <n v="1"/>
    <x v="9"/>
    <n v="75.05"/>
    <n v="75.05"/>
    <s v="Blood Pressure Monitor bluetooth"/>
    <s v="SELL0089"/>
    <x v="1"/>
    <x v="36"/>
  </r>
  <r>
    <s v="ORD000381"/>
    <s v="PROD00032"/>
    <n v="2"/>
    <x v="6"/>
    <n v="115.39"/>
    <n v="230.78"/>
    <s v="Solar Garden Light Set (8 pack)"/>
    <s v="SELL0021"/>
    <x v="4"/>
    <x v="57"/>
  </r>
  <r>
    <s v="ORD000381"/>
    <s v="PROD00094"/>
    <n v="1"/>
    <x v="6"/>
    <n v="40.83"/>
    <n v="40.83"/>
    <s v="BBQ Cleaning Fluid"/>
    <s v="SELL0040"/>
    <x v="6"/>
    <x v="34"/>
  </r>
  <r>
    <s v="ORD000381"/>
    <s v="PROD00268"/>
    <n v="1"/>
    <x v="2"/>
    <n v="16.11"/>
    <n v="16.11"/>
    <s v="Vitamin C Serum 200ml"/>
    <s v="SELL0085"/>
    <x v="2"/>
    <x v="85"/>
  </r>
  <r>
    <s v="ORD000382"/>
    <s v="PROD00387"/>
    <n v="1"/>
    <x v="0"/>
    <n v="21.89"/>
    <n v="21.89"/>
    <s v="Decorative Cushion - Blue 60 x 60"/>
    <s v="SELL0091"/>
    <x v="6"/>
    <x v="30"/>
  </r>
  <r>
    <s v="ORD000383"/>
    <s v="PROD00042"/>
    <n v="1"/>
    <x v="6"/>
    <n v="38.39"/>
    <n v="38.39"/>
    <s v="Fairy Lights Outdoor Garden String 100"/>
    <s v="SELL0023"/>
    <x v="4"/>
    <x v="56"/>
  </r>
  <r>
    <s v="ORD000384"/>
    <s v="PROD00017"/>
    <n v="2"/>
    <x v="6"/>
    <n v="13.71"/>
    <n v="27.42"/>
    <s v="BBQ Skewers - 12 pack (Bamboo)"/>
    <s v="SELL0016"/>
    <x v="6"/>
    <x v="55"/>
  </r>
  <r>
    <s v="ORD000384"/>
    <s v="PROD00235"/>
    <n v="2"/>
    <x v="5"/>
    <n v="20.75"/>
    <n v="41.5"/>
    <s v="Wool Beanie - Blue"/>
    <s v="SELL0039"/>
    <x v="1"/>
    <x v="24"/>
  </r>
  <r>
    <s v="ORD000385"/>
    <s v="PROD00010"/>
    <n v="1"/>
    <x v="5"/>
    <n v="30.71"/>
    <n v="30.71"/>
    <s v="Summer Dress - Floral"/>
    <s v="SELL0008"/>
    <x v="1"/>
    <x v="46"/>
  </r>
  <r>
    <s v="ORD000385"/>
    <s v="PROD00116"/>
    <n v="1"/>
    <x v="6"/>
    <n v="55.56"/>
    <n v="55.56"/>
    <s v="Waterproof Mat Beach"/>
    <s v="SELL0044"/>
    <x v="1"/>
    <x v="77"/>
  </r>
  <r>
    <s v="ORD000386"/>
    <s v="PROD00070"/>
    <n v="1"/>
    <x v="6"/>
    <n v="117.79"/>
    <n v="117.79"/>
    <s v="Portable Mini Grill"/>
    <s v="SELL0035"/>
    <x v="5"/>
    <x v="65"/>
  </r>
  <r>
    <s v="ORD000387"/>
    <s v="PROD00259"/>
    <n v="1"/>
    <x v="2"/>
    <n v="22.28"/>
    <n v="22.28"/>
    <s v="Hair Strengthening Mask shea butter"/>
    <s v="SELL0082"/>
    <x v="2"/>
    <x v="81"/>
  </r>
  <r>
    <s v="ORD000388"/>
    <s v="PROD00091"/>
    <n v="1"/>
    <x v="5"/>
    <n v="27.76"/>
    <n v="27.76"/>
    <s v="T‑Shirt XL Polycotton Black"/>
    <s v="SELL0039"/>
    <x v="1"/>
    <x v="24"/>
  </r>
  <r>
    <s v="ORD000388"/>
    <s v="PROD00210"/>
    <n v="1"/>
    <x v="5"/>
    <n v="53.17"/>
    <n v="53.17"/>
    <s v="Unisex Hoodie - Navy XL"/>
    <s v="SELL0070"/>
    <x v="1"/>
    <x v="22"/>
  </r>
  <r>
    <s v="ORD000389"/>
    <s v="PROD00256"/>
    <n v="1"/>
    <x v="6"/>
    <n v="48.14"/>
    <n v="48.14"/>
    <s v="Disposible Mini Grill"/>
    <s v="SELL0081"/>
    <x v="1"/>
    <x v="43"/>
  </r>
  <r>
    <s v="ORD000389"/>
    <s v="PROD00426"/>
    <n v="1"/>
    <x v="6"/>
    <n v="27.32"/>
    <n v="27.32"/>
    <s v="Stainless Steel BBQ Tools Set (Green)"/>
    <s v="SELL0093"/>
    <x v="0"/>
    <x v="25"/>
  </r>
  <r>
    <s v="ORD000389"/>
    <s v="PROD00439"/>
    <n v="1"/>
    <x v="6"/>
    <n v="60.6"/>
    <n v="60.6"/>
    <s v="BBQ Grill Mat - Non‑stick (Blue)"/>
    <s v="SELL0093"/>
    <x v="0"/>
    <x v="25"/>
  </r>
  <r>
    <s v="ORD000390"/>
    <s v="PROD00031"/>
    <n v="1"/>
    <x v="6"/>
    <n v="43.27"/>
    <n v="43.27"/>
    <s v="Solar Garden Light Set (4 pack)"/>
    <s v="SELL0021"/>
    <x v="4"/>
    <x v="57"/>
  </r>
  <r>
    <s v="ORD000390"/>
    <s v="PROD00391"/>
    <n v="2"/>
    <x v="0"/>
    <n v="48.51"/>
    <n v="97.02"/>
    <s v="Soy Candle Environmentally Friendly Rose"/>
    <s v="SELL0091"/>
    <x v="6"/>
    <x v="30"/>
  </r>
  <r>
    <s v="ORD000390"/>
    <s v="PROD00441"/>
    <n v="1"/>
    <x v="6"/>
    <n v="26.7"/>
    <n v="26.7"/>
    <s v="Waterproof Picnic Mat"/>
    <s v="SELL0094"/>
    <x v="3"/>
    <x v="41"/>
  </r>
  <r>
    <s v="ORD000391"/>
    <s v="PROD00060"/>
    <n v="1"/>
    <x v="2"/>
    <n v="13.58"/>
    <n v="13.58"/>
    <s v="Nail Polish - Coral"/>
    <s v="SELL0033"/>
    <x v="2"/>
    <x v="59"/>
  </r>
  <r>
    <s v="ORD000391"/>
    <s v="PROD00066"/>
    <n v="1"/>
    <x v="6"/>
    <n v="21.37"/>
    <n v="21.37"/>
    <s v="BBQ Meat Thermometer Battery Powered"/>
    <s v="SELL0034"/>
    <x v="0"/>
    <x v="60"/>
  </r>
  <r>
    <s v="ORD000392"/>
    <s v="PROD00032"/>
    <n v="1"/>
    <x v="6"/>
    <n v="115.39"/>
    <n v="115.39"/>
    <s v="Solar Garden Light Set (8 pack)"/>
    <s v="SELL0021"/>
    <x v="4"/>
    <x v="57"/>
  </r>
  <r>
    <s v="ORD000392"/>
    <s v="PROD00407"/>
    <n v="1"/>
    <x v="6"/>
    <n v="10.07"/>
    <n v="10.07"/>
    <s v="Bamboo Picnic Rug Recycled Material"/>
    <s v="SELL0092"/>
    <x v="4"/>
    <x v="10"/>
  </r>
  <r>
    <s v="ORD000393"/>
    <s v="PROD00024"/>
    <n v="1"/>
    <x v="6"/>
    <n v="23.99"/>
    <n v="23.99"/>
    <s v="BBQ Skewers - 24 pack (Bamboo)"/>
    <s v="SELL0018"/>
    <x v="0"/>
    <x v="62"/>
  </r>
  <r>
    <s v="ORD000393"/>
    <s v="PROD00068"/>
    <n v="1"/>
    <x v="7"/>
    <n v="16.940000000000001"/>
    <n v="16.940000000000001"/>
    <s v="Mini Plant Starter Kit"/>
    <s v="SELL0034"/>
    <x v="0"/>
    <x v="60"/>
  </r>
  <r>
    <s v="ORD000393"/>
    <s v="PROD00284"/>
    <n v="1"/>
    <x v="5"/>
    <n v="33.89"/>
    <n v="33.89"/>
    <s v="Kids Cotton Pyjamas 9-11y"/>
    <s v="SELL0086"/>
    <x v="4"/>
    <x v="6"/>
  </r>
  <r>
    <s v="ORD000394"/>
    <s v="PROD00017"/>
    <n v="1"/>
    <x v="6"/>
    <n v="13.71"/>
    <n v="13.71"/>
    <s v="BBQ Skewers - 12 pack (Bamboo)"/>
    <s v="SELL0016"/>
    <x v="6"/>
    <x v="55"/>
  </r>
  <r>
    <s v="ORD000394"/>
    <s v="PROD00333"/>
    <n v="1"/>
    <x v="7"/>
    <n v="32.299999999999997"/>
    <n v="32.299999999999997"/>
    <s v="Mens Cologne Gift Set Tester Bottles"/>
    <s v="SELL0088"/>
    <x v="6"/>
    <x v="12"/>
  </r>
  <r>
    <s v="ORD000395"/>
    <s v="PROD00197"/>
    <n v="1"/>
    <x v="9"/>
    <n v="40.75"/>
    <n v="40.75"/>
    <s v="Blood Pressure Monitor Digital"/>
    <s v="SELL0066"/>
    <x v="4"/>
    <x v="21"/>
  </r>
  <r>
    <s v="ORD000396"/>
    <s v="PROD00217"/>
    <n v="1"/>
    <x v="1"/>
    <n v="54.03"/>
    <n v="54.03"/>
    <s v="Sterling Silver 925 Earrings Pair Butterfly"/>
    <s v="SELL0070"/>
    <x v="1"/>
    <x v="22"/>
  </r>
  <r>
    <s v="ORD000396"/>
    <s v="PROD00232"/>
    <n v="1"/>
    <x v="6"/>
    <n v="75.099999999999994"/>
    <n v="75.099999999999994"/>
    <s v="BBQ - Charcoal"/>
    <s v="SELL0075"/>
    <x v="2"/>
    <x v="2"/>
  </r>
  <r>
    <s v="ORD000397"/>
    <s v="PROD00214"/>
    <n v="2"/>
    <x v="6"/>
    <n v="32.67"/>
    <n v="65.34"/>
    <s v="Snorkel Set - Adult Small"/>
    <s v="SELL0070"/>
    <x v="1"/>
    <x v="22"/>
  </r>
  <r>
    <s v="ORD000397"/>
    <s v="PROD00461"/>
    <n v="1"/>
    <x v="6"/>
    <n v="21"/>
    <n v="21"/>
    <s v="Wooden Train Set"/>
    <s v="SELL0047"/>
    <x v="0"/>
    <x v="16"/>
  </r>
  <r>
    <s v="ORD000398"/>
    <s v="PROD00042"/>
    <n v="1"/>
    <x v="6"/>
    <n v="38.39"/>
    <n v="38.39"/>
    <s v="Fairy Lights Outdoor Garden String 100"/>
    <s v="SELL0023"/>
    <x v="4"/>
    <x v="56"/>
  </r>
  <r>
    <s v="ORD000399"/>
    <s v="PROD00407"/>
    <n v="1"/>
    <x v="6"/>
    <n v="10.07"/>
    <n v="10.07"/>
    <s v="Bamboo Picnic Rug Recycled Material"/>
    <s v="SELL0092"/>
    <x v="4"/>
    <x v="10"/>
  </r>
  <r>
    <s v="ORD000400"/>
    <s v="PROD00152"/>
    <n v="1"/>
    <x v="5"/>
    <n v="42.11"/>
    <n v="42.11"/>
    <s v="Women’s Active Leggings L"/>
    <s v="SELL0054"/>
    <x v="5"/>
    <x v="82"/>
  </r>
  <r>
    <s v="ORD000401"/>
    <s v="PROD00416"/>
    <n v="1"/>
    <x v="6"/>
    <n v="63.89"/>
    <n v="63.89"/>
    <s v="Camping Kettle 5L Navy"/>
    <s v="SELL0093"/>
    <x v="0"/>
    <x v="25"/>
  </r>
  <r>
    <s v="ORD000402"/>
    <s v="PROD00406"/>
    <n v="1"/>
    <x v="6"/>
    <n v="23.33"/>
    <n v="23.33"/>
    <s v="Solar Garden Light Set"/>
    <s v="SELL0092"/>
    <x v="4"/>
    <x v="10"/>
  </r>
  <r>
    <s v="ORD000403"/>
    <s v="PROD00066"/>
    <n v="1"/>
    <x v="6"/>
    <n v="21.37"/>
    <n v="21.37"/>
    <s v="BBQ Meat Thermometer Battery Powered"/>
    <s v="SELL0034"/>
    <x v="0"/>
    <x v="60"/>
  </r>
  <r>
    <s v="ORD000403"/>
    <s v="PROD00384"/>
    <n v="1"/>
    <x v="0"/>
    <n v="116.81"/>
    <n v="116.81"/>
    <s v="Weighted Blanket 20kg"/>
    <s v="SELL0091"/>
    <x v="6"/>
    <x v="30"/>
  </r>
  <r>
    <s v="ORD000403"/>
    <s v="PROD00407"/>
    <n v="1"/>
    <x v="6"/>
    <n v="10.07"/>
    <n v="10.07"/>
    <s v="Bamboo Picnic Rug Recycled Material"/>
    <s v="SELL0092"/>
    <x v="4"/>
    <x v="10"/>
  </r>
  <r>
    <s v="ORD000404"/>
    <s v="PROD00407"/>
    <n v="1"/>
    <x v="6"/>
    <n v="10.07"/>
    <n v="10.07"/>
    <s v="Bamboo Picnic Rug Recycled Material"/>
    <s v="SELL0092"/>
    <x v="4"/>
    <x v="10"/>
  </r>
  <r>
    <s v="ORD000405"/>
    <s v="PROD00098"/>
    <n v="1"/>
    <x v="6"/>
    <n v="115.39"/>
    <n v="115.39"/>
    <s v="Solar Garden Light Set (8 pack)"/>
    <s v="SELL0021"/>
    <x v="4"/>
    <x v="57"/>
  </r>
  <r>
    <s v="ORD000406"/>
    <s v="PROD00416"/>
    <n v="1"/>
    <x v="6"/>
    <n v="63.89"/>
    <n v="63.89"/>
    <s v="Camping Kettle 5L Navy"/>
    <s v="SELL0093"/>
    <x v="0"/>
    <x v="25"/>
  </r>
  <r>
    <s v="ORD000407"/>
    <s v="PROD00232"/>
    <n v="1"/>
    <x v="6"/>
    <n v="75.099999999999994"/>
    <n v="75.099999999999994"/>
    <s v="BBQ - Charcoal"/>
    <s v="SELL0075"/>
    <x v="2"/>
    <x v="2"/>
  </r>
  <r>
    <s v="ORD000407"/>
    <s v="PROD00284"/>
    <n v="1"/>
    <x v="5"/>
    <n v="33.89"/>
    <n v="33.89"/>
    <s v="Kids Cotton Pyjamas 9-11y"/>
    <s v="SELL0086"/>
    <x v="4"/>
    <x v="6"/>
  </r>
  <r>
    <s v="ORD000408"/>
    <s v="PROD00416"/>
    <n v="1"/>
    <x v="6"/>
    <n v="63.89"/>
    <n v="63.89"/>
    <s v="Camping Kettle 5L Navy"/>
    <s v="SELL0093"/>
    <x v="0"/>
    <x v="25"/>
  </r>
  <r>
    <s v="ORD000409"/>
    <s v="PROD00017"/>
    <n v="1"/>
    <x v="6"/>
    <n v="13.71"/>
    <n v="13.71"/>
    <s v="BBQ Skewers - 12 pack (Bamboo)"/>
    <s v="SELL0016"/>
    <x v="6"/>
    <x v="55"/>
  </r>
  <r>
    <s v="ORD000409"/>
    <s v="PROD00421"/>
    <n v="1"/>
    <x v="6"/>
    <n v="66.94"/>
    <n v="66.94"/>
    <s v="paddling pool blue inflatable fishes"/>
    <s v="SELL0092"/>
    <x v="4"/>
    <x v="10"/>
  </r>
  <r>
    <s v="ORD000410"/>
    <s v="PROD00176"/>
    <n v="1"/>
    <x v="6"/>
    <n v="34.86"/>
    <n v="34.86"/>
    <s v="Steel Grill Basket"/>
    <s v="SELL0060"/>
    <x v="4"/>
    <x v="74"/>
  </r>
  <r>
    <s v="ORD000411"/>
    <s v="PROD00200"/>
    <n v="1"/>
    <x v="6"/>
    <n v="30.95"/>
    <n v="30.95"/>
    <s v="BBQ Cleaning Brush"/>
    <s v="SELL0067"/>
    <x v="3"/>
    <x v="3"/>
  </r>
  <r>
    <s v="ORD000411"/>
    <s v="PROD00405"/>
    <n v="2"/>
    <x v="6"/>
    <n v="99.85"/>
    <n v="199.7"/>
    <s v="Turtle Ornament Garden"/>
    <s v="SELL0092"/>
    <x v="4"/>
    <x v="10"/>
  </r>
  <r>
    <s v="ORD000412"/>
    <s v="PROD00314"/>
    <n v="1"/>
    <x v="3"/>
    <n v="63.84"/>
    <n v="63.84"/>
    <s v="Noise Cancelling Headphones (Red)"/>
    <s v="SELL0088"/>
    <x v="6"/>
    <x v="12"/>
  </r>
  <r>
    <s v="ORD000412"/>
    <s v="PROD00386"/>
    <n v="1"/>
    <x v="0"/>
    <n v="65.459999999999994"/>
    <n v="65.459999999999994"/>
    <s v="Weighted Blanket 5kg"/>
    <s v="SELL0091"/>
    <x v="6"/>
    <x v="30"/>
  </r>
  <r>
    <s v="ORD000413"/>
    <s v="PROD00423"/>
    <n v="1"/>
    <x v="6"/>
    <n v="97.17"/>
    <n v="97.17"/>
    <s v="BBQ Apron - Red"/>
    <s v="SELL0093"/>
    <x v="0"/>
    <x v="25"/>
  </r>
  <r>
    <s v="ORD000414"/>
    <s v="PROD00006"/>
    <n v="1"/>
    <x v="4"/>
    <n v="4.47"/>
    <n v="4.47"/>
    <s v="Highlighter Set Bright 4 pen"/>
    <s v="SELL0005"/>
    <x v="6"/>
    <x v="72"/>
  </r>
  <r>
    <s v="ORD000414"/>
    <s v="PROD00424"/>
    <n v="2"/>
    <x v="6"/>
    <n v="25.41"/>
    <n v="50.82"/>
    <s v="Stainless Steel BBQ Tools Set (Navy)"/>
    <s v="SELL0093"/>
    <x v="0"/>
    <x v="25"/>
  </r>
  <r>
    <s v="ORD000415"/>
    <s v="PROD00235"/>
    <n v="1"/>
    <x v="5"/>
    <n v="20.75"/>
    <n v="20.75"/>
    <s v="Wool Beanie - Blue"/>
    <s v="SELL0039"/>
    <x v="1"/>
    <x v="24"/>
  </r>
  <r>
    <s v="ORD000415"/>
    <s v="PROD00342"/>
    <n v="1"/>
    <x v="9"/>
    <n v="60.86"/>
    <n v="60.86"/>
    <s v="Adjustable Dumbbell 12kg"/>
    <s v="SELL0051"/>
    <x v="0"/>
    <x v="19"/>
  </r>
  <r>
    <s v="ORD000416"/>
    <s v="PROD00018"/>
    <n v="1"/>
    <x v="6"/>
    <n v="40.119999999999997"/>
    <n v="40.119999999999997"/>
    <s v="Waterproof Picnic Mat 100x100"/>
    <s v="SELL0016"/>
    <x v="6"/>
    <x v="55"/>
  </r>
  <r>
    <s v="ORD000417"/>
    <s v="PROD00431"/>
    <n v="1"/>
    <x v="6"/>
    <n v="55.99"/>
    <n v="55.99"/>
    <s v="Garden Hose 20m (Grey)"/>
    <s v="SELL0093"/>
    <x v="0"/>
    <x v="25"/>
  </r>
  <r>
    <s v="ORD000418"/>
    <s v="PROD00042"/>
    <n v="1"/>
    <x v="6"/>
    <n v="38.39"/>
    <n v="38.39"/>
    <s v="Fairy Lights Outdoor Garden String 100"/>
    <s v="SELL0023"/>
    <x v="4"/>
    <x v="56"/>
  </r>
  <r>
    <s v="ORD000419"/>
    <s v="PROD00017"/>
    <n v="1"/>
    <x v="6"/>
    <n v="13.71"/>
    <n v="13.71"/>
    <s v="BBQ Skewers - 12 pack (Bamboo)"/>
    <s v="SELL0016"/>
    <x v="6"/>
    <x v="55"/>
  </r>
  <r>
    <s v="ORD000419"/>
    <s v="PROD00403"/>
    <n v="1"/>
    <x v="6"/>
    <n v="48.82"/>
    <n v="48.82"/>
    <s v="Garden Ornament Gnome Red Spots"/>
    <s v="SELL0092"/>
    <x v="4"/>
    <x v="10"/>
  </r>
  <r>
    <s v="ORD000420"/>
    <s v="PROD00404"/>
    <n v="1"/>
    <x v="6"/>
    <n v="81.02"/>
    <n v="81.02"/>
    <s v="BBQ Meat Thermometer Bluetooth"/>
    <s v="SELL0092"/>
    <x v="4"/>
    <x v="10"/>
  </r>
  <r>
    <s v="ORD000421"/>
    <s v="PROD00407"/>
    <n v="1"/>
    <x v="6"/>
    <n v="10.07"/>
    <n v="10.07"/>
    <s v="Bamboo Picnic Rug Recycled Material"/>
    <s v="SELL0092"/>
    <x v="4"/>
    <x v="10"/>
  </r>
  <r>
    <s v="ORD000422"/>
    <s v="PROD00020"/>
    <n v="1"/>
    <x v="6"/>
    <n v="15.05"/>
    <n v="15.05"/>
    <s v="BBQ Skewers - 12 pack (Stainless Steel)"/>
    <s v="SELL0009"/>
    <x v="1"/>
    <x v="69"/>
  </r>
  <r>
    <s v="ORD000424"/>
    <s v="PROD00436"/>
    <n v="1"/>
    <x v="9"/>
    <n v="20.39"/>
    <n v="20.39"/>
    <s v="Hand Grip Strengthener (Blue)"/>
    <s v="SELL0051"/>
    <x v="0"/>
    <x v="19"/>
  </r>
  <r>
    <s v="ORD000425"/>
    <s v="PROD00089"/>
    <n v="1"/>
    <x v="6"/>
    <n v="43.42"/>
    <n v="43.42"/>
    <s v="Picnic basket"/>
    <s v="SELL0039"/>
    <x v="1"/>
    <x v="24"/>
  </r>
  <r>
    <s v="ORD000426"/>
    <s v="PROD00214"/>
    <n v="1"/>
    <x v="6"/>
    <n v="32.67"/>
    <n v="32.67"/>
    <s v="Snorkel Set - Adult Small"/>
    <s v="SELL0070"/>
    <x v="1"/>
    <x v="22"/>
  </r>
  <r>
    <s v="ORD000427"/>
    <s v="PROD00107"/>
    <n v="1"/>
    <x v="5"/>
    <n v="41.73"/>
    <n v="41.73"/>
    <s v="Rain Jacket Red L"/>
    <s v="SELL0042"/>
    <x v="3"/>
    <x v="14"/>
  </r>
  <r>
    <s v="ORD000427"/>
    <s v="PROD00126"/>
    <n v="1"/>
    <x v="4"/>
    <n v="5.49"/>
    <n v="5.49"/>
    <s v="Whiteboard Markers 6pc"/>
    <s v="SELL0046"/>
    <x v="6"/>
    <x v="45"/>
  </r>
  <r>
    <s v="ORD000428"/>
    <s v="PROD00448"/>
    <n v="1"/>
    <x v="4"/>
    <n v="5.1100000000000003"/>
    <n v="5.1100000000000003"/>
    <s v="Sticky Notes Cube 200pc"/>
    <s v="SELL0094"/>
    <x v="3"/>
    <x v="41"/>
  </r>
  <r>
    <s v="ORD000429"/>
    <s v="PROD00135"/>
    <n v="1"/>
    <x v="6"/>
    <n v="48.81"/>
    <n v="48.81"/>
    <s v="Garden Light Sun Powered No Recharge"/>
    <s v="SELL0048"/>
    <x v="4"/>
    <x v="61"/>
  </r>
  <r>
    <s v="ORD000430"/>
    <s v="PROD00057"/>
    <n v="1"/>
    <x v="3"/>
    <n v="26.58"/>
    <n v="26.58"/>
    <s v="Gaming Mouse"/>
    <s v="SELL0032"/>
    <x v="4"/>
    <x v="11"/>
  </r>
  <r>
    <s v="ORD000430"/>
    <s v="PROD00189"/>
    <n v="1"/>
    <x v="6"/>
    <n v="35.08"/>
    <n v="35.08"/>
    <s v="Snorkel Set - Adult"/>
    <s v="SELL0062"/>
    <x v="1"/>
    <x v="1"/>
  </r>
  <r>
    <s v="ORD000430"/>
    <s v="PROD00313"/>
    <n v="2"/>
    <x v="3"/>
    <n v="63.84"/>
    <n v="127.68"/>
    <s v="Noise Cancelling Headphones (Black)"/>
    <s v="SELL0088"/>
    <x v="6"/>
    <x v="12"/>
  </r>
  <r>
    <s v="ORD000430"/>
    <s v="PROD00372"/>
    <n v="1"/>
    <x v="0"/>
    <n v="119.75"/>
    <n v="119.75"/>
    <s v="Rug 220cm x 250cm"/>
    <s v="SELL0027"/>
    <x v="1"/>
    <x v="18"/>
  </r>
  <r>
    <s v="ORD000431"/>
    <s v="PROD00128"/>
    <n v="2"/>
    <x v="7"/>
    <n v="37.340000000000003"/>
    <n v="74.680000000000007"/>
    <s v="Spa Pamper Gift Set For Him"/>
    <s v="SELL0046"/>
    <x v="6"/>
    <x v="45"/>
  </r>
  <r>
    <s v="ORD000431"/>
    <s v="PROD00306"/>
    <n v="1"/>
    <x v="3"/>
    <n v="92.77"/>
    <n v="92.77"/>
    <s v="Smart LED Light Bulb"/>
    <s v="SELL0087"/>
    <x v="6"/>
    <x v="47"/>
  </r>
  <r>
    <s v="ORD000433"/>
    <s v="PROD00184"/>
    <n v="1"/>
    <x v="0"/>
    <n v="83.03"/>
    <n v="83.03"/>
    <s v="Oil Diffuser "/>
    <s v="SELL0062"/>
    <x v="1"/>
    <x v="1"/>
  </r>
  <r>
    <s v="ORD000434"/>
    <s v="PROD00152"/>
    <n v="1"/>
    <x v="5"/>
    <n v="42.11"/>
    <n v="42.11"/>
    <s v="Women’s Active Leggings L"/>
    <s v="SELL0054"/>
    <x v="5"/>
    <x v="82"/>
  </r>
  <r>
    <s v="ORD000435"/>
    <s v="PROD00100"/>
    <n v="1"/>
    <x v="1"/>
    <n v="58.45"/>
    <n v="58.45"/>
    <s v="Pearl Stud Earrings Genuine Pearl"/>
    <s v="SELL0041"/>
    <x v="0"/>
    <x v="26"/>
  </r>
  <r>
    <s v="ORD000435"/>
    <s v="PROD00319"/>
    <n v="1"/>
    <x v="7"/>
    <n v="24.92"/>
    <n v="24.92"/>
    <s v="Spa Pamper Gift Set Fruity Mix"/>
    <s v="SELL0088"/>
    <x v="6"/>
    <x v="12"/>
  </r>
  <r>
    <s v="ORD000436"/>
    <s v="PROD00264"/>
    <n v="1"/>
    <x v="2"/>
    <n v="32.26"/>
    <n v="32.26"/>
    <s v="Vitamin C Serum 50ml"/>
    <s v="SELL0084"/>
    <x v="2"/>
    <x v="35"/>
  </r>
  <r>
    <s v="ORD000436"/>
    <s v="PROD00269"/>
    <n v="2"/>
    <x v="2"/>
    <n v="26.2"/>
    <n v="52.4"/>
    <s v="Vitamin C Serum 50ml"/>
    <s v="SELL0001"/>
    <x v="4"/>
    <x v="52"/>
  </r>
  <r>
    <s v="ORD000436"/>
    <s v="PROD00393"/>
    <n v="1"/>
    <x v="1"/>
    <n v="49.13"/>
    <n v="49.13"/>
    <s v="Ring Set (Rose Gold)"/>
    <s v="SELL0092"/>
    <x v="4"/>
    <x v="10"/>
  </r>
  <r>
    <s v="ORD000437"/>
    <s v="PROD00107"/>
    <n v="1"/>
    <x v="5"/>
    <n v="41.73"/>
    <n v="41.73"/>
    <s v="Rain Jacket Red L"/>
    <s v="SELL0042"/>
    <x v="3"/>
    <x v="14"/>
  </r>
  <r>
    <s v="ORD000438"/>
    <s v="PROD00382"/>
    <n v="1"/>
    <x v="0"/>
    <n v="85.1"/>
    <n v="85.1"/>
    <s v="LED Floor Lamp"/>
    <s v="SELL0091"/>
    <x v="6"/>
    <x v="30"/>
  </r>
  <r>
    <s v="ORD000438"/>
    <s v="PROD00459"/>
    <n v="1"/>
    <x v="8"/>
    <n v="26.48"/>
    <n v="26.48"/>
    <s v="Wooden Train Set"/>
    <s v="SELL0095"/>
    <x v="6"/>
    <x v="28"/>
  </r>
  <r>
    <s v="ORD000439"/>
    <s v="PROD00200"/>
    <n v="2"/>
    <x v="6"/>
    <n v="30.95"/>
    <n v="61.9"/>
    <s v="BBQ Cleaning Brush"/>
    <s v="SELL0067"/>
    <x v="3"/>
    <x v="3"/>
  </r>
  <r>
    <s v="ORD000439"/>
    <s v="PROD00253"/>
    <n v="2"/>
    <x v="7"/>
    <n v="19.09"/>
    <n v="38.18"/>
    <s v="Milk Chocolate Selection Box"/>
    <s v="SELL0081"/>
    <x v="1"/>
    <x v="43"/>
  </r>
  <r>
    <s v="ORD000439"/>
    <s v="PROD00307"/>
    <n v="1"/>
    <x v="3"/>
    <n v="63.84"/>
    <n v="63.84"/>
    <s v="Noise Cancelling Headphones (Blue)"/>
    <s v="SELL0088"/>
    <x v="6"/>
    <x v="12"/>
  </r>
  <r>
    <s v="ORD000440"/>
    <s v="PROD00315"/>
    <n v="2"/>
    <x v="3"/>
    <n v="36.57"/>
    <n v="73.14"/>
    <s v="Portable Power Bank 10,000mAh (Navy)"/>
    <s v="SELL0088"/>
    <x v="6"/>
    <x v="12"/>
  </r>
  <r>
    <s v="ORD000440"/>
    <s v="PROD00367"/>
    <n v="1"/>
    <x v="0"/>
    <n v="29.92"/>
    <n v="29.92"/>
    <s v="LED Floor Lamp Battery"/>
    <s v="SELL0090"/>
    <x v="6"/>
    <x v="53"/>
  </r>
  <r>
    <s v="ORD000440"/>
    <s v="PROD00431"/>
    <n v="1"/>
    <x v="6"/>
    <n v="55.99"/>
    <n v="55.99"/>
    <s v="Garden Hose 20m (Grey)"/>
    <s v="SELL0093"/>
    <x v="0"/>
    <x v="25"/>
  </r>
  <r>
    <s v="ORD000441"/>
    <s v="PROD00297"/>
    <n v="1"/>
    <x v="3"/>
    <n v="97.88"/>
    <n v="97.88"/>
    <s v="HD Webcam 1080p USB Desktop"/>
    <s v="SELL0024"/>
    <x v="4"/>
    <x v="32"/>
  </r>
  <r>
    <s v="ORD000442"/>
    <s v="PROD00008"/>
    <n v="1"/>
    <x v="8"/>
    <n v="38.25"/>
    <n v="38.25"/>
    <s v="Slime Lab Green 8pc"/>
    <s v="SELL0006"/>
    <x v="4"/>
    <x v="13"/>
  </r>
  <r>
    <s v="ORD000442"/>
    <s v="PROD00222"/>
    <n v="1"/>
    <x v="6"/>
    <n v="93.44"/>
    <n v="93.44"/>
    <s v="Charcoal Starter Chimney XL"/>
    <s v="SELL0072"/>
    <x v="5"/>
    <x v="75"/>
  </r>
  <r>
    <s v="ORD000443"/>
    <s v="PROD00343"/>
    <n v="1"/>
    <x v="9"/>
    <n v="77.97"/>
    <n v="77.97"/>
    <s v="Adjustable Dumbbell 20kg"/>
    <s v="SELL0051"/>
    <x v="0"/>
    <x v="19"/>
  </r>
  <r>
    <s v="ORD000444"/>
    <s v="PROD00019"/>
    <n v="1"/>
    <x v="2"/>
    <n v="10.94"/>
    <n v="10.94"/>
    <s v="Hydrating Face Mist"/>
    <s v="SELL0017"/>
    <x v="1"/>
    <x v="9"/>
  </r>
  <r>
    <s v="ORD000445"/>
    <s v="PROD00227"/>
    <n v="1"/>
    <x v="7"/>
    <n v="19.03"/>
    <n v="19.03"/>
    <s v="Tea Lovers Hamper Shapes Edition"/>
    <s v="SELL0073"/>
    <x v="2"/>
    <x v="58"/>
  </r>
  <r>
    <s v="ORD000445"/>
    <s v="PROD00237"/>
    <n v="1"/>
    <x v="4"/>
    <n v="2.1800000000000002"/>
    <n v="2.1800000000000002"/>
    <s v="Ballpoint pen 6 pack"/>
    <s v="SELL0076"/>
    <x v="1"/>
    <x v="39"/>
  </r>
  <r>
    <s v="ORD000446"/>
    <s v="PROD00095"/>
    <n v="1"/>
    <x v="8"/>
    <n v="20.13"/>
    <n v="20.13"/>
    <s v="Plush Koala Toy"/>
    <s v="SELL0040"/>
    <x v="6"/>
    <x v="34"/>
  </r>
  <r>
    <s v="ORD000447"/>
    <s v="PROD00195"/>
    <n v="1"/>
    <x v="2"/>
    <n v="25.78"/>
    <n v="25.78"/>
    <s v="Rose Water Toner"/>
    <s v="SELL0065"/>
    <x v="5"/>
    <x v="20"/>
  </r>
  <r>
    <s v="ORD000447"/>
    <s v="PROD00252"/>
    <n v="1"/>
    <x v="5"/>
    <n v="56.67"/>
    <n v="56.67"/>
    <s v="Men’s Chino Shorts M"/>
    <s v="SELL0081"/>
    <x v="1"/>
    <x v="43"/>
  </r>
  <r>
    <s v="ORD000448"/>
    <s v="PROD00137"/>
    <n v="1"/>
    <x v="4"/>
    <n v="7.57"/>
    <n v="7.57"/>
    <s v="Whiteoard Markers - 3 pack"/>
    <s v="SELL0049"/>
    <x v="4"/>
    <x v="27"/>
  </r>
  <r>
    <s v="ORD000448"/>
    <s v="PROD00173"/>
    <n v="1"/>
    <x v="1"/>
    <n v="29"/>
    <n v="29"/>
    <s v="Drop Earrings Dangle Silver"/>
    <s v="SELL0059"/>
    <x v="2"/>
    <x v="78"/>
  </r>
  <r>
    <s v="ORD000449"/>
    <s v="PROD00024"/>
    <n v="1"/>
    <x v="6"/>
    <n v="23.99"/>
    <n v="23.99"/>
    <s v="BBQ Skewers - 24 pack (Bamboo)"/>
    <s v="SELL0018"/>
    <x v="0"/>
    <x v="62"/>
  </r>
  <r>
    <s v="ORD000449"/>
    <s v="PROD00286"/>
    <n v="1"/>
    <x v="5"/>
    <n v="54.51"/>
    <n v="54.51"/>
    <s v="Women’s Active Leggings (Yellow)"/>
    <s v="SELL0086"/>
    <x v="4"/>
    <x v="6"/>
  </r>
  <r>
    <s v="ORD000450"/>
    <s v="PROD00286"/>
    <n v="2"/>
    <x v="5"/>
    <n v="54.51"/>
    <n v="109.02"/>
    <s v="Women’s Active Leggings (Yellow)"/>
    <s v="SELL0086"/>
    <x v="4"/>
    <x v="6"/>
  </r>
  <r>
    <s v="ORD000451"/>
    <s v="PROD00121"/>
    <n v="1"/>
    <x v="0"/>
    <n v="16.809999999999999"/>
    <n v="16.809999999999999"/>
    <s v="Serving Bowl Blue"/>
    <s v="SELL0045"/>
    <x v="0"/>
    <x v="15"/>
  </r>
  <r>
    <s v="ORD000452"/>
    <s v="PROD00073"/>
    <n v="1"/>
    <x v="6"/>
    <n v="31.66"/>
    <n v="31.66"/>
    <s v="Wood Chips - Oak"/>
    <s v="SELL0035"/>
    <x v="5"/>
    <x v="65"/>
  </r>
  <r>
    <s v="ORD000452"/>
    <s v="PROD00456"/>
    <n v="1"/>
    <x v="8"/>
    <n v="17.5"/>
    <n v="17.5"/>
    <s v="Plush Zebra Toy"/>
    <s v="SELL0095"/>
    <x v="6"/>
    <x v="28"/>
  </r>
  <r>
    <s v="ORD000453"/>
    <s v="PROD00085"/>
    <n v="1"/>
    <x v="7"/>
    <n v="22.33"/>
    <n v="22.33"/>
    <s v="Tea Lovers Hamper Earl Grey"/>
    <s v="SELL0037"/>
    <x v="4"/>
    <x v="5"/>
  </r>
  <r>
    <s v="ORD000453"/>
    <s v="PROD00240"/>
    <n v="1"/>
    <x v="6"/>
    <n v="51.74"/>
    <n v="51.74"/>
    <s v="Garden Ornament Frog"/>
    <s v="SELL0077"/>
    <x v="5"/>
    <x v="8"/>
  </r>
  <r>
    <s v="ORD000453"/>
    <s v="PROD00374"/>
    <n v="2"/>
    <x v="0"/>
    <n v="100.7"/>
    <n v="201.4"/>
    <s v="Portable Camping Chair (Yellow)"/>
    <s v="SELL0027"/>
    <x v="1"/>
    <x v="18"/>
  </r>
  <r>
    <s v="ORD000454"/>
    <s v="PROD00360"/>
    <n v="1"/>
    <x v="0"/>
    <n v="20.79"/>
    <n v="20.79"/>
    <s v="Silicone Laundry Basket - White"/>
    <s v="SELL0027"/>
    <x v="1"/>
    <x v="18"/>
  </r>
  <r>
    <s v="ORD000454"/>
    <s v="PROD00397"/>
    <n v="1"/>
    <x v="1"/>
    <n v="37.76"/>
    <n v="37.76"/>
    <s v="Anklet - Silver Tone"/>
    <s v="SELL0092"/>
    <x v="4"/>
    <x v="10"/>
  </r>
  <r>
    <s v="ORD000455"/>
    <s v="PROD00143"/>
    <n v="1"/>
    <x v="9"/>
    <n v="49.21"/>
    <n v="49.21"/>
    <s v="Foam Roller - Firm Blue Large"/>
    <s v="SELL0051"/>
    <x v="0"/>
    <x v="19"/>
  </r>
  <r>
    <s v="ORD000456"/>
    <s v="PROD00272"/>
    <n v="1"/>
    <x v="2"/>
    <n v="13.25"/>
    <n v="13.25"/>
    <s v="Aloe Vera Gel 150ml 2 pack"/>
    <s v="SELL0086"/>
    <x v="4"/>
    <x v="6"/>
  </r>
  <r>
    <s v="ORD000456"/>
    <s v="PROD00368"/>
    <n v="1"/>
    <x v="0"/>
    <n v="101.55"/>
    <n v="101.55"/>
    <s v="Ceramic Vase Grey Sand"/>
    <s v="SELL0090"/>
    <x v="6"/>
    <x v="53"/>
  </r>
  <r>
    <s v="ORD000457"/>
    <s v="PROD00130"/>
    <n v="2"/>
    <x v="8"/>
    <n v="12.31"/>
    <n v="24.62"/>
    <s v="Kite Glitter"/>
    <s v="SELL0047"/>
    <x v="0"/>
    <x v="16"/>
  </r>
  <r>
    <s v="ORD000457"/>
    <s v="PROD00138"/>
    <n v="1"/>
    <x v="4"/>
    <n v="8.36"/>
    <n v="8.36"/>
    <s v="Premium Pencil Case (Glitter)"/>
    <s v="SELL0049"/>
    <x v="4"/>
    <x v="27"/>
  </r>
  <r>
    <s v="ORD000457"/>
    <s v="PROD00170"/>
    <n v="1"/>
    <x v="6"/>
    <n v="75.239999999999995"/>
    <n v="75.239999999999995"/>
    <s v="Ice bucket outdoor beers garden picnic"/>
    <s v="SELL0058"/>
    <x v="1"/>
    <x v="7"/>
  </r>
  <r>
    <s v="ORD000457"/>
    <s v="PROD00176"/>
    <n v="1"/>
    <x v="6"/>
    <n v="34.86"/>
    <n v="34.86"/>
    <s v="Steel Grill Basket"/>
    <s v="SELL0060"/>
    <x v="4"/>
    <x v="74"/>
  </r>
  <r>
    <s v="ORD000457"/>
    <s v="PROD00453"/>
    <n v="1"/>
    <x v="4"/>
    <n v="14.36"/>
    <n v="14.36"/>
    <s v="Premium Pencil Case (Black)"/>
    <s v="SELL0095"/>
    <x v="6"/>
    <x v="28"/>
  </r>
  <r>
    <s v="ORD000458"/>
    <s v="PROD00214"/>
    <n v="1"/>
    <x v="6"/>
    <n v="32.67"/>
    <n v="32.67"/>
    <s v="Snorkel Set - Adult Small"/>
    <s v="SELL0070"/>
    <x v="1"/>
    <x v="22"/>
  </r>
  <r>
    <s v="ORD000458"/>
    <s v="PROD00227"/>
    <n v="1"/>
    <x v="7"/>
    <n v="19.03"/>
    <n v="19.03"/>
    <s v="Tea Lovers Hamper Shapes Edition"/>
    <s v="SELL0073"/>
    <x v="2"/>
    <x v="58"/>
  </r>
  <r>
    <s v="ORD000459"/>
    <s v="PROD00093"/>
    <n v="1"/>
    <x v="4"/>
    <n v="12.88"/>
    <n v="12.88"/>
    <s v="Highlighter Set Pens Yellow"/>
    <s v="SELL0040"/>
    <x v="6"/>
    <x v="34"/>
  </r>
  <r>
    <s v="ORD000459"/>
    <s v="PROD00170"/>
    <n v="1"/>
    <x v="6"/>
    <n v="75.239999999999995"/>
    <n v="75.239999999999995"/>
    <s v="Ice bucket outdoor beers garden picnic"/>
    <s v="SELL0058"/>
    <x v="1"/>
    <x v="7"/>
  </r>
  <r>
    <s v="ORD000459"/>
    <s v="PROD00231"/>
    <n v="1"/>
    <x v="1"/>
    <n v="59.4"/>
    <n v="59.4"/>
    <s v="Jewellery Box Pink"/>
    <s v="SELL0075"/>
    <x v="2"/>
    <x v="2"/>
  </r>
  <r>
    <s v="ORD000460"/>
    <s v="PROD00027"/>
    <n v="1"/>
    <x v="1"/>
    <n v="28.22"/>
    <n v="28.22"/>
    <s v="Pendant Necklace - Rose Gold"/>
    <s v="SELL0019"/>
    <x v="1"/>
    <x v="51"/>
  </r>
  <r>
    <s v="ORD000460"/>
    <s v="PROD00239"/>
    <n v="1"/>
    <x v="9"/>
    <n v="79.16"/>
    <n v="79.16"/>
    <s v="Heat Therapy Pad Reusable"/>
    <s v="SELL0076"/>
    <x v="1"/>
    <x v="39"/>
  </r>
  <r>
    <s v="ORD000460"/>
    <s v="PROD00324"/>
    <n v="2"/>
    <x v="7"/>
    <n v="33.89"/>
    <n v="67.78"/>
    <s v="Mini Plant Starter Kit (Diasy)"/>
    <s v="SELL0088"/>
    <x v="6"/>
    <x v="12"/>
  </r>
  <r>
    <s v="ORD000461"/>
    <s v="PROD00151"/>
    <n v="1"/>
    <x v="8"/>
    <n v="24.94"/>
    <n v="24.94"/>
    <s v="Kite Blue"/>
    <s v="SELL0021"/>
    <x v="4"/>
    <x v="57"/>
  </r>
  <r>
    <s v="ORD000462"/>
    <s v="PROD00326"/>
    <n v="1"/>
    <x v="7"/>
    <n v="32.71"/>
    <n v="32.71"/>
    <s v="Luxury Skincare Set Moisturiser Bath Bomb"/>
    <s v="SELL0088"/>
    <x v="6"/>
    <x v="12"/>
  </r>
  <r>
    <s v="ORD000463"/>
    <s v="PROD00067"/>
    <n v="1"/>
    <x v="8"/>
    <n v="23.3"/>
    <n v="23.3"/>
    <s v="Car Controlled Phone Remote"/>
    <s v="SELL0034"/>
    <x v="0"/>
    <x v="60"/>
  </r>
  <r>
    <s v="ORD000464"/>
    <s v="PROD00447"/>
    <n v="1"/>
    <x v="4"/>
    <n v="3.23"/>
    <n v="3.23"/>
    <s v="Weekly Planner Pad"/>
    <s v="SELL0010"/>
    <x v="4"/>
    <x v="4"/>
  </r>
  <r>
    <s v="ORD000465"/>
    <s v="PROD00218"/>
    <n v="1"/>
    <x v="2"/>
    <n v="22.23"/>
    <n v="22.23"/>
    <s v="Lotion Cocoa Butter 50ml"/>
    <s v="SELL0071"/>
    <x v="4"/>
    <x v="86"/>
  </r>
  <r>
    <s v="ORD000466"/>
    <s v="PROD00351"/>
    <n v="1"/>
    <x v="2"/>
    <n v="17.829999999999998"/>
    <n v="17.829999999999998"/>
    <s v="Aloe Vera Gel 500ml"/>
    <s v="SELL0083"/>
    <x v="3"/>
    <x v="64"/>
  </r>
  <r>
    <s v="ORD000467"/>
    <s v="PROD00043"/>
    <n v="1"/>
    <x v="6"/>
    <n v="55.89"/>
    <n v="55.89"/>
    <s v="Fairy Lights Outdoor Garden String 200"/>
    <s v="SELL0023"/>
    <x v="4"/>
    <x v="56"/>
  </r>
  <r>
    <s v="ORD000467"/>
    <s v="PROD00256"/>
    <n v="1"/>
    <x v="6"/>
    <n v="48.14"/>
    <n v="48.14"/>
    <s v="Disposible Mini Grill"/>
    <s v="SELL0081"/>
    <x v="1"/>
    <x v="43"/>
  </r>
  <r>
    <s v="ORD000468"/>
    <s v="PROD00306"/>
    <n v="1"/>
    <x v="3"/>
    <n v="92.77"/>
    <n v="92.77"/>
    <s v="Smart LED Light Bulb"/>
    <s v="SELL0087"/>
    <x v="6"/>
    <x v="47"/>
  </r>
  <r>
    <s v="ORD000469"/>
    <s v="PROD00342"/>
    <n v="1"/>
    <x v="9"/>
    <n v="60.86"/>
    <n v="60.86"/>
    <s v="Adjustable Dumbbell 12kg"/>
    <s v="SELL0051"/>
    <x v="0"/>
    <x v="19"/>
  </r>
  <r>
    <s v="ORD000470"/>
    <s v="PROD00304"/>
    <n v="1"/>
    <x v="3"/>
    <n v="115.55"/>
    <n v="115.55"/>
    <s v="Smart LED Light Bulb"/>
    <s v="SELL0087"/>
    <x v="6"/>
    <x v="47"/>
  </r>
  <r>
    <s v="ORD000471"/>
    <s v="PROD00200"/>
    <n v="1"/>
    <x v="6"/>
    <n v="30.95"/>
    <n v="30.95"/>
    <s v="BBQ Cleaning Brush"/>
    <s v="SELL0067"/>
    <x v="3"/>
    <x v="3"/>
  </r>
  <r>
    <s v="ORD000471"/>
    <s v="PROD00442"/>
    <n v="1"/>
    <x v="6"/>
    <n v="44.92"/>
    <n v="44.92"/>
    <s v="Waterproof Picnic Mat"/>
    <s v="SELL0094"/>
    <x v="3"/>
    <x v="41"/>
  </r>
  <r>
    <s v="ORD000472"/>
    <s v="PROD00315"/>
    <n v="1"/>
    <x v="3"/>
    <n v="36.57"/>
    <n v="36.57"/>
    <s v="Portable Power Bank 10,000mAh (Navy)"/>
    <s v="SELL0088"/>
    <x v="6"/>
    <x v="12"/>
  </r>
  <r>
    <s v="ORD000472"/>
    <s v="PROD00401"/>
    <n v="1"/>
    <x v="1"/>
    <n v="39.04"/>
    <n v="39.04"/>
    <s v="Gold-plated Hoop Earrings 5mm"/>
    <s v="SELL0092"/>
    <x v="4"/>
    <x v="10"/>
  </r>
  <r>
    <s v="ORD000472"/>
    <s v="PROD00404"/>
    <n v="1"/>
    <x v="6"/>
    <n v="81.02"/>
    <n v="81.02"/>
    <s v="BBQ Meat Thermometer Bluetooth"/>
    <s v="SELL0092"/>
    <x v="4"/>
    <x v="10"/>
  </r>
  <r>
    <s v="ORD000473"/>
    <s v="PROD00143"/>
    <n v="1"/>
    <x v="9"/>
    <n v="49.21"/>
    <n v="49.21"/>
    <s v="Foam Roller - Firm Blue Large"/>
    <s v="SELL0051"/>
    <x v="0"/>
    <x v="19"/>
  </r>
  <r>
    <s v="ORD000474"/>
    <s v="PROD00228"/>
    <n v="1"/>
    <x v="0"/>
    <n v="64.55"/>
    <n v="64.55"/>
    <s v="Carbon Fiber Mug Set"/>
    <s v="SELL0074"/>
    <x v="0"/>
    <x v="17"/>
  </r>
  <r>
    <s v="ORD000474"/>
    <s v="PROD00276"/>
    <n v="2"/>
    <x v="5"/>
    <n v="44.13"/>
    <n v="88.26"/>
    <s v="Men’s Chino Shorts XL"/>
    <s v="SELL0086"/>
    <x v="4"/>
    <x v="6"/>
  </r>
  <r>
    <s v="ORD000475"/>
    <s v="PROD00308"/>
    <n v="1"/>
    <x v="3"/>
    <n v="63.84"/>
    <n v="63.84"/>
    <s v="Noise Cancelling Headphones (Red)"/>
    <s v="SELL0088"/>
    <x v="6"/>
    <x v="12"/>
  </r>
  <r>
    <s v="ORD000476"/>
    <s v="PROD00362"/>
    <n v="1"/>
    <x v="0"/>
    <n v="115.49"/>
    <n v="115.49"/>
    <s v="Memory Foam Pillow Medium Firm"/>
    <s v="SELL0027"/>
    <x v="1"/>
    <x v="18"/>
  </r>
  <r>
    <s v="ORD000476"/>
    <s v="PROD00430"/>
    <n v="1"/>
    <x v="6"/>
    <n v="96.77"/>
    <n v="96.77"/>
    <s v="Garden Hose 50m (Grey)"/>
    <s v="SELL0093"/>
    <x v="0"/>
    <x v="25"/>
  </r>
  <r>
    <s v="ORD000477"/>
    <s v="PROD00087"/>
    <n v="1"/>
    <x v="0"/>
    <n v="82.88"/>
    <n v="82.88"/>
    <s v="Floor Lamp Standing Tall LED"/>
    <s v="SELL0038"/>
    <x v="7"/>
    <x v="23"/>
  </r>
  <r>
    <s v="ORD000478"/>
    <s v="PROD00105"/>
    <n v="1"/>
    <x v="9"/>
    <n v="26.98"/>
    <n v="26.98"/>
    <s v="Yoga Mat - 8mm Thick"/>
    <s v="SELL0042"/>
    <x v="3"/>
    <x v="14"/>
  </r>
  <r>
    <s v="ORD000478"/>
    <s v="PROD00197"/>
    <n v="1"/>
    <x v="9"/>
    <n v="40.75"/>
    <n v="40.75"/>
    <s v="Blood Pressure Monitor Digital"/>
    <s v="SELL0066"/>
    <x v="4"/>
    <x v="21"/>
  </r>
  <r>
    <s v="ORD000478"/>
    <s v="PROD00370"/>
    <n v="2"/>
    <x v="0"/>
    <n v="24.23"/>
    <n v="48.46"/>
    <s v="Rug 200cm x 220cm"/>
    <s v="SELL0027"/>
    <x v="1"/>
    <x v="18"/>
  </r>
  <r>
    <m/>
    <m/>
    <m/>
    <x v="10"/>
    <m/>
    <m/>
    <m/>
    <m/>
    <x v="8"/>
    <x v="87"/>
  </r>
  <r>
    <m/>
    <m/>
    <m/>
    <x v="10"/>
    <m/>
    <m/>
    <m/>
    <m/>
    <x v="8"/>
    <x v="87"/>
  </r>
  <r>
    <m/>
    <m/>
    <m/>
    <x v="10"/>
    <m/>
    <m/>
    <m/>
    <m/>
    <x v="8"/>
    <x v="87"/>
  </r>
  <r>
    <m/>
    <m/>
    <m/>
    <x v="10"/>
    <m/>
    <m/>
    <m/>
    <m/>
    <x v="8"/>
    <x v="87"/>
  </r>
  <r>
    <m/>
    <m/>
    <m/>
    <x v="10"/>
    <m/>
    <m/>
    <m/>
    <m/>
    <x v="8"/>
    <x v="87"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8">
  <r>
    <x v="0"/>
    <n v="33.08"/>
  </r>
  <r>
    <x v="1"/>
    <n v="8.94"/>
  </r>
  <r>
    <x v="1"/>
    <n v="4.47"/>
  </r>
  <r>
    <x v="2"/>
    <n v="38.25"/>
  </r>
  <r>
    <x v="2"/>
    <n v="38.25"/>
  </r>
  <r>
    <x v="2"/>
    <n v="38.25"/>
  </r>
  <r>
    <x v="3"/>
    <n v="30.71"/>
  </r>
  <r>
    <x v="3"/>
    <n v="30.71"/>
  </r>
  <r>
    <x v="4"/>
    <n v="14.12"/>
  </r>
  <r>
    <x v="4"/>
    <n v="14.12"/>
  </r>
  <r>
    <x v="5"/>
    <n v="74.8"/>
  </r>
  <r>
    <x v="6"/>
    <n v="46.45"/>
  </r>
  <r>
    <x v="6"/>
    <n v="46.45"/>
  </r>
  <r>
    <x v="6"/>
    <n v="46.45"/>
  </r>
  <r>
    <x v="6"/>
    <n v="92.9"/>
  </r>
  <r>
    <x v="6"/>
    <n v="46.45"/>
  </r>
  <r>
    <x v="7"/>
    <n v="48.06"/>
  </r>
  <r>
    <x v="7"/>
    <n v="48.06"/>
  </r>
  <r>
    <x v="7"/>
    <n v="48.06"/>
  </r>
  <r>
    <x v="7"/>
    <n v="48.06"/>
  </r>
  <r>
    <x v="8"/>
    <n v="73.55"/>
  </r>
  <r>
    <x v="8"/>
    <n v="73.55"/>
  </r>
  <r>
    <x v="8"/>
    <n v="73.55"/>
  </r>
  <r>
    <x v="9"/>
    <n v="41.13"/>
  </r>
  <r>
    <x v="9"/>
    <n v="13.71"/>
  </r>
  <r>
    <x v="9"/>
    <n v="41.13"/>
  </r>
  <r>
    <x v="9"/>
    <n v="13.71"/>
  </r>
  <r>
    <x v="9"/>
    <n v="13.71"/>
  </r>
  <r>
    <x v="9"/>
    <n v="13.71"/>
  </r>
  <r>
    <x v="9"/>
    <n v="13.71"/>
  </r>
  <r>
    <x v="9"/>
    <n v="13.71"/>
  </r>
  <r>
    <x v="9"/>
    <n v="13.71"/>
  </r>
  <r>
    <x v="9"/>
    <n v="13.71"/>
  </r>
  <r>
    <x v="9"/>
    <n v="13.71"/>
  </r>
  <r>
    <x v="9"/>
    <n v="27.42"/>
  </r>
  <r>
    <x v="9"/>
    <n v="13.71"/>
  </r>
  <r>
    <x v="9"/>
    <n v="13.71"/>
  </r>
  <r>
    <x v="9"/>
    <n v="13.71"/>
  </r>
  <r>
    <x v="9"/>
    <n v="40.119999999999997"/>
  </r>
  <r>
    <x v="9"/>
    <n v="40.119999999999997"/>
  </r>
  <r>
    <x v="9"/>
    <n v="40.119999999999997"/>
  </r>
  <r>
    <x v="9"/>
    <n v="80.239999999999995"/>
  </r>
  <r>
    <x v="9"/>
    <n v="40.119999999999997"/>
  </r>
  <r>
    <x v="10"/>
    <n v="21.88"/>
  </r>
  <r>
    <x v="10"/>
    <n v="10.94"/>
  </r>
  <r>
    <x v="11"/>
    <n v="30.1"/>
  </r>
  <r>
    <x v="11"/>
    <n v="15.05"/>
  </r>
  <r>
    <x v="11"/>
    <n v="15.05"/>
  </r>
  <r>
    <x v="11"/>
    <n v="30.1"/>
  </r>
  <r>
    <x v="11"/>
    <n v="15.05"/>
  </r>
  <r>
    <x v="11"/>
    <n v="15.05"/>
  </r>
  <r>
    <x v="11"/>
    <n v="15.05"/>
  </r>
  <r>
    <x v="10"/>
    <n v="113.99"/>
  </r>
  <r>
    <x v="12"/>
    <n v="27.05"/>
  </r>
  <r>
    <x v="12"/>
    <n v="54.1"/>
  </r>
  <r>
    <x v="12"/>
    <n v="23.99"/>
  </r>
  <r>
    <x v="12"/>
    <n v="47.98"/>
  </r>
  <r>
    <x v="12"/>
    <n v="23.99"/>
  </r>
  <r>
    <x v="12"/>
    <n v="23.99"/>
  </r>
  <r>
    <x v="13"/>
    <n v="28.22"/>
  </r>
  <r>
    <x v="13"/>
    <n v="8.39"/>
  </r>
  <r>
    <x v="13"/>
    <n v="8.39"/>
  </r>
  <r>
    <x v="13"/>
    <n v="8.39"/>
  </r>
  <r>
    <x v="13"/>
    <n v="8.39"/>
  </r>
  <r>
    <x v="13"/>
    <n v="8.39"/>
  </r>
  <r>
    <x v="14"/>
    <n v="10.39"/>
  </r>
  <r>
    <x v="15"/>
    <n v="98.62"/>
  </r>
  <r>
    <x v="15"/>
    <n v="86.54"/>
  </r>
  <r>
    <x v="15"/>
    <n v="43.27"/>
  </r>
  <r>
    <x v="15"/>
    <n v="43.27"/>
  </r>
  <r>
    <x v="15"/>
    <n v="115.39"/>
  </r>
  <r>
    <x v="15"/>
    <n v="115.39"/>
  </r>
  <r>
    <x v="15"/>
    <n v="115.39"/>
  </r>
  <r>
    <x v="15"/>
    <n v="230.78"/>
  </r>
  <r>
    <x v="15"/>
    <n v="115.39"/>
  </r>
  <r>
    <x v="16"/>
    <n v="17.940000000000001"/>
  </r>
  <r>
    <x v="16"/>
    <n v="17.940000000000001"/>
  </r>
  <r>
    <x v="16"/>
    <n v="17.940000000000001"/>
  </r>
  <r>
    <x v="16"/>
    <n v="38.630000000000003"/>
  </r>
  <r>
    <x v="16"/>
    <n v="24.22"/>
  </r>
  <r>
    <x v="16"/>
    <n v="48.44"/>
  </r>
  <r>
    <x v="16"/>
    <n v="24.22"/>
  </r>
  <r>
    <x v="16"/>
    <n v="24.22"/>
  </r>
  <r>
    <x v="16"/>
    <n v="24.22"/>
  </r>
  <r>
    <x v="16"/>
    <n v="24.22"/>
  </r>
  <r>
    <x v="16"/>
    <n v="90.92"/>
  </r>
  <r>
    <x v="16"/>
    <n v="45.46"/>
  </r>
  <r>
    <x v="16"/>
    <n v="45.46"/>
  </r>
  <r>
    <x v="17"/>
    <n v="25.82"/>
  </r>
  <r>
    <x v="17"/>
    <n v="14.11"/>
  </r>
  <r>
    <x v="17"/>
    <n v="76.78"/>
  </r>
  <r>
    <x v="17"/>
    <n v="38.39"/>
  </r>
  <r>
    <x v="17"/>
    <n v="115.17"/>
  </r>
  <r>
    <x v="17"/>
    <n v="38.39"/>
  </r>
  <r>
    <x v="17"/>
    <n v="38.39"/>
  </r>
  <r>
    <x v="17"/>
    <n v="38.39"/>
  </r>
  <r>
    <x v="17"/>
    <n v="38.39"/>
  </r>
  <r>
    <x v="17"/>
    <n v="38.39"/>
  </r>
  <r>
    <x v="17"/>
    <n v="38.39"/>
  </r>
  <r>
    <x v="17"/>
    <n v="55.89"/>
  </r>
  <r>
    <x v="17"/>
    <n v="55.89"/>
  </r>
  <r>
    <x v="17"/>
    <n v="54.17"/>
  </r>
  <r>
    <x v="17"/>
    <n v="54.17"/>
  </r>
  <r>
    <x v="18"/>
    <n v="62.94"/>
  </r>
  <r>
    <x v="19"/>
    <n v="54.17"/>
  </r>
  <r>
    <x v="19"/>
    <n v="54.17"/>
  </r>
  <r>
    <x v="20"/>
    <n v="89.8"/>
  </r>
  <r>
    <x v="20"/>
    <n v="89.8"/>
  </r>
  <r>
    <x v="20"/>
    <n v="89.8"/>
  </r>
  <r>
    <x v="20"/>
    <n v="34.869999999999997"/>
  </r>
  <r>
    <x v="20"/>
    <n v="69.739999999999995"/>
  </r>
  <r>
    <x v="21"/>
    <n v="29.36"/>
  </r>
  <r>
    <x v="21"/>
    <n v="29.36"/>
  </r>
  <r>
    <x v="21"/>
    <n v="29.36"/>
  </r>
  <r>
    <x v="21"/>
    <n v="30.81"/>
  </r>
  <r>
    <x v="21"/>
    <n v="30.81"/>
  </r>
  <r>
    <x v="21"/>
    <n v="7.72"/>
  </r>
  <r>
    <x v="21"/>
    <n v="23.16"/>
  </r>
  <r>
    <x v="22"/>
    <n v="27.42"/>
  </r>
  <r>
    <x v="23"/>
    <n v="30.74"/>
  </r>
  <r>
    <x v="24"/>
    <n v="58.23"/>
  </r>
  <r>
    <x v="24"/>
    <n v="58.23"/>
  </r>
  <r>
    <x v="25"/>
    <n v="26.58"/>
  </r>
  <r>
    <x v="25"/>
    <n v="26.58"/>
  </r>
  <r>
    <x v="25"/>
    <n v="36.26"/>
  </r>
  <r>
    <x v="25"/>
    <n v="15.04"/>
  </r>
  <r>
    <x v="25"/>
    <n v="15.04"/>
  </r>
  <r>
    <x v="26"/>
    <n v="13.58"/>
  </r>
  <r>
    <x v="26"/>
    <n v="106.76"/>
  </r>
  <r>
    <x v="26"/>
    <n v="109.54"/>
  </r>
  <r>
    <x v="26"/>
    <n v="109.54"/>
  </r>
  <r>
    <x v="27"/>
    <n v="55.35"/>
  </r>
  <r>
    <x v="27"/>
    <n v="110.7"/>
  </r>
  <r>
    <x v="27"/>
    <n v="21.37"/>
  </r>
  <r>
    <x v="27"/>
    <n v="21.37"/>
  </r>
  <r>
    <x v="27"/>
    <n v="21.37"/>
  </r>
  <r>
    <x v="27"/>
    <n v="21.37"/>
  </r>
  <r>
    <x v="27"/>
    <n v="21.37"/>
  </r>
  <r>
    <x v="27"/>
    <n v="21.37"/>
  </r>
  <r>
    <x v="27"/>
    <n v="21.37"/>
  </r>
  <r>
    <x v="27"/>
    <n v="23.3"/>
  </r>
  <r>
    <x v="27"/>
    <n v="23.3"/>
  </r>
  <r>
    <x v="27"/>
    <n v="23.3"/>
  </r>
  <r>
    <x v="27"/>
    <n v="16.940000000000001"/>
  </r>
  <r>
    <x v="28"/>
    <n v="11.91"/>
  </r>
  <r>
    <x v="28"/>
    <n v="235.58"/>
  </r>
  <r>
    <x v="28"/>
    <n v="117.79"/>
  </r>
  <r>
    <x v="28"/>
    <n v="117.79"/>
  </r>
  <r>
    <x v="28"/>
    <n v="117.79"/>
  </r>
  <r>
    <x v="28"/>
    <n v="39.85"/>
  </r>
  <r>
    <x v="28"/>
    <n v="72.48"/>
  </r>
  <r>
    <x v="28"/>
    <n v="36.24"/>
  </r>
  <r>
    <x v="28"/>
    <n v="72.48"/>
  </r>
  <r>
    <x v="28"/>
    <n v="31.66"/>
  </r>
  <r>
    <x v="28"/>
    <n v="31.66"/>
  </r>
  <r>
    <x v="28"/>
    <n v="31.66"/>
  </r>
  <r>
    <x v="29"/>
    <n v="49.99"/>
  </r>
  <r>
    <x v="29"/>
    <n v="49.99"/>
  </r>
  <r>
    <x v="29"/>
    <n v="26.76"/>
  </r>
  <r>
    <x v="29"/>
    <n v="53.52"/>
  </r>
  <r>
    <x v="30"/>
    <n v="39.36"/>
  </r>
  <r>
    <x v="30"/>
    <n v="39.36"/>
  </r>
  <r>
    <x v="30"/>
    <n v="39.36"/>
  </r>
  <r>
    <x v="30"/>
    <n v="20.59"/>
  </r>
  <r>
    <x v="30"/>
    <n v="41.18"/>
  </r>
  <r>
    <x v="30"/>
    <n v="19.89"/>
  </r>
  <r>
    <x v="30"/>
    <n v="6.78"/>
  </r>
  <r>
    <x v="30"/>
    <n v="6.78"/>
  </r>
  <r>
    <x v="30"/>
    <n v="46.55"/>
  </r>
  <r>
    <x v="30"/>
    <n v="93.1"/>
  </r>
  <r>
    <x v="30"/>
    <n v="44.66"/>
  </r>
  <r>
    <x v="30"/>
    <n v="22.33"/>
  </r>
  <r>
    <x v="31"/>
    <n v="37.840000000000003"/>
  </r>
  <r>
    <x v="31"/>
    <n v="37.840000000000003"/>
  </r>
  <r>
    <x v="31"/>
    <n v="37.840000000000003"/>
  </r>
  <r>
    <x v="31"/>
    <n v="75.680000000000007"/>
  </r>
  <r>
    <x v="31"/>
    <n v="165.76"/>
  </r>
  <r>
    <x v="31"/>
    <n v="82.88"/>
  </r>
  <r>
    <x v="32"/>
    <n v="27.88"/>
  </r>
  <r>
    <x v="32"/>
    <n v="27.88"/>
  </r>
  <r>
    <x v="32"/>
    <n v="43.42"/>
  </r>
  <r>
    <x v="32"/>
    <n v="43.42"/>
  </r>
  <r>
    <x v="32"/>
    <n v="43.42"/>
  </r>
  <r>
    <x v="32"/>
    <n v="84.48"/>
  </r>
  <r>
    <x v="32"/>
    <n v="42.24"/>
  </r>
  <r>
    <x v="32"/>
    <n v="27.76"/>
  </r>
  <r>
    <x v="32"/>
    <n v="27.76"/>
  </r>
  <r>
    <x v="33"/>
    <n v="37.630000000000003"/>
  </r>
  <r>
    <x v="33"/>
    <n v="12.88"/>
  </r>
  <r>
    <x v="33"/>
    <n v="12.88"/>
  </r>
  <r>
    <x v="33"/>
    <n v="25.76"/>
  </r>
  <r>
    <x v="33"/>
    <n v="12.88"/>
  </r>
  <r>
    <x v="33"/>
    <n v="40.83"/>
  </r>
  <r>
    <x v="33"/>
    <n v="40.83"/>
  </r>
  <r>
    <x v="33"/>
    <n v="40.83"/>
  </r>
  <r>
    <x v="33"/>
    <n v="40.83"/>
  </r>
  <r>
    <x v="33"/>
    <n v="40.83"/>
  </r>
  <r>
    <x v="33"/>
    <n v="20.13"/>
  </r>
  <r>
    <x v="33"/>
    <n v="7.88"/>
  </r>
  <r>
    <x v="15"/>
    <n v="115.39"/>
  </r>
  <r>
    <x v="15"/>
    <n v="115.39"/>
  </r>
  <r>
    <x v="34"/>
    <n v="58.45"/>
  </r>
  <r>
    <x v="34"/>
    <n v="58.45"/>
  </r>
  <r>
    <x v="34"/>
    <n v="32.44"/>
  </r>
  <r>
    <x v="34"/>
    <n v="32.44"/>
  </r>
  <r>
    <x v="34"/>
    <n v="17.66"/>
  </r>
  <r>
    <x v="34"/>
    <n v="39.99"/>
  </r>
  <r>
    <x v="34"/>
    <n v="79.98"/>
  </r>
  <r>
    <x v="34"/>
    <n v="79.98"/>
  </r>
  <r>
    <x v="34"/>
    <n v="44.42"/>
  </r>
  <r>
    <x v="34"/>
    <n v="44.42"/>
  </r>
  <r>
    <x v="34"/>
    <n v="44.42"/>
  </r>
  <r>
    <x v="35"/>
    <n v="26.98"/>
  </r>
  <r>
    <x v="35"/>
    <n v="41.73"/>
  </r>
  <r>
    <x v="35"/>
    <n v="41.73"/>
  </r>
  <r>
    <x v="35"/>
    <n v="41.73"/>
  </r>
  <r>
    <x v="35"/>
    <n v="41.73"/>
  </r>
  <r>
    <x v="35"/>
    <n v="41.73"/>
  </r>
  <r>
    <x v="35"/>
    <n v="182.82"/>
  </r>
  <r>
    <x v="35"/>
    <n v="91.41"/>
  </r>
  <r>
    <x v="35"/>
    <n v="91.41"/>
  </r>
  <r>
    <x v="35"/>
    <n v="13.16"/>
  </r>
  <r>
    <x v="35"/>
    <n v="13.16"/>
  </r>
  <r>
    <x v="35"/>
    <n v="26.32"/>
  </r>
  <r>
    <x v="36"/>
    <n v="15.99"/>
  </r>
  <r>
    <x v="36"/>
    <n v="37.79"/>
  </r>
  <r>
    <x v="36"/>
    <n v="37.79"/>
  </r>
  <r>
    <x v="36"/>
    <n v="37.79"/>
  </r>
  <r>
    <x v="36"/>
    <n v="53.5"/>
  </r>
  <r>
    <x v="36"/>
    <n v="53.5"/>
  </r>
  <r>
    <x v="18"/>
    <n v="112.5"/>
  </r>
  <r>
    <x v="18"/>
    <n v="112.5"/>
  </r>
  <r>
    <x v="37"/>
    <n v="55.56"/>
  </r>
  <r>
    <x v="37"/>
    <n v="13.95"/>
  </r>
  <r>
    <x v="37"/>
    <n v="53.17"/>
  </r>
  <r>
    <x v="37"/>
    <n v="53.17"/>
  </r>
  <r>
    <x v="38"/>
    <n v="51.49"/>
  </r>
  <r>
    <x v="38"/>
    <n v="25.48"/>
  </r>
  <r>
    <x v="38"/>
    <n v="16.809999999999999"/>
  </r>
  <r>
    <x v="38"/>
    <n v="9.81"/>
  </r>
  <r>
    <x v="38"/>
    <n v="9.81"/>
  </r>
  <r>
    <x v="39"/>
    <n v="84.85"/>
  </r>
  <r>
    <x v="39"/>
    <n v="13.79"/>
  </r>
  <r>
    <x v="39"/>
    <n v="27.58"/>
  </r>
  <r>
    <x v="39"/>
    <n v="5.49"/>
  </r>
  <r>
    <x v="39"/>
    <n v="5.49"/>
  </r>
  <r>
    <x v="39"/>
    <n v="5.49"/>
  </r>
  <r>
    <x v="39"/>
    <n v="92.15"/>
  </r>
  <r>
    <x v="39"/>
    <n v="37.340000000000003"/>
  </r>
  <r>
    <x v="39"/>
    <n v="37.340000000000003"/>
  </r>
  <r>
    <x v="39"/>
    <n v="37.340000000000003"/>
  </r>
  <r>
    <x v="39"/>
    <n v="74.680000000000007"/>
  </r>
  <r>
    <x v="40"/>
    <n v="12.31"/>
  </r>
  <r>
    <x v="40"/>
    <n v="12.31"/>
  </r>
  <r>
    <x v="40"/>
    <n v="12.31"/>
  </r>
  <r>
    <x v="40"/>
    <n v="24.62"/>
  </r>
  <r>
    <x v="40"/>
    <n v="24.62"/>
  </r>
  <r>
    <x v="40"/>
    <n v="37.72"/>
  </r>
  <r>
    <x v="40"/>
    <n v="35.11"/>
  </r>
  <r>
    <x v="41"/>
    <n v="48.81"/>
  </r>
  <r>
    <x v="41"/>
    <n v="292.86"/>
  </r>
  <r>
    <x v="41"/>
    <n v="48.81"/>
  </r>
  <r>
    <x v="41"/>
    <n v="48.81"/>
  </r>
  <r>
    <x v="42"/>
    <n v="40.619999999999997"/>
  </r>
  <r>
    <x v="42"/>
    <n v="20.309999999999999"/>
  </r>
  <r>
    <x v="42"/>
    <n v="20.309999999999999"/>
  </r>
  <r>
    <x v="42"/>
    <n v="7.57"/>
  </r>
  <r>
    <x v="42"/>
    <n v="7.57"/>
  </r>
  <r>
    <x v="42"/>
    <n v="7.57"/>
  </r>
  <r>
    <x v="42"/>
    <n v="8.36"/>
  </r>
  <r>
    <x v="42"/>
    <n v="81.81"/>
  </r>
  <r>
    <x v="42"/>
    <n v="81.81"/>
  </r>
  <r>
    <x v="43"/>
    <n v="62.17"/>
  </r>
  <r>
    <x v="43"/>
    <n v="49.21"/>
  </r>
  <r>
    <x v="43"/>
    <n v="49.21"/>
  </r>
  <r>
    <x v="44"/>
    <n v="88.21"/>
  </r>
  <r>
    <x v="44"/>
    <n v="88.21"/>
  </r>
  <r>
    <x v="44"/>
    <n v="88.21"/>
  </r>
  <r>
    <x v="44"/>
    <n v="35.020000000000003"/>
  </r>
  <r>
    <x v="44"/>
    <n v="14.62"/>
  </r>
  <r>
    <x v="15"/>
    <n v="24.94"/>
  </r>
  <r>
    <x v="45"/>
    <n v="42.11"/>
  </r>
  <r>
    <x v="45"/>
    <n v="42.11"/>
  </r>
  <r>
    <x v="45"/>
    <n v="48.8"/>
  </r>
  <r>
    <x v="46"/>
    <n v="23.68"/>
  </r>
  <r>
    <x v="46"/>
    <n v="16.22"/>
  </r>
  <r>
    <x v="46"/>
    <n v="16.22"/>
  </r>
  <r>
    <x v="47"/>
    <n v="37.99"/>
  </r>
  <r>
    <x v="47"/>
    <n v="37.99"/>
  </r>
  <r>
    <x v="48"/>
    <n v="32.299999999999997"/>
  </r>
  <r>
    <x v="48"/>
    <n v="88.29"/>
  </r>
  <r>
    <x v="48"/>
    <n v="88.29"/>
  </r>
  <r>
    <x v="48"/>
    <n v="88.29"/>
  </r>
  <r>
    <x v="48"/>
    <n v="88.29"/>
  </r>
  <r>
    <x v="40"/>
    <n v="13.7"/>
  </r>
  <r>
    <x v="40"/>
    <n v="13.7"/>
  </r>
  <r>
    <x v="40"/>
    <n v="27.4"/>
  </r>
  <r>
    <x v="40"/>
    <n v="13.7"/>
  </r>
  <r>
    <x v="48"/>
    <n v="89.07"/>
  </r>
  <r>
    <x v="48"/>
    <n v="12.82"/>
  </r>
  <r>
    <x v="49"/>
    <n v="33.36"/>
  </r>
  <r>
    <x v="49"/>
    <n v="66.72"/>
  </r>
  <r>
    <x v="49"/>
    <n v="31.11"/>
  </r>
  <r>
    <x v="49"/>
    <n v="31.11"/>
  </r>
  <r>
    <x v="49"/>
    <n v="150.47999999999999"/>
  </r>
  <r>
    <x v="49"/>
    <n v="75.239999999999995"/>
  </r>
  <r>
    <x v="49"/>
    <n v="75.239999999999995"/>
  </r>
  <r>
    <x v="49"/>
    <n v="75.239999999999995"/>
  </r>
  <r>
    <x v="49"/>
    <n v="75.239999999999995"/>
  </r>
  <r>
    <x v="49"/>
    <n v="40.28"/>
  </r>
  <r>
    <x v="49"/>
    <n v="29.98"/>
  </r>
  <r>
    <x v="49"/>
    <n v="29.98"/>
  </r>
  <r>
    <x v="50"/>
    <n v="29"/>
  </r>
  <r>
    <x v="50"/>
    <n v="29"/>
  </r>
  <r>
    <x v="51"/>
    <n v="36.35"/>
  </r>
  <r>
    <x v="51"/>
    <n v="36.35"/>
  </r>
  <r>
    <x v="51"/>
    <n v="34.86"/>
  </r>
  <r>
    <x v="51"/>
    <n v="69.72"/>
  </r>
  <r>
    <x v="51"/>
    <n v="34.86"/>
  </r>
  <r>
    <x v="51"/>
    <n v="34.86"/>
  </r>
  <r>
    <x v="51"/>
    <n v="34.86"/>
  </r>
  <r>
    <x v="51"/>
    <n v="34.86"/>
  </r>
  <r>
    <x v="51"/>
    <n v="34.86"/>
  </r>
  <r>
    <x v="52"/>
    <n v="39.99"/>
  </r>
  <r>
    <x v="53"/>
    <n v="83.03"/>
  </r>
  <r>
    <x v="53"/>
    <n v="37.979999999999997"/>
  </r>
  <r>
    <x v="53"/>
    <n v="24.7"/>
  </r>
  <r>
    <x v="53"/>
    <n v="24.7"/>
  </r>
  <r>
    <x v="53"/>
    <n v="110.01"/>
  </r>
  <r>
    <x v="53"/>
    <n v="110.01"/>
  </r>
  <r>
    <x v="53"/>
    <n v="35.08"/>
  </r>
  <r>
    <x v="53"/>
    <n v="48.51"/>
  </r>
  <r>
    <x v="53"/>
    <n v="47.32"/>
  </r>
  <r>
    <x v="54"/>
    <n v="40.97"/>
  </r>
  <r>
    <x v="54"/>
    <n v="40.97"/>
  </r>
  <r>
    <x v="55"/>
    <n v="29.09"/>
  </r>
  <r>
    <x v="56"/>
    <n v="25.78"/>
  </r>
  <r>
    <x v="56"/>
    <n v="25.78"/>
  </r>
  <r>
    <x v="56"/>
    <n v="37.9"/>
  </r>
  <r>
    <x v="56"/>
    <n v="37.9"/>
  </r>
  <r>
    <x v="57"/>
    <n v="40.75"/>
  </r>
  <r>
    <x v="57"/>
    <n v="40.75"/>
  </r>
  <r>
    <x v="57"/>
    <n v="40.75"/>
  </r>
  <r>
    <x v="57"/>
    <n v="40.75"/>
  </r>
  <r>
    <x v="57"/>
    <n v="40.75"/>
  </r>
  <r>
    <x v="58"/>
    <n v="24.19"/>
  </r>
  <r>
    <x v="58"/>
    <n v="24.19"/>
  </r>
  <r>
    <x v="58"/>
    <n v="24.19"/>
  </r>
  <r>
    <x v="58"/>
    <n v="32.42"/>
  </r>
  <r>
    <x v="58"/>
    <n v="32.42"/>
  </r>
  <r>
    <x v="58"/>
    <n v="30.95"/>
  </r>
  <r>
    <x v="58"/>
    <n v="30.95"/>
  </r>
  <r>
    <x v="58"/>
    <n v="61.9"/>
  </r>
  <r>
    <x v="58"/>
    <n v="61.9"/>
  </r>
  <r>
    <x v="58"/>
    <n v="61.9"/>
  </r>
  <r>
    <x v="58"/>
    <n v="30.95"/>
  </r>
  <r>
    <x v="58"/>
    <n v="61.9"/>
  </r>
  <r>
    <x v="58"/>
    <n v="30.95"/>
  </r>
  <r>
    <x v="58"/>
    <n v="61.9"/>
  </r>
  <r>
    <x v="58"/>
    <n v="30.95"/>
  </r>
  <r>
    <x v="58"/>
    <n v="145.58000000000001"/>
  </r>
  <r>
    <x v="58"/>
    <n v="72.790000000000006"/>
  </r>
  <r>
    <x v="58"/>
    <n v="72.790000000000006"/>
  </r>
  <r>
    <x v="58"/>
    <n v="72.790000000000006"/>
  </r>
  <r>
    <x v="58"/>
    <n v="55.1"/>
  </r>
  <r>
    <x v="58"/>
    <n v="27.55"/>
  </r>
  <r>
    <x v="58"/>
    <n v="38.56"/>
  </r>
  <r>
    <x v="58"/>
    <n v="38.56"/>
  </r>
  <r>
    <x v="59"/>
    <n v="52.53"/>
  </r>
  <r>
    <x v="60"/>
    <n v="32.01"/>
  </r>
  <r>
    <x v="60"/>
    <n v="50.7"/>
  </r>
  <r>
    <x v="61"/>
    <n v="53.17"/>
  </r>
  <r>
    <x v="61"/>
    <n v="14.98"/>
  </r>
  <r>
    <x v="61"/>
    <n v="14.98"/>
  </r>
  <r>
    <x v="61"/>
    <n v="14.98"/>
  </r>
  <r>
    <x v="61"/>
    <n v="32.44"/>
  </r>
  <r>
    <x v="61"/>
    <n v="32.44"/>
  </r>
  <r>
    <x v="61"/>
    <n v="32.44"/>
  </r>
  <r>
    <x v="54"/>
    <n v="52.35"/>
  </r>
  <r>
    <x v="54"/>
    <n v="52.35"/>
  </r>
  <r>
    <x v="61"/>
    <n v="65.34"/>
  </r>
  <r>
    <x v="61"/>
    <n v="32.67"/>
  </r>
  <r>
    <x v="61"/>
    <n v="32.67"/>
  </r>
  <r>
    <x v="61"/>
    <n v="32.67"/>
  </r>
  <r>
    <x v="61"/>
    <n v="32.67"/>
  </r>
  <r>
    <x v="61"/>
    <n v="32.67"/>
  </r>
  <r>
    <x v="61"/>
    <n v="32.67"/>
  </r>
  <r>
    <x v="61"/>
    <n v="32.67"/>
  </r>
  <r>
    <x v="61"/>
    <n v="65.34"/>
  </r>
  <r>
    <x v="61"/>
    <n v="65.34"/>
  </r>
  <r>
    <x v="61"/>
    <n v="32.67"/>
  </r>
  <r>
    <x v="61"/>
    <n v="65.34"/>
  </r>
  <r>
    <x v="61"/>
    <n v="32.67"/>
  </r>
  <r>
    <x v="61"/>
    <n v="32.67"/>
  </r>
  <r>
    <x v="61"/>
    <n v="39.979999999999997"/>
  </r>
  <r>
    <x v="61"/>
    <n v="19.989999999999998"/>
  </r>
  <r>
    <x v="61"/>
    <n v="39.979999999999997"/>
  </r>
  <r>
    <x v="61"/>
    <n v="19.989999999999998"/>
  </r>
  <r>
    <x v="61"/>
    <n v="54.03"/>
  </r>
  <r>
    <x v="62"/>
    <n v="22.23"/>
  </r>
  <r>
    <x v="63"/>
    <n v="74.39"/>
  </r>
  <r>
    <x v="63"/>
    <n v="74.39"/>
  </r>
  <r>
    <x v="63"/>
    <n v="74.39"/>
  </r>
  <r>
    <x v="63"/>
    <n v="186.88"/>
  </r>
  <r>
    <x v="63"/>
    <n v="93.44"/>
  </r>
  <r>
    <x v="63"/>
    <n v="93.44"/>
  </r>
  <r>
    <x v="64"/>
    <n v="26.98"/>
  </r>
  <r>
    <x v="64"/>
    <n v="26.98"/>
  </r>
  <r>
    <x v="64"/>
    <n v="23.36"/>
  </r>
  <r>
    <x v="64"/>
    <n v="19.03"/>
  </r>
  <r>
    <x v="64"/>
    <n v="19.03"/>
  </r>
  <r>
    <x v="64"/>
    <n v="19.03"/>
  </r>
  <r>
    <x v="65"/>
    <n v="64.55"/>
  </r>
  <r>
    <x v="65"/>
    <n v="64.55"/>
  </r>
  <r>
    <x v="65"/>
    <n v="64.55"/>
  </r>
  <r>
    <x v="65"/>
    <n v="64.55"/>
  </r>
  <r>
    <x v="65"/>
    <n v="32.19"/>
  </r>
  <r>
    <x v="65"/>
    <n v="32.19"/>
  </r>
  <r>
    <x v="65"/>
    <n v="32.19"/>
  </r>
  <r>
    <x v="66"/>
    <n v="25"/>
  </r>
  <r>
    <x v="66"/>
    <n v="25"/>
  </r>
  <r>
    <x v="66"/>
    <n v="59.4"/>
  </r>
  <r>
    <x v="66"/>
    <n v="59.4"/>
  </r>
  <r>
    <x v="66"/>
    <n v="75.099999999999994"/>
  </r>
  <r>
    <x v="66"/>
    <n v="75.099999999999994"/>
  </r>
  <r>
    <x v="66"/>
    <n v="75.099999999999994"/>
  </r>
  <r>
    <x v="66"/>
    <n v="75.099999999999994"/>
  </r>
  <r>
    <x v="66"/>
    <n v="75.099999999999994"/>
  </r>
  <r>
    <x v="66"/>
    <n v="75.099999999999994"/>
  </r>
  <r>
    <x v="32"/>
    <n v="20.75"/>
  </r>
  <r>
    <x v="32"/>
    <n v="20.75"/>
  </r>
  <r>
    <x v="32"/>
    <n v="20.75"/>
  </r>
  <r>
    <x v="32"/>
    <n v="41.5"/>
  </r>
  <r>
    <x v="32"/>
    <n v="20.75"/>
  </r>
  <r>
    <x v="32"/>
    <n v="34.22"/>
  </r>
  <r>
    <x v="32"/>
    <n v="34.22"/>
  </r>
  <r>
    <x v="32"/>
    <n v="34.22"/>
  </r>
  <r>
    <x v="67"/>
    <n v="4.3600000000000003"/>
  </r>
  <r>
    <x v="67"/>
    <n v="2.1800000000000002"/>
  </r>
  <r>
    <x v="67"/>
    <n v="2.1800000000000002"/>
  </r>
  <r>
    <x v="67"/>
    <n v="26.73"/>
  </r>
  <r>
    <x v="67"/>
    <n v="26.73"/>
  </r>
  <r>
    <x v="67"/>
    <n v="79.16"/>
  </r>
  <r>
    <x v="67"/>
    <n v="79.16"/>
  </r>
  <r>
    <x v="67"/>
    <n v="79.16"/>
  </r>
  <r>
    <x v="68"/>
    <n v="51.74"/>
  </r>
  <r>
    <x v="68"/>
    <n v="51.74"/>
  </r>
  <r>
    <x v="68"/>
    <n v="51.74"/>
  </r>
  <r>
    <x v="68"/>
    <n v="51.74"/>
  </r>
  <r>
    <x v="68"/>
    <n v="51.74"/>
  </r>
  <r>
    <x v="68"/>
    <n v="51.74"/>
  </r>
  <r>
    <x v="68"/>
    <n v="103.48"/>
  </r>
  <r>
    <x v="68"/>
    <n v="51.74"/>
  </r>
  <r>
    <x v="68"/>
    <n v="51.74"/>
  </r>
  <r>
    <x v="69"/>
    <n v="16.899999999999999"/>
  </r>
  <r>
    <x v="69"/>
    <n v="68.72"/>
  </r>
  <r>
    <x v="69"/>
    <n v="34.36"/>
  </r>
  <r>
    <x v="70"/>
    <n v="6.18"/>
  </r>
  <r>
    <x v="70"/>
    <n v="12.36"/>
  </r>
  <r>
    <x v="70"/>
    <n v="6.18"/>
  </r>
  <r>
    <x v="71"/>
    <n v="56.67"/>
  </r>
  <r>
    <x v="71"/>
    <n v="56.67"/>
  </r>
  <r>
    <x v="71"/>
    <n v="19.09"/>
  </r>
  <r>
    <x v="71"/>
    <n v="38.18"/>
  </r>
  <r>
    <x v="71"/>
    <n v="31.66"/>
  </r>
  <r>
    <x v="71"/>
    <n v="240.7"/>
  </r>
  <r>
    <x v="71"/>
    <n v="48.14"/>
  </r>
  <r>
    <x v="71"/>
    <n v="48.14"/>
  </r>
  <r>
    <x v="72"/>
    <n v="17.28"/>
  </r>
  <r>
    <x v="72"/>
    <n v="17.28"/>
  </r>
  <r>
    <x v="72"/>
    <n v="34.56"/>
  </r>
  <r>
    <x v="72"/>
    <n v="44.56"/>
  </r>
  <r>
    <x v="72"/>
    <n v="22.28"/>
  </r>
  <r>
    <x v="73"/>
    <n v="6.91"/>
  </r>
  <r>
    <x v="73"/>
    <n v="6.91"/>
  </r>
  <r>
    <x v="69"/>
    <n v="119.3"/>
  </r>
  <r>
    <x v="69"/>
    <n v="119.3"/>
  </r>
  <r>
    <x v="69"/>
    <n v="119.3"/>
  </r>
  <r>
    <x v="69"/>
    <n v="119.3"/>
  </r>
  <r>
    <x v="74"/>
    <n v="32.26"/>
  </r>
  <r>
    <x v="74"/>
    <n v="32.26"/>
  </r>
  <r>
    <x v="74"/>
    <n v="64.52"/>
  </r>
  <r>
    <x v="74"/>
    <n v="32.26"/>
  </r>
  <r>
    <x v="74"/>
    <n v="44.48"/>
  </r>
  <r>
    <x v="74"/>
    <n v="22.24"/>
  </r>
  <r>
    <x v="75"/>
    <n v="16.11"/>
  </r>
  <r>
    <x v="0"/>
    <n v="26.2"/>
  </r>
  <r>
    <x v="0"/>
    <n v="52.4"/>
  </r>
  <r>
    <x v="76"/>
    <n v="38.74"/>
  </r>
  <r>
    <x v="76"/>
    <n v="26.5"/>
  </r>
  <r>
    <x v="76"/>
    <n v="13.25"/>
  </r>
  <r>
    <x v="76"/>
    <n v="13.25"/>
  </r>
  <r>
    <x v="76"/>
    <n v="36.49"/>
  </r>
  <r>
    <x v="76"/>
    <n v="27.32"/>
  </r>
  <r>
    <x v="76"/>
    <n v="27.32"/>
  </r>
  <r>
    <x v="76"/>
    <n v="44.13"/>
  </r>
  <r>
    <x v="76"/>
    <n v="44.13"/>
  </r>
  <r>
    <x v="76"/>
    <n v="44.13"/>
  </r>
  <r>
    <x v="76"/>
    <n v="88.26"/>
  </r>
  <r>
    <x v="76"/>
    <n v="37.99"/>
  </r>
  <r>
    <x v="76"/>
    <n v="75.98"/>
  </r>
  <r>
    <x v="76"/>
    <n v="75.98"/>
  </r>
  <r>
    <x v="76"/>
    <n v="32.76"/>
  </r>
  <r>
    <x v="76"/>
    <n v="33.89"/>
  </r>
  <r>
    <x v="76"/>
    <n v="33.89"/>
  </r>
  <r>
    <x v="76"/>
    <n v="109.02"/>
  </r>
  <r>
    <x v="76"/>
    <n v="109.02"/>
  </r>
  <r>
    <x v="76"/>
    <n v="54.51"/>
  </r>
  <r>
    <x v="76"/>
    <n v="109.02"/>
  </r>
  <r>
    <x v="32"/>
    <n v="106.34"/>
  </r>
  <r>
    <x v="18"/>
    <n v="47.75"/>
  </r>
  <r>
    <x v="77"/>
    <n v="221.8"/>
  </r>
  <r>
    <x v="18"/>
    <n v="49.85"/>
  </r>
  <r>
    <x v="18"/>
    <n v="99.7"/>
  </r>
  <r>
    <x v="18"/>
    <n v="97.88"/>
  </r>
  <r>
    <x v="18"/>
    <n v="97.88"/>
  </r>
  <r>
    <x v="18"/>
    <n v="97.88"/>
  </r>
  <r>
    <x v="18"/>
    <n v="63.55"/>
  </r>
  <r>
    <x v="18"/>
    <n v="63.55"/>
  </r>
  <r>
    <x v="32"/>
    <n v="53.17"/>
  </r>
  <r>
    <x v="32"/>
    <n v="53.17"/>
  </r>
  <r>
    <x v="18"/>
    <n v="66.33"/>
  </r>
  <r>
    <x v="77"/>
    <n v="115.55"/>
  </r>
  <r>
    <x v="77"/>
    <n v="115.55"/>
  </r>
  <r>
    <x v="18"/>
    <n v="29.36"/>
  </r>
  <r>
    <x v="18"/>
    <n v="29.36"/>
  </r>
  <r>
    <x v="18"/>
    <n v="29.36"/>
  </r>
  <r>
    <x v="77"/>
    <n v="92.77"/>
  </r>
  <r>
    <x v="77"/>
    <n v="92.77"/>
  </r>
  <r>
    <x v="77"/>
    <n v="92.77"/>
  </r>
  <r>
    <x v="78"/>
    <n v="63.84"/>
  </r>
  <r>
    <x v="78"/>
    <n v="63.84"/>
  </r>
  <r>
    <x v="78"/>
    <n v="63.84"/>
  </r>
  <r>
    <x v="78"/>
    <n v="63.84"/>
  </r>
  <r>
    <x v="78"/>
    <n v="63.84"/>
  </r>
  <r>
    <x v="78"/>
    <n v="63.84"/>
  </r>
  <r>
    <x v="78"/>
    <n v="63.84"/>
  </r>
  <r>
    <x v="78"/>
    <n v="113.45"/>
  </r>
  <r>
    <x v="78"/>
    <n v="63.84"/>
  </r>
  <r>
    <x v="78"/>
    <n v="127.68"/>
  </r>
  <r>
    <x v="78"/>
    <n v="63.84"/>
  </r>
  <r>
    <x v="78"/>
    <n v="127.68"/>
  </r>
  <r>
    <x v="78"/>
    <n v="63.84"/>
  </r>
  <r>
    <x v="78"/>
    <n v="73.14"/>
  </r>
  <r>
    <x v="78"/>
    <n v="36.57"/>
  </r>
  <r>
    <x v="78"/>
    <n v="73.14"/>
  </r>
  <r>
    <x v="78"/>
    <n v="36.57"/>
  </r>
  <r>
    <x v="78"/>
    <n v="36.57"/>
  </r>
  <r>
    <x v="78"/>
    <n v="24.92"/>
  </r>
  <r>
    <x v="78"/>
    <n v="24.92"/>
  </r>
  <r>
    <x v="78"/>
    <n v="33.89"/>
  </r>
  <r>
    <x v="78"/>
    <n v="67.78"/>
  </r>
  <r>
    <x v="78"/>
    <n v="32.33"/>
  </r>
  <r>
    <x v="78"/>
    <n v="32.33"/>
  </r>
  <r>
    <x v="78"/>
    <n v="32.33"/>
  </r>
  <r>
    <x v="78"/>
    <n v="13.54"/>
  </r>
  <r>
    <x v="78"/>
    <n v="21.81"/>
  </r>
  <r>
    <x v="78"/>
    <n v="43.62"/>
  </r>
  <r>
    <x v="78"/>
    <n v="21.81"/>
  </r>
  <r>
    <x v="78"/>
    <n v="21.81"/>
  </r>
  <r>
    <x v="78"/>
    <n v="33.89"/>
  </r>
  <r>
    <x v="78"/>
    <n v="33.89"/>
  </r>
  <r>
    <x v="78"/>
    <n v="67.78"/>
  </r>
  <r>
    <x v="78"/>
    <n v="32.71"/>
  </r>
  <r>
    <x v="78"/>
    <n v="48.52"/>
  </r>
  <r>
    <x v="78"/>
    <n v="24.26"/>
  </r>
  <r>
    <x v="79"/>
    <n v="49.8"/>
  </r>
  <r>
    <x v="78"/>
    <n v="32.89"/>
  </r>
  <r>
    <x v="78"/>
    <n v="32.99"/>
  </r>
  <r>
    <x v="78"/>
    <n v="32.299999999999997"/>
  </r>
  <r>
    <x v="78"/>
    <n v="32.299999999999997"/>
  </r>
  <r>
    <x v="78"/>
    <n v="32.299999999999997"/>
  </r>
  <r>
    <x v="80"/>
    <n v="75.05"/>
  </r>
  <r>
    <x v="80"/>
    <n v="75.05"/>
  </r>
  <r>
    <x v="80"/>
    <n v="70.97"/>
  </r>
  <r>
    <x v="80"/>
    <n v="155.12"/>
  </r>
  <r>
    <x v="43"/>
    <n v="23.35"/>
  </r>
  <r>
    <x v="43"/>
    <n v="46.7"/>
  </r>
  <r>
    <x v="43"/>
    <n v="23.35"/>
  </r>
  <r>
    <x v="43"/>
    <n v="23.35"/>
  </r>
  <r>
    <x v="43"/>
    <n v="60.86"/>
  </r>
  <r>
    <x v="43"/>
    <n v="60.86"/>
  </r>
  <r>
    <x v="43"/>
    <n v="60.86"/>
  </r>
  <r>
    <x v="43"/>
    <n v="77.97"/>
  </r>
  <r>
    <x v="43"/>
    <n v="60.93"/>
  </r>
  <r>
    <x v="43"/>
    <n v="32.81"/>
  </r>
  <r>
    <x v="43"/>
    <n v="32.93"/>
  </r>
  <r>
    <x v="43"/>
    <n v="32.93"/>
  </r>
  <r>
    <x v="57"/>
    <n v="34.46"/>
  </r>
  <r>
    <x v="73"/>
    <n v="15.83"/>
  </r>
  <r>
    <x v="73"/>
    <n v="15.83"/>
  </r>
  <r>
    <x v="73"/>
    <n v="13.58"/>
  </r>
  <r>
    <x v="73"/>
    <n v="17.829999999999998"/>
  </r>
  <r>
    <x v="73"/>
    <n v="17.829999999999998"/>
  </r>
  <r>
    <x v="73"/>
    <n v="17.829999999999998"/>
  </r>
  <r>
    <x v="81"/>
    <n v="43.01"/>
  </r>
  <r>
    <x v="81"/>
    <n v="29.59"/>
  </r>
  <r>
    <x v="81"/>
    <n v="59.18"/>
  </r>
  <r>
    <x v="79"/>
    <n v="86.5"/>
  </r>
  <r>
    <x v="79"/>
    <n v="20.79"/>
  </r>
  <r>
    <x v="79"/>
    <n v="20.79"/>
  </r>
  <r>
    <x v="79"/>
    <n v="20.79"/>
  </r>
  <r>
    <x v="79"/>
    <n v="115.49"/>
  </r>
  <r>
    <x v="79"/>
    <n v="115.49"/>
  </r>
  <r>
    <x v="79"/>
    <n v="92.5"/>
  </r>
  <r>
    <x v="79"/>
    <n v="204.66"/>
  </r>
  <r>
    <x v="81"/>
    <n v="29.46"/>
  </r>
  <r>
    <x v="81"/>
    <n v="59.84"/>
  </r>
  <r>
    <x v="81"/>
    <n v="29.92"/>
  </r>
  <r>
    <x v="81"/>
    <n v="101.55"/>
  </r>
  <r>
    <x v="81"/>
    <n v="101.55"/>
  </r>
  <r>
    <x v="81"/>
    <n v="101.55"/>
  </r>
  <r>
    <x v="79"/>
    <n v="107.11"/>
  </r>
  <r>
    <x v="79"/>
    <n v="24.23"/>
  </r>
  <r>
    <x v="79"/>
    <n v="48.46"/>
  </r>
  <r>
    <x v="79"/>
    <n v="119.75"/>
  </r>
  <r>
    <x v="79"/>
    <n v="115.35"/>
  </r>
  <r>
    <x v="79"/>
    <n v="100.7"/>
  </r>
  <r>
    <x v="79"/>
    <n v="201.4"/>
  </r>
  <r>
    <x v="79"/>
    <n v="201.4"/>
  </r>
  <r>
    <x v="79"/>
    <n v="16.88"/>
  </r>
  <r>
    <x v="81"/>
    <n v="75.400000000000006"/>
  </r>
  <r>
    <x v="81"/>
    <n v="171.88"/>
  </r>
  <r>
    <x v="81"/>
    <n v="85.94"/>
  </r>
  <r>
    <x v="81"/>
    <n v="15.21"/>
  </r>
  <r>
    <x v="82"/>
    <n v="22.63"/>
  </r>
  <r>
    <x v="82"/>
    <n v="22.63"/>
  </r>
  <r>
    <x v="82"/>
    <n v="18.559999999999999"/>
  </r>
  <r>
    <x v="82"/>
    <n v="18.559999999999999"/>
  </r>
  <r>
    <x v="82"/>
    <n v="71.349999999999994"/>
  </r>
  <r>
    <x v="82"/>
    <n v="85.1"/>
  </r>
  <r>
    <x v="82"/>
    <n v="116.81"/>
  </r>
  <r>
    <x v="82"/>
    <n v="116.81"/>
  </r>
  <r>
    <x v="82"/>
    <n v="64.709999999999994"/>
  </r>
  <r>
    <x v="82"/>
    <n v="65.459999999999994"/>
  </r>
  <r>
    <x v="82"/>
    <n v="65.459999999999994"/>
  </r>
  <r>
    <x v="82"/>
    <n v="21.89"/>
  </r>
  <r>
    <x v="82"/>
    <n v="21.89"/>
  </r>
  <r>
    <x v="82"/>
    <n v="21.89"/>
  </r>
  <r>
    <x v="82"/>
    <n v="21.89"/>
  </r>
  <r>
    <x v="82"/>
    <n v="220.2"/>
  </r>
  <r>
    <x v="82"/>
    <n v="110.1"/>
  </r>
  <r>
    <x v="82"/>
    <n v="110.1"/>
  </r>
  <r>
    <x v="82"/>
    <n v="21.89"/>
  </r>
  <r>
    <x v="82"/>
    <n v="66.88"/>
  </r>
  <r>
    <x v="82"/>
    <n v="133.76"/>
  </r>
  <r>
    <x v="82"/>
    <n v="97.02"/>
  </r>
  <r>
    <x v="82"/>
    <n v="59.61"/>
  </r>
  <r>
    <x v="82"/>
    <n v="59.61"/>
  </r>
  <r>
    <x v="83"/>
    <n v="49.13"/>
  </r>
  <r>
    <x v="83"/>
    <n v="49.13"/>
  </r>
  <r>
    <x v="83"/>
    <n v="32.96"/>
  </r>
  <r>
    <x v="83"/>
    <n v="32.96"/>
  </r>
  <r>
    <x v="83"/>
    <n v="37.76"/>
  </r>
  <r>
    <x v="83"/>
    <n v="37.76"/>
  </r>
  <r>
    <x v="83"/>
    <n v="71"/>
  </r>
  <r>
    <x v="83"/>
    <n v="35.5"/>
  </r>
  <r>
    <x v="83"/>
    <n v="41.73"/>
  </r>
  <r>
    <x v="83"/>
    <n v="39.04"/>
  </r>
  <r>
    <x v="83"/>
    <n v="39.04"/>
  </r>
  <r>
    <x v="83"/>
    <n v="21.1"/>
  </r>
  <r>
    <x v="83"/>
    <n v="21.1"/>
  </r>
  <r>
    <x v="83"/>
    <n v="21.1"/>
  </r>
  <r>
    <x v="83"/>
    <n v="48.82"/>
  </r>
  <r>
    <x v="83"/>
    <n v="81.02"/>
  </r>
  <r>
    <x v="83"/>
    <n v="81.02"/>
  </r>
  <r>
    <x v="83"/>
    <n v="81.02"/>
  </r>
  <r>
    <x v="83"/>
    <n v="81.02"/>
  </r>
  <r>
    <x v="83"/>
    <n v="81.02"/>
  </r>
  <r>
    <x v="83"/>
    <n v="81.02"/>
  </r>
  <r>
    <x v="83"/>
    <n v="99.85"/>
  </r>
  <r>
    <x v="83"/>
    <n v="99.85"/>
  </r>
  <r>
    <x v="83"/>
    <n v="199.7"/>
  </r>
  <r>
    <x v="83"/>
    <n v="23.33"/>
  </r>
  <r>
    <x v="83"/>
    <n v="23.33"/>
  </r>
  <r>
    <x v="83"/>
    <n v="23.33"/>
  </r>
  <r>
    <x v="83"/>
    <n v="23.33"/>
  </r>
  <r>
    <x v="83"/>
    <n v="23.33"/>
  </r>
  <r>
    <x v="83"/>
    <n v="10.07"/>
  </r>
  <r>
    <x v="83"/>
    <n v="20.14"/>
  </r>
  <r>
    <x v="83"/>
    <n v="10.07"/>
  </r>
  <r>
    <x v="83"/>
    <n v="10.07"/>
  </r>
  <r>
    <x v="83"/>
    <n v="10.07"/>
  </r>
  <r>
    <x v="83"/>
    <n v="10.07"/>
  </r>
  <r>
    <x v="83"/>
    <n v="10.07"/>
  </r>
  <r>
    <x v="83"/>
    <n v="10.07"/>
  </r>
  <r>
    <x v="83"/>
    <n v="10.07"/>
  </r>
  <r>
    <x v="83"/>
    <n v="10.07"/>
  </r>
  <r>
    <x v="83"/>
    <n v="10.07"/>
  </r>
  <r>
    <x v="83"/>
    <n v="10.07"/>
  </r>
  <r>
    <x v="83"/>
    <n v="20.14"/>
  </r>
  <r>
    <x v="83"/>
    <n v="10.07"/>
  </r>
  <r>
    <x v="83"/>
    <n v="10.07"/>
  </r>
  <r>
    <x v="83"/>
    <n v="10.07"/>
  </r>
  <r>
    <x v="83"/>
    <n v="10.07"/>
  </r>
  <r>
    <x v="83"/>
    <n v="10.07"/>
  </r>
  <r>
    <x v="83"/>
    <n v="73.400000000000006"/>
  </r>
  <r>
    <x v="83"/>
    <n v="73.400000000000006"/>
  </r>
  <r>
    <x v="83"/>
    <n v="64.84"/>
  </r>
  <r>
    <x v="83"/>
    <n v="64.84"/>
  </r>
  <r>
    <x v="83"/>
    <n v="64.84"/>
  </r>
  <r>
    <x v="83"/>
    <n v="64.84"/>
  </r>
  <r>
    <x v="83"/>
    <n v="129.68"/>
  </r>
  <r>
    <x v="83"/>
    <n v="97.96"/>
  </r>
  <r>
    <x v="84"/>
    <n v="67.33"/>
  </r>
  <r>
    <x v="84"/>
    <n v="67.33"/>
  </r>
  <r>
    <x v="84"/>
    <n v="67.33"/>
  </r>
  <r>
    <x v="84"/>
    <n v="127.78"/>
  </r>
  <r>
    <x v="84"/>
    <n v="63.89"/>
  </r>
  <r>
    <x v="84"/>
    <n v="63.89"/>
  </r>
  <r>
    <x v="84"/>
    <n v="127.78"/>
  </r>
  <r>
    <x v="84"/>
    <n v="63.89"/>
  </r>
  <r>
    <x v="84"/>
    <n v="63.89"/>
  </r>
  <r>
    <x v="84"/>
    <n v="63.89"/>
  </r>
  <r>
    <x v="84"/>
    <n v="63.89"/>
  </r>
  <r>
    <x v="40"/>
    <n v="28.3"/>
  </r>
  <r>
    <x v="40"/>
    <n v="26.9"/>
  </r>
  <r>
    <x v="40"/>
    <n v="26.9"/>
  </r>
  <r>
    <x v="83"/>
    <n v="66.94"/>
  </r>
  <r>
    <x v="83"/>
    <n v="66.94"/>
  </r>
  <r>
    <x v="83"/>
    <n v="66.94"/>
  </r>
  <r>
    <x v="83"/>
    <n v="66.94"/>
  </r>
  <r>
    <x v="83"/>
    <n v="50.15"/>
  </r>
  <r>
    <x v="84"/>
    <n v="97.17"/>
  </r>
  <r>
    <x v="84"/>
    <n v="97.17"/>
  </r>
  <r>
    <x v="84"/>
    <n v="97.17"/>
  </r>
  <r>
    <x v="84"/>
    <n v="25.41"/>
  </r>
  <r>
    <x v="84"/>
    <n v="25.41"/>
  </r>
  <r>
    <x v="84"/>
    <n v="25.41"/>
  </r>
  <r>
    <x v="84"/>
    <n v="25.41"/>
  </r>
  <r>
    <x v="84"/>
    <n v="50.82"/>
  </r>
  <r>
    <x v="84"/>
    <n v="50.82"/>
  </r>
  <r>
    <x v="84"/>
    <n v="50.82"/>
  </r>
  <r>
    <x v="84"/>
    <n v="26.98"/>
  </r>
  <r>
    <x v="84"/>
    <n v="26.98"/>
  </r>
  <r>
    <x v="84"/>
    <n v="27.32"/>
  </r>
  <r>
    <x v="84"/>
    <n v="27.32"/>
  </r>
  <r>
    <x v="84"/>
    <n v="27.32"/>
  </r>
  <r>
    <x v="84"/>
    <n v="27.32"/>
  </r>
  <r>
    <x v="84"/>
    <n v="114.11"/>
  </r>
  <r>
    <x v="84"/>
    <n v="114.11"/>
  </r>
  <r>
    <x v="84"/>
    <n v="114.11"/>
  </r>
  <r>
    <x v="84"/>
    <n v="114.11"/>
  </r>
  <r>
    <x v="84"/>
    <n v="175.02"/>
  </r>
  <r>
    <x v="84"/>
    <n v="87.51"/>
  </r>
  <r>
    <x v="84"/>
    <n v="96.77"/>
  </r>
  <r>
    <x v="84"/>
    <n v="55.99"/>
  </r>
  <r>
    <x v="84"/>
    <n v="55.99"/>
  </r>
  <r>
    <x v="84"/>
    <n v="55.99"/>
  </r>
  <r>
    <x v="84"/>
    <n v="57.98"/>
  </r>
  <r>
    <x v="43"/>
    <n v="48.88"/>
  </r>
  <r>
    <x v="43"/>
    <n v="28.76"/>
  </r>
  <r>
    <x v="43"/>
    <n v="28.76"/>
  </r>
  <r>
    <x v="43"/>
    <n v="20.39"/>
  </r>
  <r>
    <x v="84"/>
    <n v="54.41"/>
  </r>
  <r>
    <x v="84"/>
    <n v="54.41"/>
  </r>
  <r>
    <x v="84"/>
    <n v="108.82"/>
  </r>
  <r>
    <x v="84"/>
    <n v="108.82"/>
  </r>
  <r>
    <x v="84"/>
    <n v="54.41"/>
  </r>
  <r>
    <x v="84"/>
    <n v="60.6"/>
  </r>
  <r>
    <x v="84"/>
    <n v="60.6"/>
  </r>
  <r>
    <x v="84"/>
    <n v="60.6"/>
  </r>
  <r>
    <x v="85"/>
    <n v="26.7"/>
  </r>
  <r>
    <x v="85"/>
    <n v="26.7"/>
  </r>
  <r>
    <x v="85"/>
    <n v="44.92"/>
  </r>
  <r>
    <x v="85"/>
    <n v="44.92"/>
  </r>
  <r>
    <x v="85"/>
    <n v="44.92"/>
  </r>
  <r>
    <x v="85"/>
    <n v="80.069999999999993"/>
  </r>
  <r>
    <x v="85"/>
    <n v="160.13999999999999"/>
  </r>
  <r>
    <x v="85"/>
    <n v="80.069999999999993"/>
  </r>
  <r>
    <x v="85"/>
    <n v="80.069999999999993"/>
  </r>
  <r>
    <x v="85"/>
    <n v="160.13999999999999"/>
  </r>
  <r>
    <x v="85"/>
    <n v="20.55"/>
  </r>
  <r>
    <x v="85"/>
    <n v="20.55"/>
  </r>
  <r>
    <x v="85"/>
    <n v="41.1"/>
  </r>
  <r>
    <x v="85"/>
    <n v="41.1"/>
  </r>
  <r>
    <x v="85"/>
    <n v="20.55"/>
  </r>
  <r>
    <x v="85"/>
    <n v="41.1"/>
  </r>
  <r>
    <x v="4"/>
    <n v="3.23"/>
  </r>
  <r>
    <x v="85"/>
    <n v="5.1100000000000003"/>
  </r>
  <r>
    <x v="85"/>
    <n v="5.1100000000000003"/>
  </r>
  <r>
    <x v="85"/>
    <n v="5.1100000000000003"/>
  </r>
  <r>
    <x v="4"/>
    <n v="7.32"/>
  </r>
  <r>
    <x v="86"/>
    <n v="14.36"/>
  </r>
  <r>
    <x v="86"/>
    <n v="14.36"/>
  </r>
  <r>
    <x v="86"/>
    <n v="38.72"/>
  </r>
  <r>
    <x v="86"/>
    <n v="17.5"/>
  </r>
  <r>
    <x v="86"/>
    <n v="24.92"/>
  </r>
  <r>
    <x v="86"/>
    <n v="24.92"/>
  </r>
  <r>
    <x v="86"/>
    <n v="42.08"/>
  </r>
  <r>
    <x v="86"/>
    <n v="21.04"/>
  </r>
  <r>
    <x v="86"/>
    <n v="21.04"/>
  </r>
  <r>
    <x v="86"/>
    <n v="26.48"/>
  </r>
  <r>
    <x v="86"/>
    <n v="13.7"/>
  </r>
  <r>
    <x v="40"/>
    <n v="21"/>
  </r>
  <r>
    <x v="87"/>
    <m/>
  </r>
  <r>
    <x v="87"/>
    <m/>
  </r>
  <r>
    <x v="87"/>
    <m/>
  </r>
  <r>
    <x v="87"/>
    <m/>
  </r>
  <r>
    <x v="87"/>
    <m/>
  </r>
  <r>
    <x v="87"/>
    <m/>
  </r>
  <r>
    <x v="87"/>
    <m/>
  </r>
  <r>
    <x v="87"/>
    <m/>
  </r>
  <r>
    <x v="87"/>
    <m/>
  </r>
  <r>
    <x v="87"/>
    <m/>
  </r>
  <r>
    <x v="87"/>
    <m/>
  </r>
  <r>
    <x v="87"/>
    <m/>
  </r>
  <r>
    <x v="87"/>
    <m/>
  </r>
</pivotCacheRecords>
</file>

<file path=xl/pivotCache/pivotCacheRecords1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8">
  <r>
    <x v="0"/>
    <x v="0"/>
    <n v="1"/>
  </r>
  <r>
    <x v="1"/>
    <x v="1"/>
    <n v="2"/>
  </r>
  <r>
    <x v="1"/>
    <x v="1"/>
    <n v="1"/>
  </r>
  <r>
    <x v="2"/>
    <x v="2"/>
    <n v="1"/>
  </r>
  <r>
    <x v="2"/>
    <x v="2"/>
    <n v="1"/>
  </r>
  <r>
    <x v="2"/>
    <x v="2"/>
    <n v="1"/>
  </r>
  <r>
    <x v="3"/>
    <x v="3"/>
    <n v="1"/>
  </r>
  <r>
    <x v="3"/>
    <x v="3"/>
    <n v="1"/>
  </r>
  <r>
    <x v="4"/>
    <x v="4"/>
    <n v="2"/>
  </r>
  <r>
    <x v="4"/>
    <x v="4"/>
    <n v="2"/>
  </r>
  <r>
    <x v="5"/>
    <x v="5"/>
    <n v="2"/>
  </r>
  <r>
    <x v="6"/>
    <x v="6"/>
    <n v="1"/>
  </r>
  <r>
    <x v="6"/>
    <x v="6"/>
    <n v="1"/>
  </r>
  <r>
    <x v="6"/>
    <x v="6"/>
    <n v="1"/>
  </r>
  <r>
    <x v="6"/>
    <x v="6"/>
    <n v="2"/>
  </r>
  <r>
    <x v="6"/>
    <x v="6"/>
    <n v="1"/>
  </r>
  <r>
    <x v="7"/>
    <x v="7"/>
    <n v="1"/>
  </r>
  <r>
    <x v="7"/>
    <x v="7"/>
    <n v="1"/>
  </r>
  <r>
    <x v="7"/>
    <x v="7"/>
    <n v="1"/>
  </r>
  <r>
    <x v="7"/>
    <x v="7"/>
    <n v="1"/>
  </r>
  <r>
    <x v="8"/>
    <x v="8"/>
    <n v="1"/>
  </r>
  <r>
    <x v="8"/>
    <x v="8"/>
    <n v="1"/>
  </r>
  <r>
    <x v="8"/>
    <x v="8"/>
    <n v="1"/>
  </r>
  <r>
    <x v="9"/>
    <x v="9"/>
    <n v="3"/>
  </r>
  <r>
    <x v="9"/>
    <x v="9"/>
    <n v="1"/>
  </r>
  <r>
    <x v="9"/>
    <x v="9"/>
    <n v="3"/>
  </r>
  <r>
    <x v="9"/>
    <x v="9"/>
    <n v="1"/>
  </r>
  <r>
    <x v="9"/>
    <x v="9"/>
    <n v="1"/>
  </r>
  <r>
    <x v="9"/>
    <x v="9"/>
    <n v="1"/>
  </r>
  <r>
    <x v="9"/>
    <x v="9"/>
    <n v="1"/>
  </r>
  <r>
    <x v="9"/>
    <x v="9"/>
    <n v="1"/>
  </r>
  <r>
    <x v="9"/>
    <x v="9"/>
    <n v="1"/>
  </r>
  <r>
    <x v="9"/>
    <x v="9"/>
    <n v="1"/>
  </r>
  <r>
    <x v="9"/>
    <x v="9"/>
    <n v="1"/>
  </r>
  <r>
    <x v="9"/>
    <x v="9"/>
    <n v="2"/>
  </r>
  <r>
    <x v="9"/>
    <x v="9"/>
    <n v="1"/>
  </r>
  <r>
    <x v="9"/>
    <x v="9"/>
    <n v="1"/>
  </r>
  <r>
    <x v="9"/>
    <x v="9"/>
    <n v="1"/>
  </r>
  <r>
    <x v="9"/>
    <x v="9"/>
    <n v="1"/>
  </r>
  <r>
    <x v="9"/>
    <x v="9"/>
    <n v="1"/>
  </r>
  <r>
    <x v="9"/>
    <x v="9"/>
    <n v="1"/>
  </r>
  <r>
    <x v="9"/>
    <x v="9"/>
    <n v="2"/>
  </r>
  <r>
    <x v="9"/>
    <x v="9"/>
    <n v="1"/>
  </r>
  <r>
    <x v="10"/>
    <x v="10"/>
    <n v="2"/>
  </r>
  <r>
    <x v="10"/>
    <x v="10"/>
    <n v="1"/>
  </r>
  <r>
    <x v="11"/>
    <x v="11"/>
    <n v="2"/>
  </r>
  <r>
    <x v="11"/>
    <x v="11"/>
    <n v="1"/>
  </r>
  <r>
    <x v="11"/>
    <x v="11"/>
    <n v="1"/>
  </r>
  <r>
    <x v="11"/>
    <x v="11"/>
    <n v="2"/>
  </r>
  <r>
    <x v="11"/>
    <x v="11"/>
    <n v="1"/>
  </r>
  <r>
    <x v="11"/>
    <x v="11"/>
    <n v="1"/>
  </r>
  <r>
    <x v="11"/>
    <x v="11"/>
    <n v="1"/>
  </r>
  <r>
    <x v="10"/>
    <x v="10"/>
    <n v="1"/>
  </r>
  <r>
    <x v="12"/>
    <x v="12"/>
    <n v="1"/>
  </r>
  <r>
    <x v="12"/>
    <x v="12"/>
    <n v="2"/>
  </r>
  <r>
    <x v="12"/>
    <x v="12"/>
    <n v="1"/>
  </r>
  <r>
    <x v="12"/>
    <x v="12"/>
    <n v="2"/>
  </r>
  <r>
    <x v="12"/>
    <x v="12"/>
    <n v="1"/>
  </r>
  <r>
    <x v="12"/>
    <x v="12"/>
    <n v="1"/>
  </r>
  <r>
    <x v="13"/>
    <x v="13"/>
    <n v="1"/>
  </r>
  <r>
    <x v="13"/>
    <x v="13"/>
    <n v="1"/>
  </r>
  <r>
    <x v="13"/>
    <x v="13"/>
    <n v="1"/>
  </r>
  <r>
    <x v="13"/>
    <x v="13"/>
    <n v="1"/>
  </r>
  <r>
    <x v="13"/>
    <x v="13"/>
    <n v="1"/>
  </r>
  <r>
    <x v="13"/>
    <x v="13"/>
    <n v="1"/>
  </r>
  <r>
    <x v="14"/>
    <x v="14"/>
    <n v="1"/>
  </r>
  <r>
    <x v="15"/>
    <x v="15"/>
    <n v="2"/>
  </r>
  <r>
    <x v="15"/>
    <x v="15"/>
    <n v="2"/>
  </r>
  <r>
    <x v="15"/>
    <x v="15"/>
    <n v="1"/>
  </r>
  <r>
    <x v="15"/>
    <x v="15"/>
    <n v="1"/>
  </r>
  <r>
    <x v="15"/>
    <x v="15"/>
    <n v="1"/>
  </r>
  <r>
    <x v="15"/>
    <x v="15"/>
    <n v="1"/>
  </r>
  <r>
    <x v="15"/>
    <x v="15"/>
    <n v="1"/>
  </r>
  <r>
    <x v="15"/>
    <x v="15"/>
    <n v="2"/>
  </r>
  <r>
    <x v="15"/>
    <x v="15"/>
    <n v="1"/>
  </r>
  <r>
    <x v="16"/>
    <x v="16"/>
    <n v="1"/>
  </r>
  <r>
    <x v="16"/>
    <x v="16"/>
    <n v="1"/>
  </r>
  <r>
    <x v="16"/>
    <x v="16"/>
    <n v="1"/>
  </r>
  <r>
    <x v="16"/>
    <x v="16"/>
    <n v="1"/>
  </r>
  <r>
    <x v="16"/>
    <x v="16"/>
    <n v="1"/>
  </r>
  <r>
    <x v="16"/>
    <x v="16"/>
    <n v="2"/>
  </r>
  <r>
    <x v="16"/>
    <x v="16"/>
    <n v="1"/>
  </r>
  <r>
    <x v="16"/>
    <x v="16"/>
    <n v="1"/>
  </r>
  <r>
    <x v="16"/>
    <x v="16"/>
    <n v="1"/>
  </r>
  <r>
    <x v="16"/>
    <x v="16"/>
    <n v="1"/>
  </r>
  <r>
    <x v="16"/>
    <x v="16"/>
    <n v="2"/>
  </r>
  <r>
    <x v="16"/>
    <x v="16"/>
    <n v="1"/>
  </r>
  <r>
    <x v="16"/>
    <x v="16"/>
    <n v="1"/>
  </r>
  <r>
    <x v="17"/>
    <x v="17"/>
    <n v="1"/>
  </r>
  <r>
    <x v="17"/>
    <x v="17"/>
    <n v="1"/>
  </r>
  <r>
    <x v="17"/>
    <x v="17"/>
    <n v="2"/>
  </r>
  <r>
    <x v="17"/>
    <x v="17"/>
    <n v="1"/>
  </r>
  <r>
    <x v="17"/>
    <x v="17"/>
    <n v="3"/>
  </r>
  <r>
    <x v="17"/>
    <x v="17"/>
    <n v="1"/>
  </r>
  <r>
    <x v="17"/>
    <x v="17"/>
    <n v="1"/>
  </r>
  <r>
    <x v="17"/>
    <x v="17"/>
    <n v="1"/>
  </r>
  <r>
    <x v="17"/>
    <x v="17"/>
    <n v="1"/>
  </r>
  <r>
    <x v="17"/>
    <x v="17"/>
    <n v="1"/>
  </r>
  <r>
    <x v="17"/>
    <x v="17"/>
    <n v="1"/>
  </r>
  <r>
    <x v="17"/>
    <x v="17"/>
    <n v="1"/>
  </r>
  <r>
    <x v="17"/>
    <x v="17"/>
    <n v="1"/>
  </r>
  <r>
    <x v="17"/>
    <x v="17"/>
    <n v="1"/>
  </r>
  <r>
    <x v="17"/>
    <x v="17"/>
    <n v="1"/>
  </r>
  <r>
    <x v="18"/>
    <x v="18"/>
    <n v="1"/>
  </r>
  <r>
    <x v="19"/>
    <x v="19"/>
    <n v="1"/>
  </r>
  <r>
    <x v="19"/>
    <x v="19"/>
    <n v="1"/>
  </r>
  <r>
    <x v="20"/>
    <x v="20"/>
    <n v="1"/>
  </r>
  <r>
    <x v="20"/>
    <x v="20"/>
    <n v="1"/>
  </r>
  <r>
    <x v="20"/>
    <x v="20"/>
    <n v="1"/>
  </r>
  <r>
    <x v="20"/>
    <x v="20"/>
    <n v="1"/>
  </r>
  <r>
    <x v="20"/>
    <x v="20"/>
    <n v="2"/>
  </r>
  <r>
    <x v="21"/>
    <x v="21"/>
    <n v="1"/>
  </r>
  <r>
    <x v="21"/>
    <x v="21"/>
    <n v="1"/>
  </r>
  <r>
    <x v="21"/>
    <x v="21"/>
    <n v="1"/>
  </r>
  <r>
    <x v="21"/>
    <x v="21"/>
    <n v="1"/>
  </r>
  <r>
    <x v="21"/>
    <x v="21"/>
    <n v="1"/>
  </r>
  <r>
    <x v="21"/>
    <x v="21"/>
    <n v="1"/>
  </r>
  <r>
    <x v="21"/>
    <x v="21"/>
    <n v="3"/>
  </r>
  <r>
    <x v="22"/>
    <x v="22"/>
    <n v="1"/>
  </r>
  <r>
    <x v="23"/>
    <x v="23"/>
    <n v="1"/>
  </r>
  <r>
    <x v="24"/>
    <x v="24"/>
    <n v="1"/>
  </r>
  <r>
    <x v="24"/>
    <x v="24"/>
    <n v="1"/>
  </r>
  <r>
    <x v="25"/>
    <x v="25"/>
    <n v="1"/>
  </r>
  <r>
    <x v="25"/>
    <x v="25"/>
    <n v="1"/>
  </r>
  <r>
    <x v="25"/>
    <x v="25"/>
    <n v="1"/>
  </r>
  <r>
    <x v="25"/>
    <x v="25"/>
    <n v="1"/>
  </r>
  <r>
    <x v="25"/>
    <x v="25"/>
    <n v="1"/>
  </r>
  <r>
    <x v="26"/>
    <x v="26"/>
    <n v="1"/>
  </r>
  <r>
    <x v="26"/>
    <x v="26"/>
    <n v="2"/>
  </r>
  <r>
    <x v="26"/>
    <x v="26"/>
    <n v="1"/>
  </r>
  <r>
    <x v="26"/>
    <x v="26"/>
    <n v="1"/>
  </r>
  <r>
    <x v="27"/>
    <x v="27"/>
    <n v="1"/>
  </r>
  <r>
    <x v="27"/>
    <x v="27"/>
    <n v="2"/>
  </r>
  <r>
    <x v="27"/>
    <x v="27"/>
    <n v="1"/>
  </r>
  <r>
    <x v="27"/>
    <x v="27"/>
    <n v="1"/>
  </r>
  <r>
    <x v="27"/>
    <x v="27"/>
    <n v="1"/>
  </r>
  <r>
    <x v="27"/>
    <x v="27"/>
    <n v="1"/>
  </r>
  <r>
    <x v="27"/>
    <x v="27"/>
    <n v="1"/>
  </r>
  <r>
    <x v="27"/>
    <x v="27"/>
    <n v="1"/>
  </r>
  <r>
    <x v="27"/>
    <x v="27"/>
    <n v="1"/>
  </r>
  <r>
    <x v="27"/>
    <x v="27"/>
    <n v="1"/>
  </r>
  <r>
    <x v="27"/>
    <x v="27"/>
    <n v="1"/>
  </r>
  <r>
    <x v="27"/>
    <x v="27"/>
    <n v="1"/>
  </r>
  <r>
    <x v="27"/>
    <x v="27"/>
    <n v="1"/>
  </r>
  <r>
    <x v="28"/>
    <x v="28"/>
    <n v="1"/>
  </r>
  <r>
    <x v="28"/>
    <x v="28"/>
    <n v="2"/>
  </r>
  <r>
    <x v="28"/>
    <x v="28"/>
    <n v="1"/>
  </r>
  <r>
    <x v="28"/>
    <x v="28"/>
    <n v="1"/>
  </r>
  <r>
    <x v="28"/>
    <x v="28"/>
    <n v="1"/>
  </r>
  <r>
    <x v="28"/>
    <x v="28"/>
    <n v="1"/>
  </r>
  <r>
    <x v="28"/>
    <x v="28"/>
    <n v="2"/>
  </r>
  <r>
    <x v="28"/>
    <x v="28"/>
    <n v="1"/>
  </r>
  <r>
    <x v="28"/>
    <x v="28"/>
    <n v="2"/>
  </r>
  <r>
    <x v="28"/>
    <x v="28"/>
    <n v="1"/>
  </r>
  <r>
    <x v="28"/>
    <x v="28"/>
    <n v="1"/>
  </r>
  <r>
    <x v="28"/>
    <x v="28"/>
    <n v="1"/>
  </r>
  <r>
    <x v="29"/>
    <x v="29"/>
    <n v="1"/>
  </r>
  <r>
    <x v="29"/>
    <x v="29"/>
    <n v="1"/>
  </r>
  <r>
    <x v="29"/>
    <x v="29"/>
    <n v="1"/>
  </r>
  <r>
    <x v="29"/>
    <x v="29"/>
    <n v="2"/>
  </r>
  <r>
    <x v="30"/>
    <x v="30"/>
    <n v="1"/>
  </r>
  <r>
    <x v="30"/>
    <x v="30"/>
    <n v="1"/>
  </r>
  <r>
    <x v="30"/>
    <x v="30"/>
    <n v="1"/>
  </r>
  <r>
    <x v="30"/>
    <x v="30"/>
    <n v="1"/>
  </r>
  <r>
    <x v="30"/>
    <x v="30"/>
    <n v="2"/>
  </r>
  <r>
    <x v="30"/>
    <x v="30"/>
    <n v="1"/>
  </r>
  <r>
    <x v="30"/>
    <x v="30"/>
    <n v="1"/>
  </r>
  <r>
    <x v="30"/>
    <x v="30"/>
    <n v="1"/>
  </r>
  <r>
    <x v="30"/>
    <x v="30"/>
    <n v="1"/>
  </r>
  <r>
    <x v="30"/>
    <x v="30"/>
    <n v="2"/>
  </r>
  <r>
    <x v="30"/>
    <x v="30"/>
    <n v="2"/>
  </r>
  <r>
    <x v="30"/>
    <x v="30"/>
    <n v="1"/>
  </r>
  <r>
    <x v="31"/>
    <x v="31"/>
    <n v="1"/>
  </r>
  <r>
    <x v="31"/>
    <x v="31"/>
    <n v="1"/>
  </r>
  <r>
    <x v="31"/>
    <x v="31"/>
    <n v="1"/>
  </r>
  <r>
    <x v="31"/>
    <x v="31"/>
    <n v="2"/>
  </r>
  <r>
    <x v="31"/>
    <x v="31"/>
    <n v="2"/>
  </r>
  <r>
    <x v="31"/>
    <x v="31"/>
    <n v="1"/>
  </r>
  <r>
    <x v="32"/>
    <x v="32"/>
    <n v="1"/>
  </r>
  <r>
    <x v="32"/>
    <x v="32"/>
    <n v="1"/>
  </r>
  <r>
    <x v="32"/>
    <x v="32"/>
    <n v="1"/>
  </r>
  <r>
    <x v="32"/>
    <x v="32"/>
    <n v="1"/>
  </r>
  <r>
    <x v="32"/>
    <x v="32"/>
    <n v="1"/>
  </r>
  <r>
    <x v="32"/>
    <x v="32"/>
    <n v="2"/>
  </r>
  <r>
    <x v="32"/>
    <x v="32"/>
    <n v="1"/>
  </r>
  <r>
    <x v="32"/>
    <x v="32"/>
    <n v="1"/>
  </r>
  <r>
    <x v="32"/>
    <x v="32"/>
    <n v="1"/>
  </r>
  <r>
    <x v="33"/>
    <x v="33"/>
    <n v="1"/>
  </r>
  <r>
    <x v="33"/>
    <x v="33"/>
    <n v="1"/>
  </r>
  <r>
    <x v="33"/>
    <x v="33"/>
    <n v="1"/>
  </r>
  <r>
    <x v="33"/>
    <x v="33"/>
    <n v="2"/>
  </r>
  <r>
    <x v="33"/>
    <x v="33"/>
    <n v="1"/>
  </r>
  <r>
    <x v="33"/>
    <x v="33"/>
    <n v="1"/>
  </r>
  <r>
    <x v="33"/>
    <x v="33"/>
    <n v="1"/>
  </r>
  <r>
    <x v="33"/>
    <x v="33"/>
    <n v="1"/>
  </r>
  <r>
    <x v="33"/>
    <x v="33"/>
    <n v="1"/>
  </r>
  <r>
    <x v="33"/>
    <x v="33"/>
    <n v="1"/>
  </r>
  <r>
    <x v="33"/>
    <x v="33"/>
    <n v="1"/>
  </r>
  <r>
    <x v="33"/>
    <x v="33"/>
    <n v="1"/>
  </r>
  <r>
    <x v="15"/>
    <x v="15"/>
    <n v="1"/>
  </r>
  <r>
    <x v="15"/>
    <x v="15"/>
    <n v="1"/>
  </r>
  <r>
    <x v="34"/>
    <x v="34"/>
    <n v="1"/>
  </r>
  <r>
    <x v="34"/>
    <x v="34"/>
    <n v="1"/>
  </r>
  <r>
    <x v="34"/>
    <x v="34"/>
    <n v="1"/>
  </r>
  <r>
    <x v="34"/>
    <x v="34"/>
    <n v="1"/>
  </r>
  <r>
    <x v="34"/>
    <x v="34"/>
    <n v="1"/>
  </r>
  <r>
    <x v="34"/>
    <x v="34"/>
    <n v="1"/>
  </r>
  <r>
    <x v="34"/>
    <x v="34"/>
    <n v="2"/>
  </r>
  <r>
    <x v="34"/>
    <x v="34"/>
    <n v="2"/>
  </r>
  <r>
    <x v="34"/>
    <x v="34"/>
    <n v="1"/>
  </r>
  <r>
    <x v="34"/>
    <x v="34"/>
    <n v="1"/>
  </r>
  <r>
    <x v="34"/>
    <x v="34"/>
    <n v="1"/>
  </r>
  <r>
    <x v="35"/>
    <x v="35"/>
    <n v="1"/>
  </r>
  <r>
    <x v="35"/>
    <x v="35"/>
    <n v="1"/>
  </r>
  <r>
    <x v="35"/>
    <x v="35"/>
    <n v="1"/>
  </r>
  <r>
    <x v="35"/>
    <x v="35"/>
    <n v="1"/>
  </r>
  <r>
    <x v="35"/>
    <x v="35"/>
    <n v="1"/>
  </r>
  <r>
    <x v="35"/>
    <x v="35"/>
    <n v="1"/>
  </r>
  <r>
    <x v="35"/>
    <x v="35"/>
    <n v="2"/>
  </r>
  <r>
    <x v="35"/>
    <x v="35"/>
    <n v="1"/>
  </r>
  <r>
    <x v="35"/>
    <x v="35"/>
    <n v="1"/>
  </r>
  <r>
    <x v="35"/>
    <x v="35"/>
    <n v="1"/>
  </r>
  <r>
    <x v="35"/>
    <x v="35"/>
    <n v="1"/>
  </r>
  <r>
    <x v="35"/>
    <x v="35"/>
    <n v="2"/>
  </r>
  <r>
    <x v="36"/>
    <x v="36"/>
    <n v="1"/>
  </r>
  <r>
    <x v="36"/>
    <x v="36"/>
    <n v="1"/>
  </r>
  <r>
    <x v="36"/>
    <x v="36"/>
    <n v="1"/>
  </r>
  <r>
    <x v="36"/>
    <x v="36"/>
    <n v="1"/>
  </r>
  <r>
    <x v="36"/>
    <x v="36"/>
    <n v="1"/>
  </r>
  <r>
    <x v="36"/>
    <x v="36"/>
    <n v="1"/>
  </r>
  <r>
    <x v="18"/>
    <x v="18"/>
    <n v="1"/>
  </r>
  <r>
    <x v="18"/>
    <x v="18"/>
    <n v="1"/>
  </r>
  <r>
    <x v="37"/>
    <x v="37"/>
    <n v="1"/>
  </r>
  <r>
    <x v="37"/>
    <x v="37"/>
    <n v="1"/>
  </r>
  <r>
    <x v="37"/>
    <x v="37"/>
    <n v="1"/>
  </r>
  <r>
    <x v="37"/>
    <x v="37"/>
    <n v="1"/>
  </r>
  <r>
    <x v="38"/>
    <x v="38"/>
    <n v="1"/>
  </r>
  <r>
    <x v="38"/>
    <x v="38"/>
    <n v="1"/>
  </r>
  <r>
    <x v="38"/>
    <x v="38"/>
    <n v="1"/>
  </r>
  <r>
    <x v="38"/>
    <x v="38"/>
    <n v="1"/>
  </r>
  <r>
    <x v="38"/>
    <x v="38"/>
    <n v="1"/>
  </r>
  <r>
    <x v="39"/>
    <x v="39"/>
    <n v="1"/>
  </r>
  <r>
    <x v="39"/>
    <x v="39"/>
    <n v="1"/>
  </r>
  <r>
    <x v="39"/>
    <x v="39"/>
    <n v="2"/>
  </r>
  <r>
    <x v="39"/>
    <x v="39"/>
    <n v="1"/>
  </r>
  <r>
    <x v="39"/>
    <x v="39"/>
    <n v="1"/>
  </r>
  <r>
    <x v="39"/>
    <x v="39"/>
    <n v="1"/>
  </r>
  <r>
    <x v="39"/>
    <x v="39"/>
    <n v="1"/>
  </r>
  <r>
    <x v="39"/>
    <x v="39"/>
    <n v="1"/>
  </r>
  <r>
    <x v="39"/>
    <x v="39"/>
    <n v="1"/>
  </r>
  <r>
    <x v="39"/>
    <x v="39"/>
    <n v="1"/>
  </r>
  <r>
    <x v="39"/>
    <x v="39"/>
    <n v="2"/>
  </r>
  <r>
    <x v="40"/>
    <x v="40"/>
    <n v="1"/>
  </r>
  <r>
    <x v="40"/>
    <x v="40"/>
    <n v="1"/>
  </r>
  <r>
    <x v="40"/>
    <x v="40"/>
    <n v="1"/>
  </r>
  <r>
    <x v="40"/>
    <x v="40"/>
    <n v="2"/>
  </r>
  <r>
    <x v="40"/>
    <x v="40"/>
    <n v="2"/>
  </r>
  <r>
    <x v="40"/>
    <x v="40"/>
    <n v="1"/>
  </r>
  <r>
    <x v="40"/>
    <x v="40"/>
    <n v="1"/>
  </r>
  <r>
    <x v="41"/>
    <x v="41"/>
    <n v="1"/>
  </r>
  <r>
    <x v="41"/>
    <x v="41"/>
    <n v="6"/>
  </r>
  <r>
    <x v="41"/>
    <x v="41"/>
    <n v="1"/>
  </r>
  <r>
    <x v="41"/>
    <x v="41"/>
    <n v="1"/>
  </r>
  <r>
    <x v="42"/>
    <x v="42"/>
    <n v="2"/>
  </r>
  <r>
    <x v="42"/>
    <x v="42"/>
    <n v="1"/>
  </r>
  <r>
    <x v="42"/>
    <x v="42"/>
    <n v="1"/>
  </r>
  <r>
    <x v="42"/>
    <x v="42"/>
    <n v="1"/>
  </r>
  <r>
    <x v="42"/>
    <x v="42"/>
    <n v="1"/>
  </r>
  <r>
    <x v="42"/>
    <x v="42"/>
    <n v="1"/>
  </r>
  <r>
    <x v="42"/>
    <x v="42"/>
    <n v="1"/>
  </r>
  <r>
    <x v="42"/>
    <x v="42"/>
    <n v="1"/>
  </r>
  <r>
    <x v="42"/>
    <x v="42"/>
    <n v="1"/>
  </r>
  <r>
    <x v="43"/>
    <x v="43"/>
    <n v="1"/>
  </r>
  <r>
    <x v="43"/>
    <x v="43"/>
    <n v="1"/>
  </r>
  <r>
    <x v="43"/>
    <x v="43"/>
    <n v="1"/>
  </r>
  <r>
    <x v="44"/>
    <x v="44"/>
    <n v="1"/>
  </r>
  <r>
    <x v="44"/>
    <x v="44"/>
    <n v="1"/>
  </r>
  <r>
    <x v="44"/>
    <x v="44"/>
    <n v="1"/>
  </r>
  <r>
    <x v="44"/>
    <x v="44"/>
    <n v="1"/>
  </r>
  <r>
    <x v="44"/>
    <x v="44"/>
    <n v="1"/>
  </r>
  <r>
    <x v="15"/>
    <x v="15"/>
    <n v="1"/>
  </r>
  <r>
    <x v="45"/>
    <x v="45"/>
    <n v="1"/>
  </r>
  <r>
    <x v="45"/>
    <x v="45"/>
    <n v="1"/>
  </r>
  <r>
    <x v="45"/>
    <x v="45"/>
    <n v="1"/>
  </r>
  <r>
    <x v="46"/>
    <x v="46"/>
    <n v="1"/>
  </r>
  <r>
    <x v="46"/>
    <x v="46"/>
    <n v="1"/>
  </r>
  <r>
    <x v="46"/>
    <x v="46"/>
    <n v="1"/>
  </r>
  <r>
    <x v="47"/>
    <x v="47"/>
    <n v="1"/>
  </r>
  <r>
    <x v="47"/>
    <x v="47"/>
    <n v="1"/>
  </r>
  <r>
    <x v="48"/>
    <x v="48"/>
    <n v="2"/>
  </r>
  <r>
    <x v="48"/>
    <x v="48"/>
    <n v="1"/>
  </r>
  <r>
    <x v="48"/>
    <x v="48"/>
    <n v="1"/>
  </r>
  <r>
    <x v="48"/>
    <x v="48"/>
    <n v="1"/>
  </r>
  <r>
    <x v="48"/>
    <x v="48"/>
    <n v="1"/>
  </r>
  <r>
    <x v="40"/>
    <x v="40"/>
    <n v="1"/>
  </r>
  <r>
    <x v="40"/>
    <x v="40"/>
    <n v="1"/>
  </r>
  <r>
    <x v="40"/>
    <x v="40"/>
    <n v="2"/>
  </r>
  <r>
    <x v="40"/>
    <x v="40"/>
    <n v="1"/>
  </r>
  <r>
    <x v="48"/>
    <x v="48"/>
    <n v="1"/>
  </r>
  <r>
    <x v="48"/>
    <x v="48"/>
    <n v="1"/>
  </r>
  <r>
    <x v="49"/>
    <x v="49"/>
    <n v="1"/>
  </r>
  <r>
    <x v="49"/>
    <x v="49"/>
    <n v="2"/>
  </r>
  <r>
    <x v="49"/>
    <x v="49"/>
    <n v="1"/>
  </r>
  <r>
    <x v="49"/>
    <x v="49"/>
    <n v="1"/>
  </r>
  <r>
    <x v="49"/>
    <x v="49"/>
    <n v="2"/>
  </r>
  <r>
    <x v="49"/>
    <x v="49"/>
    <n v="1"/>
  </r>
  <r>
    <x v="49"/>
    <x v="49"/>
    <n v="1"/>
  </r>
  <r>
    <x v="49"/>
    <x v="49"/>
    <n v="1"/>
  </r>
  <r>
    <x v="49"/>
    <x v="49"/>
    <n v="1"/>
  </r>
  <r>
    <x v="49"/>
    <x v="49"/>
    <n v="1"/>
  </r>
  <r>
    <x v="49"/>
    <x v="49"/>
    <n v="1"/>
  </r>
  <r>
    <x v="49"/>
    <x v="49"/>
    <n v="1"/>
  </r>
  <r>
    <x v="50"/>
    <x v="50"/>
    <n v="1"/>
  </r>
  <r>
    <x v="50"/>
    <x v="50"/>
    <n v="1"/>
  </r>
  <r>
    <x v="51"/>
    <x v="51"/>
    <n v="1"/>
  </r>
  <r>
    <x v="51"/>
    <x v="51"/>
    <n v="1"/>
  </r>
  <r>
    <x v="51"/>
    <x v="51"/>
    <n v="1"/>
  </r>
  <r>
    <x v="51"/>
    <x v="51"/>
    <n v="2"/>
  </r>
  <r>
    <x v="51"/>
    <x v="51"/>
    <n v="1"/>
  </r>
  <r>
    <x v="51"/>
    <x v="51"/>
    <n v="1"/>
  </r>
  <r>
    <x v="51"/>
    <x v="51"/>
    <n v="1"/>
  </r>
  <r>
    <x v="51"/>
    <x v="51"/>
    <n v="1"/>
  </r>
  <r>
    <x v="51"/>
    <x v="51"/>
    <n v="1"/>
  </r>
  <r>
    <x v="52"/>
    <x v="52"/>
    <n v="1"/>
  </r>
  <r>
    <x v="53"/>
    <x v="53"/>
    <n v="1"/>
  </r>
  <r>
    <x v="53"/>
    <x v="53"/>
    <n v="2"/>
  </r>
  <r>
    <x v="53"/>
    <x v="53"/>
    <n v="1"/>
  </r>
  <r>
    <x v="53"/>
    <x v="53"/>
    <n v="1"/>
  </r>
  <r>
    <x v="53"/>
    <x v="53"/>
    <n v="1"/>
  </r>
  <r>
    <x v="53"/>
    <x v="53"/>
    <n v="1"/>
  </r>
  <r>
    <x v="53"/>
    <x v="53"/>
    <n v="1"/>
  </r>
  <r>
    <x v="53"/>
    <x v="53"/>
    <n v="1"/>
  </r>
  <r>
    <x v="53"/>
    <x v="53"/>
    <n v="1"/>
  </r>
  <r>
    <x v="54"/>
    <x v="54"/>
    <n v="1"/>
  </r>
  <r>
    <x v="54"/>
    <x v="54"/>
    <n v="1"/>
  </r>
  <r>
    <x v="55"/>
    <x v="55"/>
    <n v="1"/>
  </r>
  <r>
    <x v="56"/>
    <x v="56"/>
    <n v="1"/>
  </r>
  <r>
    <x v="56"/>
    <x v="56"/>
    <n v="1"/>
  </r>
  <r>
    <x v="56"/>
    <x v="56"/>
    <n v="1"/>
  </r>
  <r>
    <x v="56"/>
    <x v="56"/>
    <n v="1"/>
  </r>
  <r>
    <x v="57"/>
    <x v="57"/>
    <n v="1"/>
  </r>
  <r>
    <x v="57"/>
    <x v="57"/>
    <n v="1"/>
  </r>
  <r>
    <x v="57"/>
    <x v="57"/>
    <n v="1"/>
  </r>
  <r>
    <x v="57"/>
    <x v="57"/>
    <n v="1"/>
  </r>
  <r>
    <x v="57"/>
    <x v="57"/>
    <n v="1"/>
  </r>
  <r>
    <x v="58"/>
    <x v="58"/>
    <n v="1"/>
  </r>
  <r>
    <x v="58"/>
    <x v="58"/>
    <n v="1"/>
  </r>
  <r>
    <x v="58"/>
    <x v="58"/>
    <n v="1"/>
  </r>
  <r>
    <x v="58"/>
    <x v="58"/>
    <n v="1"/>
  </r>
  <r>
    <x v="58"/>
    <x v="58"/>
    <n v="1"/>
  </r>
  <r>
    <x v="58"/>
    <x v="58"/>
    <n v="1"/>
  </r>
  <r>
    <x v="58"/>
    <x v="58"/>
    <n v="1"/>
  </r>
  <r>
    <x v="58"/>
    <x v="58"/>
    <n v="2"/>
  </r>
  <r>
    <x v="58"/>
    <x v="58"/>
    <n v="2"/>
  </r>
  <r>
    <x v="58"/>
    <x v="58"/>
    <n v="2"/>
  </r>
  <r>
    <x v="58"/>
    <x v="58"/>
    <n v="1"/>
  </r>
  <r>
    <x v="58"/>
    <x v="58"/>
    <n v="2"/>
  </r>
  <r>
    <x v="58"/>
    <x v="58"/>
    <n v="1"/>
  </r>
  <r>
    <x v="58"/>
    <x v="58"/>
    <n v="2"/>
  </r>
  <r>
    <x v="58"/>
    <x v="58"/>
    <n v="1"/>
  </r>
  <r>
    <x v="58"/>
    <x v="58"/>
    <n v="2"/>
  </r>
  <r>
    <x v="58"/>
    <x v="58"/>
    <n v="1"/>
  </r>
  <r>
    <x v="58"/>
    <x v="58"/>
    <n v="1"/>
  </r>
  <r>
    <x v="58"/>
    <x v="58"/>
    <n v="1"/>
  </r>
  <r>
    <x v="58"/>
    <x v="58"/>
    <n v="2"/>
  </r>
  <r>
    <x v="58"/>
    <x v="58"/>
    <n v="1"/>
  </r>
  <r>
    <x v="58"/>
    <x v="58"/>
    <n v="1"/>
  </r>
  <r>
    <x v="58"/>
    <x v="58"/>
    <n v="1"/>
  </r>
  <r>
    <x v="59"/>
    <x v="59"/>
    <n v="1"/>
  </r>
  <r>
    <x v="60"/>
    <x v="60"/>
    <n v="1"/>
  </r>
  <r>
    <x v="60"/>
    <x v="60"/>
    <n v="1"/>
  </r>
  <r>
    <x v="61"/>
    <x v="61"/>
    <n v="1"/>
  </r>
  <r>
    <x v="61"/>
    <x v="61"/>
    <n v="1"/>
  </r>
  <r>
    <x v="61"/>
    <x v="61"/>
    <n v="1"/>
  </r>
  <r>
    <x v="61"/>
    <x v="61"/>
    <n v="1"/>
  </r>
  <r>
    <x v="61"/>
    <x v="61"/>
    <n v="1"/>
  </r>
  <r>
    <x v="61"/>
    <x v="61"/>
    <n v="1"/>
  </r>
  <r>
    <x v="61"/>
    <x v="61"/>
    <n v="1"/>
  </r>
  <r>
    <x v="54"/>
    <x v="54"/>
    <n v="1"/>
  </r>
  <r>
    <x v="54"/>
    <x v="54"/>
    <n v="1"/>
  </r>
  <r>
    <x v="61"/>
    <x v="61"/>
    <n v="2"/>
  </r>
  <r>
    <x v="61"/>
    <x v="61"/>
    <n v="1"/>
  </r>
  <r>
    <x v="61"/>
    <x v="61"/>
    <n v="1"/>
  </r>
  <r>
    <x v="61"/>
    <x v="61"/>
    <n v="1"/>
  </r>
  <r>
    <x v="61"/>
    <x v="61"/>
    <n v="1"/>
  </r>
  <r>
    <x v="61"/>
    <x v="61"/>
    <n v="1"/>
  </r>
  <r>
    <x v="61"/>
    <x v="61"/>
    <n v="1"/>
  </r>
  <r>
    <x v="61"/>
    <x v="61"/>
    <n v="1"/>
  </r>
  <r>
    <x v="61"/>
    <x v="61"/>
    <n v="2"/>
  </r>
  <r>
    <x v="61"/>
    <x v="61"/>
    <n v="2"/>
  </r>
  <r>
    <x v="61"/>
    <x v="61"/>
    <n v="1"/>
  </r>
  <r>
    <x v="61"/>
    <x v="61"/>
    <n v="2"/>
  </r>
  <r>
    <x v="61"/>
    <x v="61"/>
    <n v="1"/>
  </r>
  <r>
    <x v="61"/>
    <x v="61"/>
    <n v="1"/>
  </r>
  <r>
    <x v="61"/>
    <x v="61"/>
    <n v="2"/>
  </r>
  <r>
    <x v="61"/>
    <x v="61"/>
    <n v="1"/>
  </r>
  <r>
    <x v="61"/>
    <x v="61"/>
    <n v="2"/>
  </r>
  <r>
    <x v="61"/>
    <x v="61"/>
    <n v="1"/>
  </r>
  <r>
    <x v="61"/>
    <x v="61"/>
    <n v="1"/>
  </r>
  <r>
    <x v="62"/>
    <x v="62"/>
    <n v="1"/>
  </r>
  <r>
    <x v="63"/>
    <x v="63"/>
    <n v="1"/>
  </r>
  <r>
    <x v="63"/>
    <x v="63"/>
    <n v="1"/>
  </r>
  <r>
    <x v="63"/>
    <x v="63"/>
    <n v="1"/>
  </r>
  <r>
    <x v="63"/>
    <x v="63"/>
    <n v="2"/>
  </r>
  <r>
    <x v="63"/>
    <x v="63"/>
    <n v="1"/>
  </r>
  <r>
    <x v="63"/>
    <x v="63"/>
    <n v="1"/>
  </r>
  <r>
    <x v="64"/>
    <x v="64"/>
    <n v="1"/>
  </r>
  <r>
    <x v="64"/>
    <x v="64"/>
    <n v="1"/>
  </r>
  <r>
    <x v="64"/>
    <x v="64"/>
    <n v="1"/>
  </r>
  <r>
    <x v="64"/>
    <x v="64"/>
    <n v="1"/>
  </r>
  <r>
    <x v="64"/>
    <x v="64"/>
    <n v="1"/>
  </r>
  <r>
    <x v="64"/>
    <x v="64"/>
    <n v="1"/>
  </r>
  <r>
    <x v="65"/>
    <x v="65"/>
    <n v="1"/>
  </r>
  <r>
    <x v="65"/>
    <x v="65"/>
    <n v="1"/>
  </r>
  <r>
    <x v="65"/>
    <x v="65"/>
    <n v="1"/>
  </r>
  <r>
    <x v="65"/>
    <x v="65"/>
    <n v="1"/>
  </r>
  <r>
    <x v="65"/>
    <x v="65"/>
    <n v="1"/>
  </r>
  <r>
    <x v="65"/>
    <x v="65"/>
    <n v="1"/>
  </r>
  <r>
    <x v="65"/>
    <x v="65"/>
    <n v="1"/>
  </r>
  <r>
    <x v="66"/>
    <x v="66"/>
    <n v="1"/>
  </r>
  <r>
    <x v="66"/>
    <x v="66"/>
    <n v="1"/>
  </r>
  <r>
    <x v="66"/>
    <x v="66"/>
    <n v="1"/>
  </r>
  <r>
    <x v="66"/>
    <x v="66"/>
    <n v="1"/>
  </r>
  <r>
    <x v="66"/>
    <x v="66"/>
    <n v="1"/>
  </r>
  <r>
    <x v="66"/>
    <x v="66"/>
    <n v="1"/>
  </r>
  <r>
    <x v="66"/>
    <x v="66"/>
    <n v="1"/>
  </r>
  <r>
    <x v="66"/>
    <x v="66"/>
    <n v="1"/>
  </r>
  <r>
    <x v="66"/>
    <x v="66"/>
    <n v="1"/>
  </r>
  <r>
    <x v="66"/>
    <x v="66"/>
    <n v="1"/>
  </r>
  <r>
    <x v="32"/>
    <x v="32"/>
    <n v="1"/>
  </r>
  <r>
    <x v="32"/>
    <x v="32"/>
    <n v="1"/>
  </r>
  <r>
    <x v="32"/>
    <x v="32"/>
    <n v="1"/>
  </r>
  <r>
    <x v="32"/>
    <x v="32"/>
    <n v="2"/>
  </r>
  <r>
    <x v="32"/>
    <x v="32"/>
    <n v="1"/>
  </r>
  <r>
    <x v="32"/>
    <x v="32"/>
    <n v="1"/>
  </r>
  <r>
    <x v="32"/>
    <x v="32"/>
    <n v="1"/>
  </r>
  <r>
    <x v="32"/>
    <x v="32"/>
    <n v="1"/>
  </r>
  <r>
    <x v="67"/>
    <x v="67"/>
    <n v="2"/>
  </r>
  <r>
    <x v="67"/>
    <x v="67"/>
    <n v="1"/>
  </r>
  <r>
    <x v="67"/>
    <x v="67"/>
    <n v="1"/>
  </r>
  <r>
    <x v="67"/>
    <x v="67"/>
    <n v="1"/>
  </r>
  <r>
    <x v="67"/>
    <x v="67"/>
    <n v="1"/>
  </r>
  <r>
    <x v="67"/>
    <x v="67"/>
    <n v="1"/>
  </r>
  <r>
    <x v="67"/>
    <x v="67"/>
    <n v="1"/>
  </r>
  <r>
    <x v="67"/>
    <x v="67"/>
    <n v="1"/>
  </r>
  <r>
    <x v="68"/>
    <x v="68"/>
    <n v="1"/>
  </r>
  <r>
    <x v="68"/>
    <x v="68"/>
    <n v="1"/>
  </r>
  <r>
    <x v="68"/>
    <x v="68"/>
    <n v="1"/>
  </r>
  <r>
    <x v="68"/>
    <x v="68"/>
    <n v="1"/>
  </r>
  <r>
    <x v="68"/>
    <x v="68"/>
    <n v="1"/>
  </r>
  <r>
    <x v="68"/>
    <x v="68"/>
    <n v="1"/>
  </r>
  <r>
    <x v="68"/>
    <x v="68"/>
    <n v="2"/>
  </r>
  <r>
    <x v="68"/>
    <x v="68"/>
    <n v="1"/>
  </r>
  <r>
    <x v="68"/>
    <x v="68"/>
    <n v="1"/>
  </r>
  <r>
    <x v="69"/>
    <x v="69"/>
    <n v="1"/>
  </r>
  <r>
    <x v="69"/>
    <x v="69"/>
    <n v="2"/>
  </r>
  <r>
    <x v="69"/>
    <x v="69"/>
    <n v="1"/>
  </r>
  <r>
    <x v="70"/>
    <x v="70"/>
    <n v="1"/>
  </r>
  <r>
    <x v="70"/>
    <x v="70"/>
    <n v="2"/>
  </r>
  <r>
    <x v="70"/>
    <x v="70"/>
    <n v="1"/>
  </r>
  <r>
    <x v="71"/>
    <x v="71"/>
    <n v="1"/>
  </r>
  <r>
    <x v="71"/>
    <x v="71"/>
    <n v="1"/>
  </r>
  <r>
    <x v="71"/>
    <x v="71"/>
    <n v="1"/>
  </r>
  <r>
    <x v="71"/>
    <x v="71"/>
    <n v="2"/>
  </r>
  <r>
    <x v="71"/>
    <x v="71"/>
    <n v="1"/>
  </r>
  <r>
    <x v="71"/>
    <x v="71"/>
    <n v="5"/>
  </r>
  <r>
    <x v="71"/>
    <x v="71"/>
    <n v="1"/>
  </r>
  <r>
    <x v="71"/>
    <x v="71"/>
    <n v="1"/>
  </r>
  <r>
    <x v="72"/>
    <x v="72"/>
    <n v="1"/>
  </r>
  <r>
    <x v="72"/>
    <x v="72"/>
    <n v="1"/>
  </r>
  <r>
    <x v="72"/>
    <x v="72"/>
    <n v="2"/>
  </r>
  <r>
    <x v="72"/>
    <x v="72"/>
    <n v="2"/>
  </r>
  <r>
    <x v="72"/>
    <x v="72"/>
    <n v="1"/>
  </r>
  <r>
    <x v="73"/>
    <x v="73"/>
    <n v="1"/>
  </r>
  <r>
    <x v="73"/>
    <x v="73"/>
    <n v="1"/>
  </r>
  <r>
    <x v="69"/>
    <x v="69"/>
    <n v="1"/>
  </r>
  <r>
    <x v="69"/>
    <x v="69"/>
    <n v="1"/>
  </r>
  <r>
    <x v="69"/>
    <x v="69"/>
    <n v="1"/>
  </r>
  <r>
    <x v="69"/>
    <x v="69"/>
    <n v="1"/>
  </r>
  <r>
    <x v="74"/>
    <x v="74"/>
    <n v="1"/>
  </r>
  <r>
    <x v="74"/>
    <x v="74"/>
    <n v="1"/>
  </r>
  <r>
    <x v="74"/>
    <x v="74"/>
    <n v="2"/>
  </r>
  <r>
    <x v="74"/>
    <x v="74"/>
    <n v="1"/>
  </r>
  <r>
    <x v="74"/>
    <x v="74"/>
    <n v="2"/>
  </r>
  <r>
    <x v="74"/>
    <x v="74"/>
    <n v="1"/>
  </r>
  <r>
    <x v="75"/>
    <x v="75"/>
    <n v="1"/>
  </r>
  <r>
    <x v="0"/>
    <x v="0"/>
    <n v="1"/>
  </r>
  <r>
    <x v="0"/>
    <x v="0"/>
    <n v="2"/>
  </r>
  <r>
    <x v="76"/>
    <x v="76"/>
    <n v="2"/>
  </r>
  <r>
    <x v="76"/>
    <x v="76"/>
    <n v="2"/>
  </r>
  <r>
    <x v="76"/>
    <x v="76"/>
    <n v="1"/>
  </r>
  <r>
    <x v="76"/>
    <x v="76"/>
    <n v="1"/>
  </r>
  <r>
    <x v="76"/>
    <x v="76"/>
    <n v="1"/>
  </r>
  <r>
    <x v="76"/>
    <x v="76"/>
    <n v="1"/>
  </r>
  <r>
    <x v="76"/>
    <x v="76"/>
    <n v="1"/>
  </r>
  <r>
    <x v="76"/>
    <x v="76"/>
    <n v="1"/>
  </r>
  <r>
    <x v="76"/>
    <x v="76"/>
    <n v="1"/>
  </r>
  <r>
    <x v="76"/>
    <x v="76"/>
    <n v="1"/>
  </r>
  <r>
    <x v="76"/>
    <x v="76"/>
    <n v="2"/>
  </r>
  <r>
    <x v="76"/>
    <x v="76"/>
    <n v="1"/>
  </r>
  <r>
    <x v="76"/>
    <x v="76"/>
    <n v="2"/>
  </r>
  <r>
    <x v="76"/>
    <x v="76"/>
    <n v="2"/>
  </r>
  <r>
    <x v="76"/>
    <x v="76"/>
    <n v="1"/>
  </r>
  <r>
    <x v="76"/>
    <x v="76"/>
    <n v="1"/>
  </r>
  <r>
    <x v="76"/>
    <x v="76"/>
    <n v="1"/>
  </r>
  <r>
    <x v="76"/>
    <x v="76"/>
    <n v="2"/>
  </r>
  <r>
    <x v="76"/>
    <x v="76"/>
    <n v="2"/>
  </r>
  <r>
    <x v="76"/>
    <x v="76"/>
    <n v="1"/>
  </r>
  <r>
    <x v="76"/>
    <x v="76"/>
    <n v="2"/>
  </r>
  <r>
    <x v="32"/>
    <x v="32"/>
    <n v="2"/>
  </r>
  <r>
    <x v="18"/>
    <x v="18"/>
    <n v="1"/>
  </r>
  <r>
    <x v="77"/>
    <x v="77"/>
    <n v="2"/>
  </r>
  <r>
    <x v="18"/>
    <x v="18"/>
    <n v="1"/>
  </r>
  <r>
    <x v="18"/>
    <x v="18"/>
    <n v="2"/>
  </r>
  <r>
    <x v="18"/>
    <x v="18"/>
    <n v="1"/>
  </r>
  <r>
    <x v="18"/>
    <x v="18"/>
    <n v="1"/>
  </r>
  <r>
    <x v="18"/>
    <x v="18"/>
    <n v="1"/>
  </r>
  <r>
    <x v="18"/>
    <x v="18"/>
    <n v="1"/>
  </r>
  <r>
    <x v="18"/>
    <x v="18"/>
    <n v="1"/>
  </r>
  <r>
    <x v="32"/>
    <x v="32"/>
    <n v="1"/>
  </r>
  <r>
    <x v="32"/>
    <x v="32"/>
    <n v="1"/>
  </r>
  <r>
    <x v="18"/>
    <x v="18"/>
    <n v="1"/>
  </r>
  <r>
    <x v="77"/>
    <x v="77"/>
    <n v="1"/>
  </r>
  <r>
    <x v="77"/>
    <x v="77"/>
    <n v="1"/>
  </r>
  <r>
    <x v="18"/>
    <x v="18"/>
    <n v="1"/>
  </r>
  <r>
    <x v="18"/>
    <x v="18"/>
    <n v="1"/>
  </r>
  <r>
    <x v="18"/>
    <x v="18"/>
    <n v="1"/>
  </r>
  <r>
    <x v="77"/>
    <x v="77"/>
    <n v="1"/>
  </r>
  <r>
    <x v="77"/>
    <x v="77"/>
    <n v="1"/>
  </r>
  <r>
    <x v="77"/>
    <x v="77"/>
    <n v="1"/>
  </r>
  <r>
    <x v="78"/>
    <x v="78"/>
    <n v="1"/>
  </r>
  <r>
    <x v="78"/>
    <x v="78"/>
    <n v="1"/>
  </r>
  <r>
    <x v="78"/>
    <x v="78"/>
    <n v="1"/>
  </r>
  <r>
    <x v="78"/>
    <x v="78"/>
    <n v="1"/>
  </r>
  <r>
    <x v="78"/>
    <x v="78"/>
    <n v="1"/>
  </r>
  <r>
    <x v="78"/>
    <x v="78"/>
    <n v="1"/>
  </r>
  <r>
    <x v="78"/>
    <x v="78"/>
    <n v="1"/>
  </r>
  <r>
    <x v="78"/>
    <x v="78"/>
    <n v="1"/>
  </r>
  <r>
    <x v="78"/>
    <x v="78"/>
    <n v="1"/>
  </r>
  <r>
    <x v="78"/>
    <x v="78"/>
    <n v="2"/>
  </r>
  <r>
    <x v="78"/>
    <x v="78"/>
    <n v="1"/>
  </r>
  <r>
    <x v="78"/>
    <x v="78"/>
    <n v="2"/>
  </r>
  <r>
    <x v="78"/>
    <x v="78"/>
    <n v="1"/>
  </r>
  <r>
    <x v="78"/>
    <x v="78"/>
    <n v="2"/>
  </r>
  <r>
    <x v="78"/>
    <x v="78"/>
    <n v="1"/>
  </r>
  <r>
    <x v="78"/>
    <x v="78"/>
    <n v="2"/>
  </r>
  <r>
    <x v="78"/>
    <x v="78"/>
    <n v="1"/>
  </r>
  <r>
    <x v="78"/>
    <x v="78"/>
    <n v="1"/>
  </r>
  <r>
    <x v="78"/>
    <x v="78"/>
    <n v="1"/>
  </r>
  <r>
    <x v="78"/>
    <x v="78"/>
    <n v="1"/>
  </r>
  <r>
    <x v="78"/>
    <x v="78"/>
    <n v="1"/>
  </r>
  <r>
    <x v="78"/>
    <x v="78"/>
    <n v="2"/>
  </r>
  <r>
    <x v="78"/>
    <x v="78"/>
    <n v="1"/>
  </r>
  <r>
    <x v="78"/>
    <x v="78"/>
    <n v="1"/>
  </r>
  <r>
    <x v="78"/>
    <x v="78"/>
    <n v="1"/>
  </r>
  <r>
    <x v="78"/>
    <x v="78"/>
    <n v="1"/>
  </r>
  <r>
    <x v="78"/>
    <x v="78"/>
    <n v="1"/>
  </r>
  <r>
    <x v="78"/>
    <x v="78"/>
    <n v="2"/>
  </r>
  <r>
    <x v="78"/>
    <x v="78"/>
    <n v="1"/>
  </r>
  <r>
    <x v="78"/>
    <x v="78"/>
    <n v="1"/>
  </r>
  <r>
    <x v="78"/>
    <x v="78"/>
    <n v="1"/>
  </r>
  <r>
    <x v="78"/>
    <x v="78"/>
    <n v="1"/>
  </r>
  <r>
    <x v="78"/>
    <x v="78"/>
    <n v="2"/>
  </r>
  <r>
    <x v="78"/>
    <x v="78"/>
    <n v="1"/>
  </r>
  <r>
    <x v="78"/>
    <x v="78"/>
    <n v="2"/>
  </r>
  <r>
    <x v="78"/>
    <x v="78"/>
    <n v="1"/>
  </r>
  <r>
    <x v="79"/>
    <x v="79"/>
    <n v="1"/>
  </r>
  <r>
    <x v="78"/>
    <x v="78"/>
    <n v="1"/>
  </r>
  <r>
    <x v="78"/>
    <x v="78"/>
    <n v="1"/>
  </r>
  <r>
    <x v="78"/>
    <x v="78"/>
    <n v="1"/>
  </r>
  <r>
    <x v="78"/>
    <x v="78"/>
    <n v="1"/>
  </r>
  <r>
    <x v="78"/>
    <x v="78"/>
    <n v="1"/>
  </r>
  <r>
    <x v="80"/>
    <x v="80"/>
    <n v="1"/>
  </r>
  <r>
    <x v="80"/>
    <x v="80"/>
    <n v="1"/>
  </r>
  <r>
    <x v="80"/>
    <x v="80"/>
    <n v="1"/>
  </r>
  <r>
    <x v="80"/>
    <x v="80"/>
    <n v="2"/>
  </r>
  <r>
    <x v="43"/>
    <x v="43"/>
    <n v="1"/>
  </r>
  <r>
    <x v="43"/>
    <x v="43"/>
    <n v="2"/>
  </r>
  <r>
    <x v="43"/>
    <x v="43"/>
    <n v="1"/>
  </r>
  <r>
    <x v="43"/>
    <x v="43"/>
    <n v="1"/>
  </r>
  <r>
    <x v="43"/>
    <x v="43"/>
    <n v="1"/>
  </r>
  <r>
    <x v="43"/>
    <x v="43"/>
    <n v="1"/>
  </r>
  <r>
    <x v="43"/>
    <x v="43"/>
    <n v="1"/>
  </r>
  <r>
    <x v="43"/>
    <x v="43"/>
    <n v="1"/>
  </r>
  <r>
    <x v="43"/>
    <x v="43"/>
    <n v="1"/>
  </r>
  <r>
    <x v="43"/>
    <x v="43"/>
    <n v="1"/>
  </r>
  <r>
    <x v="43"/>
    <x v="43"/>
    <n v="1"/>
  </r>
  <r>
    <x v="43"/>
    <x v="43"/>
    <n v="1"/>
  </r>
  <r>
    <x v="57"/>
    <x v="57"/>
    <n v="1"/>
  </r>
  <r>
    <x v="73"/>
    <x v="73"/>
    <n v="1"/>
  </r>
  <r>
    <x v="73"/>
    <x v="73"/>
    <n v="1"/>
  </r>
  <r>
    <x v="73"/>
    <x v="73"/>
    <n v="1"/>
  </r>
  <r>
    <x v="73"/>
    <x v="73"/>
    <n v="1"/>
  </r>
  <r>
    <x v="73"/>
    <x v="73"/>
    <n v="1"/>
  </r>
  <r>
    <x v="73"/>
    <x v="73"/>
    <n v="1"/>
  </r>
  <r>
    <x v="81"/>
    <x v="81"/>
    <n v="1"/>
  </r>
  <r>
    <x v="81"/>
    <x v="81"/>
    <n v="1"/>
  </r>
  <r>
    <x v="81"/>
    <x v="81"/>
    <n v="2"/>
  </r>
  <r>
    <x v="79"/>
    <x v="79"/>
    <n v="1"/>
  </r>
  <r>
    <x v="79"/>
    <x v="79"/>
    <n v="1"/>
  </r>
  <r>
    <x v="79"/>
    <x v="79"/>
    <n v="1"/>
  </r>
  <r>
    <x v="79"/>
    <x v="79"/>
    <n v="1"/>
  </r>
  <r>
    <x v="79"/>
    <x v="79"/>
    <n v="1"/>
  </r>
  <r>
    <x v="79"/>
    <x v="79"/>
    <n v="1"/>
  </r>
  <r>
    <x v="79"/>
    <x v="79"/>
    <n v="2"/>
  </r>
  <r>
    <x v="79"/>
    <x v="79"/>
    <n v="6"/>
  </r>
  <r>
    <x v="81"/>
    <x v="81"/>
    <n v="1"/>
  </r>
  <r>
    <x v="81"/>
    <x v="81"/>
    <n v="2"/>
  </r>
  <r>
    <x v="81"/>
    <x v="81"/>
    <n v="1"/>
  </r>
  <r>
    <x v="81"/>
    <x v="81"/>
    <n v="1"/>
  </r>
  <r>
    <x v="81"/>
    <x v="81"/>
    <n v="1"/>
  </r>
  <r>
    <x v="81"/>
    <x v="81"/>
    <n v="1"/>
  </r>
  <r>
    <x v="79"/>
    <x v="79"/>
    <n v="1"/>
  </r>
  <r>
    <x v="79"/>
    <x v="79"/>
    <n v="1"/>
  </r>
  <r>
    <x v="79"/>
    <x v="79"/>
    <n v="2"/>
  </r>
  <r>
    <x v="79"/>
    <x v="79"/>
    <n v="1"/>
  </r>
  <r>
    <x v="79"/>
    <x v="79"/>
    <n v="1"/>
  </r>
  <r>
    <x v="79"/>
    <x v="79"/>
    <n v="1"/>
  </r>
  <r>
    <x v="79"/>
    <x v="79"/>
    <n v="2"/>
  </r>
  <r>
    <x v="79"/>
    <x v="79"/>
    <n v="2"/>
  </r>
  <r>
    <x v="79"/>
    <x v="79"/>
    <n v="1"/>
  </r>
  <r>
    <x v="81"/>
    <x v="81"/>
    <n v="1"/>
  </r>
  <r>
    <x v="81"/>
    <x v="81"/>
    <n v="2"/>
  </r>
  <r>
    <x v="81"/>
    <x v="81"/>
    <n v="1"/>
  </r>
  <r>
    <x v="81"/>
    <x v="81"/>
    <n v="1"/>
  </r>
  <r>
    <x v="82"/>
    <x v="82"/>
    <n v="1"/>
  </r>
  <r>
    <x v="82"/>
    <x v="82"/>
    <n v="1"/>
  </r>
  <r>
    <x v="82"/>
    <x v="82"/>
    <n v="1"/>
  </r>
  <r>
    <x v="82"/>
    <x v="82"/>
    <n v="1"/>
  </r>
  <r>
    <x v="82"/>
    <x v="82"/>
    <n v="1"/>
  </r>
  <r>
    <x v="82"/>
    <x v="82"/>
    <n v="1"/>
  </r>
  <r>
    <x v="82"/>
    <x v="82"/>
    <n v="1"/>
  </r>
  <r>
    <x v="82"/>
    <x v="82"/>
    <n v="1"/>
  </r>
  <r>
    <x v="82"/>
    <x v="82"/>
    <n v="1"/>
  </r>
  <r>
    <x v="82"/>
    <x v="82"/>
    <n v="1"/>
  </r>
  <r>
    <x v="82"/>
    <x v="82"/>
    <n v="1"/>
  </r>
  <r>
    <x v="82"/>
    <x v="82"/>
    <n v="1"/>
  </r>
  <r>
    <x v="82"/>
    <x v="82"/>
    <n v="1"/>
  </r>
  <r>
    <x v="82"/>
    <x v="82"/>
    <n v="1"/>
  </r>
  <r>
    <x v="82"/>
    <x v="82"/>
    <n v="1"/>
  </r>
  <r>
    <x v="82"/>
    <x v="82"/>
    <n v="2"/>
  </r>
  <r>
    <x v="82"/>
    <x v="82"/>
    <n v="1"/>
  </r>
  <r>
    <x v="82"/>
    <x v="82"/>
    <n v="1"/>
  </r>
  <r>
    <x v="82"/>
    <x v="82"/>
    <n v="1"/>
  </r>
  <r>
    <x v="82"/>
    <x v="82"/>
    <n v="1"/>
  </r>
  <r>
    <x v="82"/>
    <x v="82"/>
    <n v="2"/>
  </r>
  <r>
    <x v="82"/>
    <x v="82"/>
    <n v="2"/>
  </r>
  <r>
    <x v="82"/>
    <x v="82"/>
    <n v="1"/>
  </r>
  <r>
    <x v="82"/>
    <x v="82"/>
    <n v="1"/>
  </r>
  <r>
    <x v="83"/>
    <x v="83"/>
    <n v="1"/>
  </r>
  <r>
    <x v="83"/>
    <x v="83"/>
    <n v="1"/>
  </r>
  <r>
    <x v="83"/>
    <x v="83"/>
    <n v="1"/>
  </r>
  <r>
    <x v="83"/>
    <x v="83"/>
    <n v="1"/>
  </r>
  <r>
    <x v="83"/>
    <x v="83"/>
    <n v="1"/>
  </r>
  <r>
    <x v="83"/>
    <x v="83"/>
    <n v="1"/>
  </r>
  <r>
    <x v="83"/>
    <x v="83"/>
    <n v="2"/>
  </r>
  <r>
    <x v="83"/>
    <x v="83"/>
    <n v="1"/>
  </r>
  <r>
    <x v="83"/>
    <x v="83"/>
    <n v="1"/>
  </r>
  <r>
    <x v="83"/>
    <x v="83"/>
    <n v="1"/>
  </r>
  <r>
    <x v="83"/>
    <x v="83"/>
    <n v="1"/>
  </r>
  <r>
    <x v="83"/>
    <x v="83"/>
    <n v="1"/>
  </r>
  <r>
    <x v="83"/>
    <x v="83"/>
    <n v="1"/>
  </r>
  <r>
    <x v="83"/>
    <x v="83"/>
    <n v="1"/>
  </r>
  <r>
    <x v="83"/>
    <x v="83"/>
    <n v="1"/>
  </r>
  <r>
    <x v="83"/>
    <x v="83"/>
    <n v="1"/>
  </r>
  <r>
    <x v="83"/>
    <x v="83"/>
    <n v="1"/>
  </r>
  <r>
    <x v="83"/>
    <x v="83"/>
    <n v="1"/>
  </r>
  <r>
    <x v="83"/>
    <x v="83"/>
    <n v="1"/>
  </r>
  <r>
    <x v="83"/>
    <x v="83"/>
    <n v="1"/>
  </r>
  <r>
    <x v="83"/>
    <x v="83"/>
    <n v="1"/>
  </r>
  <r>
    <x v="83"/>
    <x v="83"/>
    <n v="1"/>
  </r>
  <r>
    <x v="83"/>
    <x v="83"/>
    <n v="1"/>
  </r>
  <r>
    <x v="83"/>
    <x v="83"/>
    <n v="2"/>
  </r>
  <r>
    <x v="83"/>
    <x v="83"/>
    <n v="1"/>
  </r>
  <r>
    <x v="83"/>
    <x v="83"/>
    <n v="1"/>
  </r>
  <r>
    <x v="83"/>
    <x v="83"/>
    <n v="1"/>
  </r>
  <r>
    <x v="83"/>
    <x v="83"/>
    <n v="1"/>
  </r>
  <r>
    <x v="83"/>
    <x v="83"/>
    <n v="1"/>
  </r>
  <r>
    <x v="83"/>
    <x v="83"/>
    <n v="1"/>
  </r>
  <r>
    <x v="83"/>
    <x v="83"/>
    <n v="2"/>
  </r>
  <r>
    <x v="83"/>
    <x v="83"/>
    <n v="1"/>
  </r>
  <r>
    <x v="83"/>
    <x v="83"/>
    <n v="1"/>
  </r>
  <r>
    <x v="83"/>
    <x v="83"/>
    <n v="1"/>
  </r>
  <r>
    <x v="83"/>
    <x v="83"/>
    <n v="1"/>
  </r>
  <r>
    <x v="83"/>
    <x v="83"/>
    <n v="1"/>
  </r>
  <r>
    <x v="83"/>
    <x v="83"/>
    <n v="1"/>
  </r>
  <r>
    <x v="83"/>
    <x v="83"/>
    <n v="1"/>
  </r>
  <r>
    <x v="83"/>
    <x v="83"/>
    <n v="1"/>
  </r>
  <r>
    <x v="83"/>
    <x v="83"/>
    <n v="1"/>
  </r>
  <r>
    <x v="83"/>
    <x v="83"/>
    <n v="1"/>
  </r>
  <r>
    <x v="83"/>
    <x v="83"/>
    <n v="2"/>
  </r>
  <r>
    <x v="83"/>
    <x v="83"/>
    <n v="1"/>
  </r>
  <r>
    <x v="83"/>
    <x v="83"/>
    <n v="1"/>
  </r>
  <r>
    <x v="83"/>
    <x v="83"/>
    <n v="1"/>
  </r>
  <r>
    <x v="83"/>
    <x v="83"/>
    <n v="1"/>
  </r>
  <r>
    <x v="83"/>
    <x v="83"/>
    <n v="1"/>
  </r>
  <r>
    <x v="83"/>
    <x v="83"/>
    <n v="1"/>
  </r>
  <r>
    <x v="83"/>
    <x v="83"/>
    <n v="1"/>
  </r>
  <r>
    <x v="83"/>
    <x v="83"/>
    <n v="1"/>
  </r>
  <r>
    <x v="83"/>
    <x v="83"/>
    <n v="1"/>
  </r>
  <r>
    <x v="83"/>
    <x v="83"/>
    <n v="1"/>
  </r>
  <r>
    <x v="83"/>
    <x v="83"/>
    <n v="1"/>
  </r>
  <r>
    <x v="83"/>
    <x v="83"/>
    <n v="2"/>
  </r>
  <r>
    <x v="83"/>
    <x v="83"/>
    <n v="1"/>
  </r>
  <r>
    <x v="84"/>
    <x v="84"/>
    <n v="1"/>
  </r>
  <r>
    <x v="84"/>
    <x v="84"/>
    <n v="1"/>
  </r>
  <r>
    <x v="84"/>
    <x v="84"/>
    <n v="1"/>
  </r>
  <r>
    <x v="84"/>
    <x v="84"/>
    <n v="2"/>
  </r>
  <r>
    <x v="84"/>
    <x v="84"/>
    <n v="1"/>
  </r>
  <r>
    <x v="84"/>
    <x v="84"/>
    <n v="1"/>
  </r>
  <r>
    <x v="84"/>
    <x v="84"/>
    <n v="2"/>
  </r>
  <r>
    <x v="84"/>
    <x v="84"/>
    <n v="1"/>
  </r>
  <r>
    <x v="84"/>
    <x v="84"/>
    <n v="1"/>
  </r>
  <r>
    <x v="84"/>
    <x v="84"/>
    <n v="1"/>
  </r>
  <r>
    <x v="84"/>
    <x v="84"/>
    <n v="1"/>
  </r>
  <r>
    <x v="40"/>
    <x v="40"/>
    <n v="1"/>
  </r>
  <r>
    <x v="40"/>
    <x v="40"/>
    <n v="1"/>
  </r>
  <r>
    <x v="40"/>
    <x v="40"/>
    <n v="1"/>
  </r>
  <r>
    <x v="83"/>
    <x v="83"/>
    <n v="1"/>
  </r>
  <r>
    <x v="83"/>
    <x v="83"/>
    <n v="1"/>
  </r>
  <r>
    <x v="83"/>
    <x v="83"/>
    <n v="1"/>
  </r>
  <r>
    <x v="83"/>
    <x v="83"/>
    <n v="1"/>
  </r>
  <r>
    <x v="83"/>
    <x v="83"/>
    <n v="1"/>
  </r>
  <r>
    <x v="84"/>
    <x v="84"/>
    <n v="1"/>
  </r>
  <r>
    <x v="84"/>
    <x v="84"/>
    <n v="1"/>
  </r>
  <r>
    <x v="84"/>
    <x v="84"/>
    <n v="1"/>
  </r>
  <r>
    <x v="84"/>
    <x v="84"/>
    <n v="1"/>
  </r>
  <r>
    <x v="84"/>
    <x v="84"/>
    <n v="1"/>
  </r>
  <r>
    <x v="84"/>
    <x v="84"/>
    <n v="1"/>
  </r>
  <r>
    <x v="84"/>
    <x v="84"/>
    <n v="1"/>
  </r>
  <r>
    <x v="84"/>
    <x v="84"/>
    <n v="2"/>
  </r>
  <r>
    <x v="84"/>
    <x v="84"/>
    <n v="2"/>
  </r>
  <r>
    <x v="84"/>
    <x v="84"/>
    <n v="2"/>
  </r>
  <r>
    <x v="84"/>
    <x v="84"/>
    <n v="1"/>
  </r>
  <r>
    <x v="84"/>
    <x v="84"/>
    <n v="1"/>
  </r>
  <r>
    <x v="84"/>
    <x v="84"/>
    <n v="1"/>
  </r>
  <r>
    <x v="84"/>
    <x v="84"/>
    <n v="1"/>
  </r>
  <r>
    <x v="84"/>
    <x v="84"/>
    <n v="1"/>
  </r>
  <r>
    <x v="84"/>
    <x v="84"/>
    <n v="1"/>
  </r>
  <r>
    <x v="84"/>
    <x v="84"/>
    <n v="1"/>
  </r>
  <r>
    <x v="84"/>
    <x v="84"/>
    <n v="1"/>
  </r>
  <r>
    <x v="84"/>
    <x v="84"/>
    <n v="1"/>
  </r>
  <r>
    <x v="84"/>
    <x v="84"/>
    <n v="1"/>
  </r>
  <r>
    <x v="84"/>
    <x v="84"/>
    <n v="2"/>
  </r>
  <r>
    <x v="84"/>
    <x v="84"/>
    <n v="1"/>
  </r>
  <r>
    <x v="84"/>
    <x v="84"/>
    <n v="1"/>
  </r>
  <r>
    <x v="84"/>
    <x v="84"/>
    <n v="1"/>
  </r>
  <r>
    <x v="84"/>
    <x v="84"/>
    <n v="1"/>
  </r>
  <r>
    <x v="84"/>
    <x v="84"/>
    <n v="1"/>
  </r>
  <r>
    <x v="84"/>
    <x v="84"/>
    <n v="1"/>
  </r>
  <r>
    <x v="43"/>
    <x v="43"/>
    <n v="2"/>
  </r>
  <r>
    <x v="43"/>
    <x v="43"/>
    <n v="1"/>
  </r>
  <r>
    <x v="43"/>
    <x v="43"/>
    <n v="1"/>
  </r>
  <r>
    <x v="43"/>
    <x v="43"/>
    <n v="1"/>
  </r>
  <r>
    <x v="84"/>
    <x v="84"/>
    <n v="1"/>
  </r>
  <r>
    <x v="84"/>
    <x v="84"/>
    <n v="1"/>
  </r>
  <r>
    <x v="84"/>
    <x v="84"/>
    <n v="2"/>
  </r>
  <r>
    <x v="84"/>
    <x v="84"/>
    <n v="2"/>
  </r>
  <r>
    <x v="84"/>
    <x v="84"/>
    <n v="1"/>
  </r>
  <r>
    <x v="84"/>
    <x v="84"/>
    <n v="1"/>
  </r>
  <r>
    <x v="84"/>
    <x v="84"/>
    <n v="1"/>
  </r>
  <r>
    <x v="84"/>
    <x v="84"/>
    <n v="1"/>
  </r>
  <r>
    <x v="85"/>
    <x v="85"/>
    <n v="1"/>
  </r>
  <r>
    <x v="85"/>
    <x v="85"/>
    <n v="1"/>
  </r>
  <r>
    <x v="85"/>
    <x v="85"/>
    <n v="1"/>
  </r>
  <r>
    <x v="85"/>
    <x v="85"/>
    <n v="1"/>
  </r>
  <r>
    <x v="85"/>
    <x v="85"/>
    <n v="1"/>
  </r>
  <r>
    <x v="85"/>
    <x v="85"/>
    <n v="1"/>
  </r>
  <r>
    <x v="85"/>
    <x v="85"/>
    <n v="2"/>
  </r>
  <r>
    <x v="85"/>
    <x v="85"/>
    <n v="1"/>
  </r>
  <r>
    <x v="85"/>
    <x v="85"/>
    <n v="1"/>
  </r>
  <r>
    <x v="85"/>
    <x v="85"/>
    <n v="2"/>
  </r>
  <r>
    <x v="85"/>
    <x v="85"/>
    <n v="1"/>
  </r>
  <r>
    <x v="85"/>
    <x v="85"/>
    <n v="1"/>
  </r>
  <r>
    <x v="85"/>
    <x v="85"/>
    <n v="2"/>
  </r>
  <r>
    <x v="85"/>
    <x v="85"/>
    <n v="2"/>
  </r>
  <r>
    <x v="85"/>
    <x v="85"/>
    <n v="1"/>
  </r>
  <r>
    <x v="85"/>
    <x v="85"/>
    <n v="2"/>
  </r>
  <r>
    <x v="4"/>
    <x v="4"/>
    <n v="1"/>
  </r>
  <r>
    <x v="85"/>
    <x v="85"/>
    <n v="1"/>
  </r>
  <r>
    <x v="85"/>
    <x v="85"/>
    <n v="1"/>
  </r>
  <r>
    <x v="85"/>
    <x v="85"/>
    <n v="1"/>
  </r>
  <r>
    <x v="4"/>
    <x v="4"/>
    <n v="1"/>
  </r>
  <r>
    <x v="86"/>
    <x v="86"/>
    <n v="1"/>
  </r>
  <r>
    <x v="86"/>
    <x v="86"/>
    <n v="1"/>
  </r>
  <r>
    <x v="86"/>
    <x v="86"/>
    <n v="1"/>
  </r>
  <r>
    <x v="86"/>
    <x v="86"/>
    <n v="1"/>
  </r>
  <r>
    <x v="86"/>
    <x v="86"/>
    <n v="1"/>
  </r>
  <r>
    <x v="86"/>
    <x v="86"/>
    <n v="1"/>
  </r>
  <r>
    <x v="86"/>
    <x v="86"/>
    <n v="2"/>
  </r>
  <r>
    <x v="86"/>
    <x v="86"/>
    <n v="1"/>
  </r>
  <r>
    <x v="86"/>
    <x v="86"/>
    <n v="1"/>
  </r>
  <r>
    <x v="86"/>
    <x v="86"/>
    <n v="1"/>
  </r>
  <r>
    <x v="86"/>
    <x v="86"/>
    <n v="1"/>
  </r>
  <r>
    <x v="40"/>
    <x v="40"/>
    <n v="1"/>
  </r>
  <r>
    <x v="87"/>
    <x v="87"/>
    <m/>
  </r>
  <r>
    <x v="87"/>
    <x v="87"/>
    <m/>
  </r>
  <r>
    <x v="87"/>
    <x v="87"/>
    <m/>
  </r>
  <r>
    <x v="87"/>
    <x v="87"/>
    <m/>
  </r>
  <r>
    <x v="87"/>
    <x v="87"/>
    <m/>
  </r>
  <r>
    <x v="87"/>
    <x v="87"/>
    <m/>
  </r>
  <r>
    <x v="87"/>
    <x v="87"/>
    <m/>
  </r>
  <r>
    <x v="87"/>
    <x v="87"/>
    <m/>
  </r>
  <r>
    <x v="87"/>
    <x v="87"/>
    <m/>
  </r>
  <r>
    <x v="87"/>
    <x v="87"/>
    <m/>
  </r>
  <r>
    <x v="87"/>
    <x v="87"/>
    <m/>
  </r>
  <r>
    <x v="87"/>
    <x v="87"/>
    <m/>
  </r>
  <r>
    <x v="87"/>
    <x v="87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8A958F-91D5-4CBB-87BA-4BC66A08FC76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D1:E319" firstHeaderRow="1" firstDataRow="1" firstDataCol="1"/>
  <pivotFields count="2">
    <pivotField axis="axisRow" compact="0" outline="0" showAll="0">
      <items count="318">
        <item x="232"/>
        <item x="233"/>
        <item x="258"/>
        <item x="234"/>
        <item x="235"/>
        <item x="257"/>
        <item x="192"/>
        <item x="186"/>
        <item x="191"/>
        <item x="240"/>
        <item x="87"/>
        <item x="271"/>
        <item x="133"/>
        <item x="226"/>
        <item x="227"/>
        <item x="173"/>
        <item x="280"/>
        <item x="62"/>
        <item x="220"/>
        <item x="51"/>
        <item x="169"/>
        <item x="304"/>
        <item x="289"/>
        <item x="145"/>
        <item x="146"/>
        <item x="70"/>
        <item x="302"/>
        <item x="301"/>
        <item x="46"/>
        <item x="277"/>
        <item x="281"/>
        <item x="10"/>
        <item x="12"/>
        <item x="15"/>
        <item x="14"/>
        <item x="288"/>
        <item x="151"/>
        <item x="247"/>
        <item x="41"/>
        <item x="45"/>
        <item x="229"/>
        <item x="142"/>
        <item x="106"/>
        <item x="36"/>
        <item x="25"/>
        <item x="26"/>
        <item x="147"/>
        <item x="52"/>
        <item x="285"/>
        <item x="100"/>
        <item x="286"/>
        <item x="312"/>
        <item x="283"/>
        <item x="284"/>
        <item x="58"/>
        <item x="47"/>
        <item x="72"/>
        <item x="165"/>
        <item x="120"/>
        <item x="250"/>
        <item x="161"/>
        <item x="94"/>
        <item x="126"/>
        <item x="293"/>
        <item x="248"/>
        <item x="196"/>
        <item x="116"/>
        <item x="130"/>
        <item x="193"/>
        <item x="76"/>
        <item x="57"/>
        <item x="270"/>
        <item x="43"/>
        <item x="74"/>
        <item x="263"/>
        <item x="265"/>
        <item x="194"/>
        <item x="149"/>
        <item x="113"/>
        <item x="183"/>
        <item x="157"/>
        <item x="127"/>
        <item x="40"/>
        <item x="154"/>
        <item x="33"/>
        <item x="153"/>
        <item x="167"/>
        <item x="184"/>
        <item x="27"/>
        <item x="28"/>
        <item x="63"/>
        <item x="132"/>
        <item x="241"/>
        <item x="107"/>
        <item x="224"/>
        <item x="39"/>
        <item x="297"/>
        <item x="296"/>
        <item x="294"/>
        <item x="295"/>
        <item x="101"/>
        <item x="13"/>
        <item x="8"/>
        <item x="176"/>
        <item x="276"/>
        <item x="308"/>
        <item x="35"/>
        <item x="75"/>
        <item x="177"/>
        <item x="273"/>
        <item x="274"/>
        <item x="275"/>
        <item x="185"/>
        <item x="0"/>
        <item x="300"/>
        <item x="298"/>
        <item x="299"/>
        <item x="203"/>
        <item x="6"/>
        <item x="175"/>
        <item x="96"/>
        <item x="179"/>
        <item x="1"/>
        <item x="69"/>
        <item x="11"/>
        <item x="150"/>
        <item x="238"/>
        <item x="124"/>
        <item x="243"/>
        <item x="109"/>
        <item x="168"/>
        <item x="268"/>
        <item x="136"/>
        <item x="83"/>
        <item x="197"/>
        <item x="198"/>
        <item x="115"/>
        <item x="119"/>
        <item x="315"/>
        <item x="111"/>
        <item x="98"/>
        <item x="141"/>
        <item x="99"/>
        <item x="259"/>
        <item x="249"/>
        <item x="118"/>
        <item x="143"/>
        <item x="159"/>
        <item x="223"/>
        <item x="68"/>
        <item x="166"/>
        <item x="264"/>
        <item x="246"/>
        <item x="245"/>
        <item x="187"/>
        <item x="180"/>
        <item x="125"/>
        <item x="195"/>
        <item x="137"/>
        <item x="228"/>
        <item x="59"/>
        <item x="181"/>
        <item x="48"/>
        <item x="222"/>
        <item x="218"/>
        <item x="56"/>
        <item x="42"/>
        <item x="239"/>
        <item x="214"/>
        <item x="209"/>
        <item x="213"/>
        <item x="210"/>
        <item x="212"/>
        <item x="211"/>
        <item x="131"/>
        <item x="82"/>
        <item x="117"/>
        <item x="24"/>
        <item x="23"/>
        <item x="77"/>
        <item x="287"/>
        <item x="128"/>
        <item x="122"/>
        <item x="123"/>
        <item x="73"/>
        <item x="16"/>
        <item x="272"/>
        <item x="114"/>
        <item x="17"/>
        <item x="18"/>
        <item x="65"/>
        <item x="93"/>
        <item x="37"/>
        <item x="71"/>
        <item x="311"/>
        <item x="282"/>
        <item x="255"/>
        <item x="50"/>
        <item x="108"/>
        <item x="215"/>
        <item x="216"/>
        <item x="201"/>
        <item x="309"/>
        <item x="104"/>
        <item x="80"/>
        <item x="237"/>
        <item x="236"/>
        <item x="34"/>
        <item x="144"/>
        <item x="79"/>
        <item x="84"/>
        <item x="90"/>
        <item x="102"/>
        <item x="66"/>
        <item x="310"/>
        <item x="242"/>
        <item x="269"/>
        <item x="140"/>
        <item x="254"/>
        <item x="251"/>
        <item x="252"/>
        <item x="253"/>
        <item x="92"/>
        <item x="55"/>
        <item x="49"/>
        <item x="121"/>
        <item x="256"/>
        <item x="91"/>
        <item x="244"/>
        <item x="174"/>
        <item x="2"/>
        <item x="3"/>
        <item x="138"/>
        <item x="208"/>
        <item x="206"/>
        <item x="204"/>
        <item x="207"/>
        <item x="230"/>
        <item x="135"/>
        <item x="156"/>
        <item x="21"/>
        <item x="22"/>
        <item x="89"/>
        <item x="279"/>
        <item x="19"/>
        <item x="20"/>
        <item x="267"/>
        <item x="97"/>
        <item x="217"/>
        <item x="178"/>
        <item x="64"/>
        <item x="162"/>
        <item x="292"/>
        <item x="291"/>
        <item x="290"/>
        <item x="60"/>
        <item x="305"/>
        <item x="9"/>
        <item x="129"/>
        <item x="158"/>
        <item x="155"/>
        <item x="81"/>
        <item x="307"/>
        <item x="4"/>
        <item x="313"/>
        <item x="219"/>
        <item x="61"/>
        <item x="164"/>
        <item x="110"/>
        <item x="67"/>
        <item x="278"/>
        <item x="88"/>
        <item x="31"/>
        <item x="29"/>
        <item x="205"/>
        <item x="152"/>
        <item x="200"/>
        <item x="163"/>
        <item x="148"/>
        <item x="225"/>
        <item x="190"/>
        <item x="189"/>
        <item x="188"/>
        <item x="266"/>
        <item x="139"/>
        <item x="134"/>
        <item x="86"/>
        <item x="303"/>
        <item x="7"/>
        <item x="160"/>
        <item x="306"/>
        <item x="260"/>
        <item x="262"/>
        <item x="261"/>
        <item x="221"/>
        <item x="5"/>
        <item x="95"/>
        <item x="103"/>
        <item x="202"/>
        <item x="105"/>
        <item x="85"/>
        <item x="32"/>
        <item x="30"/>
        <item x="44"/>
        <item x="199"/>
        <item x="112"/>
        <item x="182"/>
        <item x="53"/>
        <item x="54"/>
        <item x="314"/>
        <item x="172"/>
        <item x="171"/>
        <item x="170"/>
        <item x="231"/>
        <item x="78"/>
        <item x="38"/>
        <item x="316"/>
        <item t="default"/>
      </items>
    </pivotField>
    <pivotField dataField="1" compact="0" outline="0" showAll="0"/>
  </pivotFields>
  <rowFields count="1">
    <field x="0"/>
  </rowFields>
  <rowItems count="3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 t="grand">
      <x/>
    </i>
  </rowItems>
  <colItems count="1">
    <i/>
  </colItems>
  <dataFields count="1">
    <dataField name="Sum of product_revenue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FEB674-2D9D-4ECC-BBBF-BBDA1403F7E5}" name="PivotTable4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J1:K90" firstHeaderRow="1" firstDataRow="1" firstDataCol="1"/>
  <pivotFields count="3">
    <pivotField compact="0" outline="0" showAll="0">
      <items count="89">
        <item x="0"/>
        <item x="1"/>
        <item x="2"/>
        <item x="3"/>
        <item x="11"/>
        <item x="4"/>
        <item x="5"/>
        <item x="6"/>
        <item x="7"/>
        <item x="8"/>
        <item x="9"/>
        <item x="10"/>
        <item x="12"/>
        <item x="13"/>
        <item x="14"/>
        <item x="15"/>
        <item x="16"/>
        <item x="17"/>
        <item x="18"/>
        <item x="19"/>
        <item x="20"/>
        <item x="79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80"/>
        <item x="81"/>
        <item x="82"/>
        <item x="83"/>
        <item x="84"/>
        <item x="85"/>
        <item x="86"/>
        <item x="87"/>
        <item t="default"/>
      </items>
    </pivotField>
    <pivotField axis="axisRow" compact="0" outline="0" showAll="0">
      <items count="89">
        <item x="26"/>
        <item x="75"/>
        <item x="10"/>
        <item x="78"/>
        <item x="9"/>
        <item x="49"/>
        <item x="45"/>
        <item x="60"/>
        <item x="82"/>
        <item x="42"/>
        <item x="35"/>
        <item x="0"/>
        <item x="72"/>
        <item x="11"/>
        <item x="71"/>
        <item x="48"/>
        <item x="25"/>
        <item x="20"/>
        <item x="13"/>
        <item x="33"/>
        <item x="17"/>
        <item x="19"/>
        <item x="76"/>
        <item x="31"/>
        <item x="70"/>
        <item x="12"/>
        <item x="68"/>
        <item x="83"/>
        <item x="5"/>
        <item x="18"/>
        <item x="77"/>
        <item x="37"/>
        <item x="85"/>
        <item x="47"/>
        <item x="39"/>
        <item x="56"/>
        <item x="55"/>
        <item x="16"/>
        <item x="36"/>
        <item x="7"/>
        <item x="22"/>
        <item x="67"/>
        <item x="50"/>
        <item x="29"/>
        <item x="21"/>
        <item x="57"/>
        <item x="43"/>
        <item x="46"/>
        <item x="4"/>
        <item x="79"/>
        <item x="61"/>
        <item x="44"/>
        <item x="81"/>
        <item x="6"/>
        <item x="41"/>
        <item x="24"/>
        <item x="52"/>
        <item x="74"/>
        <item x="23"/>
        <item x="28"/>
        <item x="73"/>
        <item x="84"/>
        <item x="64"/>
        <item x="66"/>
        <item x="27"/>
        <item x="8"/>
        <item x="1"/>
        <item x="3"/>
        <item x="80"/>
        <item x="53"/>
        <item x="69"/>
        <item x="38"/>
        <item x="51"/>
        <item x="65"/>
        <item x="14"/>
        <item x="30"/>
        <item x="15"/>
        <item x="63"/>
        <item x="86"/>
        <item x="40"/>
        <item x="2"/>
        <item x="62"/>
        <item x="54"/>
        <item x="58"/>
        <item x="34"/>
        <item x="59"/>
        <item x="32"/>
        <item x="87"/>
        <item t="default"/>
      </items>
    </pivotField>
    <pivotField dataField="1" compact="0" outline="0" showAll="0"/>
  </pivotFields>
  <rowFields count="1">
    <field x="1"/>
  </rowFields>
  <rowItems count="8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 t="grand">
      <x/>
    </i>
  </rowItems>
  <colItems count="1">
    <i/>
  </colItems>
  <dataFields count="1">
    <dataField name="Sum of product_quantity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C723ED-FDBC-4828-883D-F5CF34F1FF48}" name="PivotTable3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G1:H90" firstHeaderRow="1" firstDataRow="1" firstDataCol="1"/>
  <pivotFields count="2">
    <pivotField axis="axisRow" compact="0" outline="0" showAll="0">
      <items count="89">
        <item x="26"/>
        <item x="75"/>
        <item x="10"/>
        <item x="78"/>
        <item x="9"/>
        <item x="49"/>
        <item x="45"/>
        <item x="60"/>
        <item x="82"/>
        <item x="42"/>
        <item x="35"/>
        <item x="0"/>
        <item x="72"/>
        <item x="11"/>
        <item x="71"/>
        <item x="48"/>
        <item x="25"/>
        <item x="20"/>
        <item x="13"/>
        <item x="33"/>
        <item x="17"/>
        <item x="19"/>
        <item x="76"/>
        <item x="31"/>
        <item x="70"/>
        <item x="12"/>
        <item x="68"/>
        <item x="83"/>
        <item x="5"/>
        <item x="18"/>
        <item x="77"/>
        <item x="37"/>
        <item x="85"/>
        <item x="47"/>
        <item x="39"/>
        <item x="56"/>
        <item x="55"/>
        <item x="16"/>
        <item x="36"/>
        <item x="7"/>
        <item x="22"/>
        <item x="67"/>
        <item x="50"/>
        <item x="29"/>
        <item x="21"/>
        <item x="57"/>
        <item x="43"/>
        <item x="46"/>
        <item x="4"/>
        <item x="79"/>
        <item x="61"/>
        <item x="44"/>
        <item x="81"/>
        <item x="6"/>
        <item x="41"/>
        <item x="24"/>
        <item x="52"/>
        <item x="74"/>
        <item x="23"/>
        <item x="28"/>
        <item x="73"/>
        <item x="84"/>
        <item x="64"/>
        <item x="66"/>
        <item x="27"/>
        <item x="8"/>
        <item x="1"/>
        <item x="3"/>
        <item x="80"/>
        <item x="53"/>
        <item x="69"/>
        <item x="38"/>
        <item x="51"/>
        <item x="65"/>
        <item x="14"/>
        <item x="30"/>
        <item x="15"/>
        <item x="63"/>
        <item x="86"/>
        <item x="40"/>
        <item x="2"/>
        <item x="62"/>
        <item x="54"/>
        <item x="58"/>
        <item x="34"/>
        <item x="59"/>
        <item x="32"/>
        <item x="87"/>
        <item t="default"/>
      </items>
    </pivotField>
    <pivotField dataField="1" compact="0" outline="0" showAll="0"/>
  </pivotFields>
  <rowFields count="1">
    <field x="0"/>
  </rowFields>
  <rowItems count="8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 t="grand">
      <x/>
    </i>
  </rowItems>
  <colItems count="1">
    <i/>
  </colItems>
  <dataFields count="1">
    <dataField name="Sum of product_revenue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E00C9B-7FC3-4396-A98A-0E5DAFE73C2A}" name="PivotTable2" cacheId="6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8" indent="0" compact="0" compactData="0" multipleFieldFilters="0" chartFormat="1">
  <location ref="A3:B14" firstHeaderRow="1" firstDataRow="1" firstDataCol="1"/>
  <pivotFields count="5">
    <pivotField axis="axisRow" compact="0" outline="0" showAll="0">
      <items count="11">
        <item x="0"/>
        <item x="3"/>
        <item x="7"/>
        <item x="9"/>
        <item x="4"/>
        <item x="8"/>
        <item x="6"/>
        <item x="5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product_revenue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F19AEC-8548-46DE-BB3F-9894B8EE89BD}" name="PivotTable18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2:J12" firstHeaderRow="1" firstDataRow="1" firstDataCol="1"/>
  <pivotFields count="7">
    <pivotField dataField="1" showAll="0"/>
    <pivotField showAll="0"/>
    <pivotField showAll="0"/>
    <pivotField showAll="0"/>
    <pivotField showAll="0"/>
    <pivotField showAll="0"/>
    <pivotField axis="axisRow" showAll="0">
      <items count="10">
        <item x="5"/>
        <item x="6"/>
        <item x="7"/>
        <item x="4"/>
        <item x="1"/>
        <item x="3"/>
        <item x="0"/>
        <item x="2"/>
        <item x="8"/>
        <item t="default"/>
      </items>
    </pivotField>
  </pivotFields>
  <rowFields count="1">
    <field x="6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Count of sell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A28057-52E5-44A2-9D44-497525D54763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">
  <location ref="M22:N31" firstHeaderRow="1" firstDataRow="1" firstDataCol="1"/>
  <pivotFields count="3">
    <pivotField axis="axisRow" compact="0" outline="0" showAll="0">
      <items count="9">
        <item x="7"/>
        <item x="1"/>
        <item x="0"/>
        <item x="4"/>
        <item x="5"/>
        <item x="6"/>
        <item x="2"/>
        <item x="3"/>
        <item t="default"/>
      </items>
    </pivotField>
    <pivotField dataField="1" compact="0" outline="0" showAll="0"/>
    <pivotField compact="0" outline="0" showAl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total_customer_spend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E1C50E-EBC9-4C2A-BFD4-D25180DBDE7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M4:N13" firstHeaderRow="1" firstDataRow="1" firstDataCol="1"/>
  <pivotFields count="6">
    <pivotField dataField="1" showAll="0"/>
    <pivotField showAll="0"/>
    <pivotField showAll="0"/>
    <pivotField showAll="0"/>
    <pivotField showAll="0"/>
    <pivotField axis="axisRow" showAll="0">
      <items count="9">
        <item x="7"/>
        <item x="1"/>
        <item x="0"/>
        <item x="4"/>
        <item x="5"/>
        <item x="6"/>
        <item x="2"/>
        <item x="3"/>
        <item t="default"/>
      </items>
    </pivotField>
  </pivotFields>
  <rowFields count="1">
    <field x="5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 of custom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84C5B1-EC3D-488F-BACA-624F0DC14F81}" name="PivotTable1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M53:N63" firstHeaderRow="1" firstDataRow="1" firstDataCol="1"/>
  <pivotFields count="9">
    <pivotField showAll="0"/>
    <pivotField showAll="0"/>
    <pivotField showAll="0"/>
    <pivotField showAll="0"/>
    <pivotField showAll="0"/>
    <pivotField axis="axisRow" showAll="0">
      <items count="10">
        <item x="7"/>
        <item x="1"/>
        <item x="0"/>
        <item x="4"/>
        <item x="5"/>
        <item x="6"/>
        <item x="2"/>
        <item x="3"/>
        <item x="8"/>
        <item t="default"/>
      </items>
    </pivotField>
    <pivotField dataField="1" showAll="0"/>
    <pivotField showAll="0"/>
    <pivotField showAll="0"/>
  </pivotFields>
  <rowFields count="1">
    <field x="5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Average of total_customer_spend" fld="6" subtotal="average" baseField="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AD4489-C266-4955-B9D3-D4DCC9C5EA64}" name="PivotTable9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M46:N50" firstHeaderRow="1" firstDataRow="1" firstDataCol="1"/>
  <pivotFields count="9"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custom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F640FB-3BD1-422B-9B67-6AFEE9FBFA4E}" name="PivotTable8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M40:N44" firstHeaderRow="1" firstDataRow="1" firstDataCol="1"/>
  <pivotFields count="9"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4">
        <item x="0"/>
        <item x="1"/>
        <item x="2"/>
        <item t="default"/>
      </items>
    </pivotField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_customer_spend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6C56FC-F6EC-4C1B-9BCD-F7794EA3A817}" name="PivotTable20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U40:V129" firstHeaderRow="1" firstDataRow="1" firstDataCol="1"/>
  <pivotFields count="10"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89">
        <item x="59"/>
        <item x="85"/>
        <item x="9"/>
        <item x="12"/>
        <item x="55"/>
        <item x="7"/>
        <item x="82"/>
        <item x="73"/>
        <item x="30"/>
        <item x="27"/>
        <item x="14"/>
        <item x="52"/>
        <item x="81"/>
        <item x="69"/>
        <item x="43"/>
        <item x="48"/>
        <item x="11"/>
        <item x="66"/>
        <item x="51"/>
        <item x="34"/>
        <item x="56"/>
        <item x="79"/>
        <item x="6"/>
        <item x="23"/>
        <item x="31"/>
        <item x="62"/>
        <item x="8"/>
        <item x="10"/>
        <item x="84"/>
        <item x="32"/>
        <item x="47"/>
        <item x="77"/>
        <item x="41"/>
        <item x="54"/>
        <item x="45"/>
        <item x="20"/>
        <item x="80"/>
        <item x="63"/>
        <item x="37"/>
        <item x="49"/>
        <item x="50"/>
        <item x="39"/>
        <item x="78"/>
        <item x="0"/>
        <item x="29"/>
        <item x="21"/>
        <item x="19"/>
        <item x="40"/>
        <item x="4"/>
        <item x="18"/>
        <item x="22"/>
        <item x="44"/>
        <item x="53"/>
        <item x="70"/>
        <item x="61"/>
        <item x="33"/>
        <item x="71"/>
        <item x="35"/>
        <item x="67"/>
        <item x="65"/>
        <item x="64"/>
        <item x="25"/>
        <item x="58"/>
        <item x="2"/>
        <item x="60"/>
        <item x="68"/>
        <item x="72"/>
        <item x="46"/>
        <item x="36"/>
        <item x="1"/>
        <item x="42"/>
        <item x="15"/>
        <item x="74"/>
        <item x="17"/>
        <item x="76"/>
        <item x="5"/>
        <item x="57"/>
        <item x="75"/>
        <item x="28"/>
        <item x="16"/>
        <item x="13"/>
        <item x="86"/>
        <item x="38"/>
        <item x="3"/>
        <item x="26"/>
        <item x="83"/>
        <item x="24"/>
        <item x="8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9"/>
  </rowFields>
  <rowItems count="89">
    <i>
      <x v="27"/>
    </i>
    <i>
      <x v="61"/>
    </i>
    <i>
      <x v="3"/>
    </i>
    <i>
      <x v="50"/>
    </i>
    <i>
      <x v="83"/>
    </i>
    <i>
      <x v="22"/>
    </i>
    <i>
      <x v="49"/>
    </i>
    <i>
      <x v="8"/>
    </i>
    <i>
      <x v="4"/>
    </i>
    <i>
      <x v="32"/>
    </i>
    <i>
      <x v="86"/>
    </i>
    <i>
      <x v="46"/>
    </i>
    <i>
      <x v="79"/>
    </i>
    <i>
      <x v="20"/>
    </i>
    <i>
      <x v="29"/>
    </i>
    <i>
      <x v="52"/>
    </i>
    <i>
      <x v="76"/>
    </i>
    <i>
      <x v="75"/>
    </i>
    <i>
      <x v="59"/>
    </i>
    <i>
      <x v="37"/>
    </i>
    <i>
      <x v="10"/>
    </i>
    <i>
      <x v="64"/>
    </i>
    <i>
      <x v="5"/>
    </i>
    <i>
      <x v="84"/>
    </i>
    <i>
      <x v="19"/>
    </i>
    <i>
      <x v="34"/>
    </i>
    <i>
      <x v="14"/>
    </i>
    <i>
      <x v="78"/>
    </i>
    <i>
      <x v="9"/>
    </i>
    <i>
      <x v="72"/>
    </i>
    <i>
      <x v="26"/>
    </i>
    <i>
      <x v="69"/>
    </i>
    <i>
      <x v="63"/>
    </i>
    <i>
      <x v="13"/>
    </i>
    <i>
      <x v="54"/>
    </i>
    <i>
      <x v="41"/>
    </i>
    <i>
      <x v="44"/>
    </i>
    <i>
      <x v="60"/>
    </i>
    <i>
      <x v="70"/>
    </i>
    <i>
      <x v="25"/>
    </i>
    <i>
      <x v="57"/>
    </i>
    <i>
      <x v="23"/>
    </i>
    <i>
      <x v="15"/>
    </i>
    <i>
      <x v="12"/>
    </i>
    <i>
      <x v="77"/>
    </i>
    <i>
      <x v="30"/>
    </i>
    <i>
      <x v="73"/>
    </i>
    <i>
      <x v="62"/>
    </i>
    <i>
      <x v="38"/>
    </i>
    <i>
      <x v="45"/>
    </i>
    <i>
      <x v="18"/>
    </i>
    <i>
      <x v="48"/>
    </i>
    <i>
      <x v="53"/>
    </i>
    <i>
      <x v="17"/>
    </i>
    <i>
      <x v="51"/>
    </i>
    <i>
      <x v="68"/>
    </i>
    <i>
      <x v="71"/>
    </i>
    <i>
      <x v="16"/>
    </i>
    <i>
      <x/>
    </i>
    <i>
      <x v="43"/>
    </i>
    <i>
      <x v="24"/>
    </i>
    <i>
      <x v="82"/>
    </i>
    <i>
      <x v="2"/>
    </i>
    <i>
      <x v="11"/>
    </i>
    <i>
      <x v="39"/>
    </i>
    <i>
      <x v="31"/>
    </i>
    <i>
      <x v="35"/>
    </i>
    <i>
      <x v="66"/>
    </i>
    <i>
      <x v="80"/>
    </i>
    <i>
      <x v="6"/>
    </i>
    <i>
      <x v="47"/>
    </i>
    <i>
      <x v="65"/>
    </i>
    <i>
      <x v="55"/>
    </i>
    <i>
      <x v="67"/>
    </i>
    <i>
      <x v="7"/>
    </i>
    <i>
      <x v="28"/>
    </i>
    <i>
      <x v="33"/>
    </i>
    <i>
      <x v="21"/>
    </i>
    <i>
      <x v="42"/>
    </i>
    <i>
      <x v="56"/>
    </i>
    <i>
      <x v="58"/>
    </i>
    <i>
      <x v="36"/>
    </i>
    <i>
      <x v="40"/>
    </i>
    <i>
      <x v="85"/>
    </i>
    <i>
      <x v="81"/>
    </i>
    <i>
      <x v="74"/>
    </i>
    <i>
      <x v="1"/>
    </i>
    <i>
      <x v="87"/>
    </i>
    <i t="grand">
      <x/>
    </i>
  </rowItems>
  <colItems count="1">
    <i/>
  </colItems>
  <dataFields count="1">
    <dataField name="Sum of product_quantity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E39F49-48B3-4738-9562-2D0FA392C47A}" name="PivotTable2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X26:Y36" firstHeaderRow="1" firstDataRow="1" firstDataCol="1"/>
  <pivotFields count="10"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10">
        <item x="5"/>
        <item x="2"/>
        <item x="0"/>
        <item x="1"/>
        <item x="7"/>
        <item x="6"/>
        <item x="4"/>
        <item x="3"/>
        <item x="8"/>
        <item t="default"/>
      </items>
    </pivotField>
    <pivotField showAll="0"/>
  </pivotFields>
  <rowFields count="1">
    <field x="8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item_revenue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AC79B0-DB9F-47F0-8C33-C945FA35A3D7}" name="PivotTable19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R40:S129" firstHeaderRow="1" firstDataRow="1" firstDataCol="1"/>
  <pivotFields count="10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 sortType="descending">
      <items count="89">
        <item x="59"/>
        <item x="85"/>
        <item x="9"/>
        <item x="12"/>
        <item x="55"/>
        <item x="7"/>
        <item x="82"/>
        <item x="73"/>
        <item x="30"/>
        <item x="27"/>
        <item x="14"/>
        <item x="52"/>
        <item x="81"/>
        <item x="69"/>
        <item x="43"/>
        <item x="48"/>
        <item x="11"/>
        <item x="66"/>
        <item x="51"/>
        <item x="34"/>
        <item x="56"/>
        <item x="79"/>
        <item x="6"/>
        <item x="23"/>
        <item x="31"/>
        <item x="62"/>
        <item x="8"/>
        <item x="10"/>
        <item x="84"/>
        <item x="32"/>
        <item x="47"/>
        <item x="77"/>
        <item x="41"/>
        <item x="54"/>
        <item x="45"/>
        <item x="20"/>
        <item x="80"/>
        <item x="63"/>
        <item x="37"/>
        <item x="49"/>
        <item x="50"/>
        <item x="39"/>
        <item x="78"/>
        <item x="0"/>
        <item x="29"/>
        <item x="21"/>
        <item x="19"/>
        <item x="40"/>
        <item x="4"/>
        <item x="18"/>
        <item x="22"/>
        <item x="44"/>
        <item x="53"/>
        <item x="70"/>
        <item x="61"/>
        <item x="33"/>
        <item x="71"/>
        <item x="35"/>
        <item x="67"/>
        <item x="65"/>
        <item x="64"/>
        <item x="25"/>
        <item x="58"/>
        <item x="2"/>
        <item x="60"/>
        <item x="68"/>
        <item x="72"/>
        <item x="46"/>
        <item x="36"/>
        <item x="1"/>
        <item x="42"/>
        <item x="15"/>
        <item x="74"/>
        <item x="17"/>
        <item x="76"/>
        <item x="5"/>
        <item x="57"/>
        <item x="75"/>
        <item x="28"/>
        <item x="16"/>
        <item x="13"/>
        <item x="86"/>
        <item x="38"/>
        <item x="3"/>
        <item x="26"/>
        <item x="83"/>
        <item x="24"/>
        <item x="8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9"/>
  </rowFields>
  <rowItems count="89">
    <i>
      <x v="61"/>
    </i>
    <i>
      <x v="27"/>
    </i>
    <i>
      <x v="3"/>
    </i>
    <i>
      <x v="49"/>
    </i>
    <i>
      <x v="8"/>
    </i>
    <i>
      <x v="76"/>
    </i>
    <i>
      <x v="83"/>
    </i>
    <i>
      <x v="22"/>
    </i>
    <i>
      <x v="29"/>
    </i>
    <i>
      <x v="50"/>
    </i>
    <i>
      <x v="32"/>
    </i>
    <i>
      <x v="59"/>
    </i>
    <i>
      <x v="52"/>
    </i>
    <i>
      <x v="46"/>
    </i>
    <i>
      <x v="86"/>
    </i>
    <i>
      <x v="30"/>
    </i>
    <i>
      <x v="20"/>
    </i>
    <i>
      <x v="5"/>
    </i>
    <i>
      <x v="10"/>
    </i>
    <i>
      <x v="63"/>
    </i>
    <i>
      <x v="70"/>
    </i>
    <i>
      <x v="77"/>
    </i>
    <i>
      <x v="14"/>
    </i>
    <i>
      <x v="84"/>
    </i>
    <i>
      <x v="69"/>
    </i>
    <i>
      <x v="26"/>
    </i>
    <i>
      <x v="4"/>
    </i>
    <i>
      <x v="15"/>
    </i>
    <i>
      <x v="37"/>
    </i>
    <i>
      <x v="54"/>
    </i>
    <i>
      <x v="23"/>
    </i>
    <i>
      <x v="34"/>
    </i>
    <i>
      <x v="75"/>
    </i>
    <i>
      <x v="64"/>
    </i>
    <i>
      <x v="68"/>
    </i>
    <i>
      <x v="17"/>
    </i>
    <i>
      <x v="73"/>
    </i>
    <i>
      <x v="72"/>
    </i>
    <i>
      <x/>
    </i>
    <i>
      <x v="19"/>
    </i>
    <i>
      <x v="79"/>
    </i>
    <i>
      <x v="51"/>
    </i>
    <i>
      <x v="41"/>
    </i>
    <i>
      <x v="53"/>
    </i>
    <i>
      <x v="9"/>
    </i>
    <i>
      <x v="78"/>
    </i>
    <i>
      <x v="45"/>
    </i>
    <i>
      <x v="38"/>
    </i>
    <i>
      <x v="57"/>
    </i>
    <i>
      <x v="65"/>
    </i>
    <i>
      <x v="25"/>
    </i>
    <i>
      <x v="39"/>
    </i>
    <i>
      <x v="82"/>
    </i>
    <i>
      <x v="44"/>
    </i>
    <i>
      <x v="43"/>
    </i>
    <i>
      <x v="31"/>
    </i>
    <i>
      <x v="2"/>
    </i>
    <i>
      <x v="12"/>
    </i>
    <i>
      <x v="13"/>
    </i>
    <i>
      <x v="62"/>
    </i>
    <i>
      <x v="6"/>
    </i>
    <i>
      <x v="35"/>
    </i>
    <i>
      <x v="16"/>
    </i>
    <i>
      <x v="55"/>
    </i>
    <i>
      <x v="80"/>
    </i>
    <i>
      <x v="71"/>
    </i>
    <i>
      <x v="60"/>
    </i>
    <i>
      <x v="11"/>
    </i>
    <i>
      <x v="21"/>
    </i>
    <i>
      <x v="7"/>
    </i>
    <i>
      <x v="33"/>
    </i>
    <i>
      <x v="28"/>
    </i>
    <i>
      <x v="18"/>
    </i>
    <i>
      <x v="67"/>
    </i>
    <i>
      <x v="42"/>
    </i>
    <i>
      <x v="47"/>
    </i>
    <i>
      <x v="85"/>
    </i>
    <i>
      <x v="56"/>
    </i>
    <i>
      <x v="48"/>
    </i>
    <i>
      <x v="58"/>
    </i>
    <i>
      <x v="36"/>
    </i>
    <i>
      <x v="40"/>
    </i>
    <i>
      <x v="24"/>
    </i>
    <i>
      <x v="81"/>
    </i>
    <i>
      <x v="1"/>
    </i>
    <i>
      <x v="66"/>
    </i>
    <i>
      <x v="74"/>
    </i>
    <i>
      <x v="87"/>
    </i>
    <i t="grand">
      <x/>
    </i>
  </rowItems>
  <colItems count="1">
    <i/>
  </colItems>
  <dataFields count="1">
    <dataField name="Sum of item_revenue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181A42-8DC0-472E-BE74-F2F0F063980B}" name="PivotTable23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X40:AJ51" firstHeaderRow="1" firstDataRow="2" firstDataCol="1"/>
  <pivotFields count="10">
    <pivotField showAll="0"/>
    <pivotField showAll="0"/>
    <pivotField showAll="0"/>
    <pivotField axis="axisCol" showAll="0">
      <items count="12">
        <item x="2"/>
        <item x="5"/>
        <item x="3"/>
        <item x="7"/>
        <item x="9"/>
        <item x="0"/>
        <item x="1"/>
        <item x="6"/>
        <item x="4"/>
        <item x="8"/>
        <item x="10"/>
        <item t="default"/>
      </items>
    </pivotField>
    <pivotField showAll="0"/>
    <pivotField dataField="1" showAll="0"/>
    <pivotField showAll="0"/>
    <pivotField showAll="0"/>
    <pivotField axis="axisRow" showAll="0">
      <items count="10">
        <item x="5"/>
        <item x="2"/>
        <item x="0"/>
        <item x="1"/>
        <item x="7"/>
        <item x="6"/>
        <item x="4"/>
        <item x="3"/>
        <item x="8"/>
        <item t="default"/>
      </items>
    </pivotField>
    <pivotField showAll="0"/>
  </pivotFields>
  <rowFields count="1">
    <field x="8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3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colItems>
  <dataFields count="1">
    <dataField name="Sum of item_revenue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062F5F-19EF-4661-805D-D195D0588AA7}" name="PivotTable16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26:P344" firstHeaderRow="1" firstDataRow="1" firstDataCol="1"/>
  <pivotFields count="7">
    <pivotField showAll="0"/>
    <pivotField showAll="0"/>
    <pivotField dataField="1" showAll="0"/>
    <pivotField showAll="0"/>
    <pivotField showAll="0"/>
    <pivotField showAll="0"/>
    <pivotField axis="axisRow" showAll="0" sortType="descending">
      <items count="318">
        <item x="166"/>
        <item x="70"/>
        <item x="257"/>
        <item x="304"/>
        <item x="253"/>
        <item x="233"/>
        <item x="162"/>
        <item x="234"/>
        <item x="201"/>
        <item x="119"/>
        <item x="216"/>
        <item x="68"/>
        <item x="41"/>
        <item x="177"/>
        <item x="112"/>
        <item x="147"/>
        <item x="59"/>
        <item x="204"/>
        <item x="250"/>
        <item x="189"/>
        <item x="114"/>
        <item x="151"/>
        <item x="237"/>
        <item x="18"/>
        <item x="133"/>
        <item x="139"/>
        <item x="193"/>
        <item x="155"/>
        <item x="105"/>
        <item x="30"/>
        <item x="203"/>
        <item x="99"/>
        <item x="140"/>
        <item x="109"/>
        <item x="142"/>
        <item x="21"/>
        <item x="156"/>
        <item x="179"/>
        <item x="12"/>
        <item x="209"/>
        <item x="261"/>
        <item x="27"/>
        <item x="23"/>
        <item x="88"/>
        <item x="135"/>
        <item x="116"/>
        <item x="117"/>
        <item x="126"/>
        <item x="78"/>
        <item x="231"/>
        <item x="220"/>
        <item x="39"/>
        <item x="167"/>
        <item x="95"/>
        <item x="239"/>
        <item x="242"/>
        <item x="54"/>
        <item x="20"/>
        <item x="160"/>
        <item x="217"/>
        <item x="164"/>
        <item x="205"/>
        <item x="19"/>
        <item x="50"/>
        <item x="252"/>
        <item x="57"/>
        <item x="96"/>
        <item x="145"/>
        <item x="265"/>
        <item x="238"/>
        <item x="7"/>
        <item x="170"/>
        <item x="104"/>
        <item x="36"/>
        <item x="158"/>
        <item x="137"/>
        <item x="150"/>
        <item x="285"/>
        <item x="255"/>
        <item x="183"/>
        <item x="32"/>
        <item x="208"/>
        <item x="259"/>
        <item x="82"/>
        <item x="40"/>
        <item x="28"/>
        <item x="2"/>
        <item x="225"/>
        <item x="108"/>
        <item x="215"/>
        <item x="31"/>
        <item x="287"/>
        <item x="171"/>
        <item x="308"/>
        <item x="64"/>
        <item x="92"/>
        <item x="282"/>
        <item x="271"/>
        <item x="148"/>
        <item x="314"/>
        <item x="106"/>
        <item x="276"/>
        <item x="85"/>
        <item x="9"/>
        <item x="299"/>
        <item x="4"/>
        <item x="89"/>
        <item x="69"/>
        <item x="132"/>
        <item x="107"/>
        <item x="38"/>
        <item x="136"/>
        <item x="258"/>
        <item x="254"/>
        <item x="300"/>
        <item x="260"/>
        <item x="175"/>
        <item x="75"/>
        <item x="288"/>
        <item x="62"/>
        <item x="182"/>
        <item x="46"/>
        <item x="146"/>
        <item x="52"/>
        <item x="10"/>
        <item x="284"/>
        <item x="251"/>
        <item x="165"/>
        <item x="230"/>
        <item x="187"/>
        <item x="286"/>
        <item x="153"/>
        <item x="264"/>
        <item x="60"/>
        <item x="6"/>
        <item x="295"/>
        <item x="63"/>
        <item x="17"/>
        <item x="176"/>
        <item x="310"/>
        <item x="244"/>
        <item x="24"/>
        <item x="76"/>
        <item x="58"/>
        <item x="268"/>
        <item x="84"/>
        <item x="25"/>
        <item x="313"/>
        <item x="311"/>
        <item x="178"/>
        <item x="152"/>
        <item x="159"/>
        <item x="53"/>
        <item x="26"/>
        <item x="67"/>
        <item x="273"/>
        <item x="8"/>
        <item x="33"/>
        <item x="1"/>
        <item x="277"/>
        <item x="144"/>
        <item x="72"/>
        <item x="294"/>
        <item x="13"/>
        <item x="157"/>
        <item x="197"/>
        <item x="293"/>
        <item x="235"/>
        <item x="66"/>
        <item x="122"/>
        <item x="194"/>
        <item x="232"/>
        <item x="211"/>
        <item x="229"/>
        <item x="303"/>
        <item x="266"/>
        <item x="283"/>
        <item x="113"/>
        <item x="123"/>
        <item x="124"/>
        <item x="154"/>
        <item x="199"/>
        <item x="200"/>
        <item x="127"/>
        <item x="262"/>
        <item x="143"/>
        <item x="198"/>
        <item x="243"/>
        <item x="91"/>
        <item x="172"/>
        <item x="161"/>
        <item x="138"/>
        <item x="131"/>
        <item x="305"/>
        <item x="307"/>
        <item x="11"/>
        <item x="110"/>
        <item x="125"/>
        <item x="73"/>
        <item x="29"/>
        <item x="270"/>
        <item x="221"/>
        <item x="241"/>
        <item x="309"/>
        <item x="15"/>
        <item x="77"/>
        <item x="227"/>
        <item x="195"/>
        <item x="79"/>
        <item x="245"/>
        <item x="185"/>
        <item x="16"/>
        <item x="173"/>
        <item x="43"/>
        <item x="191"/>
        <item x="94"/>
        <item x="275"/>
        <item x="98"/>
        <item x="97"/>
        <item x="174"/>
        <item x="206"/>
        <item x="302"/>
        <item x="121"/>
        <item x="0"/>
        <item x="249"/>
        <item x="169"/>
        <item x="274"/>
        <item x="306"/>
        <item x="22"/>
        <item x="190"/>
        <item x="14"/>
        <item x="196"/>
        <item x="61"/>
        <item x="129"/>
        <item x="269"/>
        <item x="272"/>
        <item x="83"/>
        <item x="56"/>
        <item x="301"/>
        <item x="80"/>
        <item x="180"/>
        <item x="207"/>
        <item x="44"/>
        <item x="149"/>
        <item x="278"/>
        <item x="101"/>
        <item x="292"/>
        <item x="74"/>
        <item x="188"/>
        <item x="267"/>
        <item x="223"/>
        <item x="102"/>
        <item x="55"/>
        <item x="35"/>
        <item x="103"/>
        <item x="5"/>
        <item x="115"/>
        <item x="134"/>
        <item x="163"/>
        <item x="296"/>
        <item x="236"/>
        <item x="240"/>
        <item x="65"/>
        <item x="81"/>
        <item x="71"/>
        <item x="87"/>
        <item x="222"/>
        <item x="248"/>
        <item x="192"/>
        <item x="263"/>
        <item x="280"/>
        <item x="181"/>
        <item x="210"/>
        <item x="100"/>
        <item x="279"/>
        <item x="291"/>
        <item x="49"/>
        <item x="214"/>
        <item x="3"/>
        <item x="226"/>
        <item x="289"/>
        <item x="86"/>
        <item x="45"/>
        <item x="212"/>
        <item x="213"/>
        <item x="141"/>
        <item x="290"/>
        <item x="111"/>
        <item x="120"/>
        <item x="219"/>
        <item x="312"/>
        <item x="228"/>
        <item x="224"/>
        <item x="128"/>
        <item x="48"/>
        <item x="218"/>
        <item x="168"/>
        <item x="37"/>
        <item x="281"/>
        <item x="90"/>
        <item x="47"/>
        <item x="130"/>
        <item x="184"/>
        <item x="246"/>
        <item x="93"/>
        <item x="298"/>
        <item x="118"/>
        <item x="202"/>
        <item x="247"/>
        <item x="297"/>
        <item x="42"/>
        <item x="186"/>
        <item x="34"/>
        <item x="256"/>
        <item x="315"/>
        <item x="51"/>
        <item x="31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6"/>
  </rowFields>
  <rowItems count="318">
    <i>
      <x v="31"/>
    </i>
    <i>
      <x v="16"/>
    </i>
    <i>
      <x v="239"/>
    </i>
    <i>
      <x v="23"/>
    </i>
    <i>
      <x v="288"/>
    </i>
    <i>
      <x v="88"/>
    </i>
    <i>
      <x v="254"/>
    </i>
    <i>
      <x v="282"/>
    </i>
    <i>
      <x v="53"/>
    </i>
    <i>
      <x v="103"/>
    </i>
    <i>
      <x v="100"/>
    </i>
    <i>
      <x v="256"/>
    </i>
    <i>
      <x v="32"/>
    </i>
    <i>
      <x v="245"/>
    </i>
    <i>
      <x v="258"/>
    </i>
    <i>
      <x v="27"/>
    </i>
    <i>
      <x v="21"/>
    </i>
    <i>
      <x v="178"/>
    </i>
    <i>
      <x v="79"/>
    </i>
    <i>
      <x v="140"/>
    </i>
    <i>
      <x v="28"/>
    </i>
    <i>
      <x v="304"/>
    </i>
    <i>
      <x v="84"/>
    </i>
    <i>
      <x v="80"/>
    </i>
    <i>
      <x v="195"/>
    </i>
    <i>
      <x v="196"/>
    </i>
    <i>
      <x v="127"/>
    </i>
    <i>
      <x v="199"/>
    </i>
    <i>
      <x v="20"/>
    </i>
    <i>
      <x v="29"/>
    </i>
    <i>
      <x v="37"/>
    </i>
    <i>
      <x v="117"/>
    </i>
    <i>
      <x v="69"/>
    </i>
    <i>
      <x v="243"/>
    </i>
    <i>
      <x v="143"/>
    </i>
    <i>
      <x v="168"/>
    </i>
    <i>
      <x v="247"/>
    </i>
    <i>
      <x v="33"/>
    </i>
    <i>
      <x v="24"/>
    </i>
    <i>
      <x v="188"/>
    </i>
    <i>
      <x/>
    </i>
    <i>
      <x v="25"/>
    </i>
    <i>
      <x v="65"/>
    </i>
    <i>
      <x v="41"/>
    </i>
    <i>
      <x v="123"/>
    </i>
    <i>
      <x v="197"/>
    </i>
    <i>
      <x v="137"/>
    </i>
    <i>
      <x v="47"/>
    </i>
    <i>
      <x v="287"/>
    </i>
    <i>
      <x v="209"/>
    </i>
    <i>
      <x v="294"/>
    </i>
    <i>
      <x v="236"/>
    </i>
    <i>
      <x v="17"/>
    </i>
    <i>
      <x v="157"/>
    </i>
    <i>
      <x v="180"/>
    </i>
    <i>
      <x v="264"/>
    </i>
    <i>
      <x v="15"/>
    </i>
    <i>
      <x v="57"/>
    </i>
    <i>
      <x v="163"/>
    </i>
    <i>
      <x v="60"/>
    </i>
    <i>
      <x v="204"/>
    </i>
    <i>
      <x v="63"/>
    </i>
    <i>
      <x v="252"/>
    </i>
    <i>
      <x v="74"/>
    </i>
    <i>
      <x v="295"/>
    </i>
    <i>
      <x v="87"/>
    </i>
    <i>
      <x v="171"/>
    </i>
    <i>
      <x v="6"/>
    </i>
    <i>
      <x v="311"/>
    </i>
    <i>
      <x v="102"/>
    </i>
    <i>
      <x v="212"/>
    </i>
    <i>
      <x v="106"/>
    </i>
    <i>
      <x v="244"/>
    </i>
    <i>
      <x v="121"/>
    </i>
    <i>
      <x v="261"/>
    </i>
    <i>
      <x v="145"/>
    </i>
    <i>
      <x v="270"/>
    </i>
    <i>
      <x v="151"/>
    </i>
    <i>
      <x v="154"/>
    </i>
    <i>
      <x v="177"/>
    </i>
    <i>
      <x v="223"/>
    </i>
    <i>
      <x v="266"/>
    </i>
    <i>
      <x v="46"/>
    </i>
    <i>
      <x v="9"/>
    </i>
    <i>
      <x v="122"/>
    </i>
    <i>
      <x v="133"/>
    </i>
    <i>
      <x v="240"/>
    </i>
    <i>
      <x v="144"/>
    </i>
    <i>
      <x v="26"/>
    </i>
    <i>
      <x v="22"/>
    </i>
    <i>
      <x v="281"/>
    </i>
    <i>
      <x v="146"/>
    </i>
    <i>
      <x v="2"/>
    </i>
    <i>
      <x v="150"/>
    </i>
    <i>
      <x v="233"/>
    </i>
    <i>
      <x v="85"/>
    </i>
    <i>
      <x v="249"/>
    </i>
    <i>
      <x v="61"/>
    </i>
    <i>
      <x v="1"/>
    </i>
    <i>
      <x v="159"/>
    </i>
    <i>
      <x v="119"/>
    </i>
    <i>
      <x v="161"/>
    </i>
    <i>
      <x v="83"/>
    </i>
    <i>
      <x v="90"/>
    </i>
    <i>
      <x v="289"/>
    </i>
    <i>
      <x v="164"/>
    </i>
    <i>
      <x v="297"/>
    </i>
    <i>
      <x v="165"/>
    </i>
    <i>
      <x v="220"/>
    </i>
    <i>
      <x v="169"/>
    </i>
    <i>
      <x v="228"/>
    </i>
    <i>
      <x v="94"/>
    </i>
    <i>
      <x v="55"/>
    </i>
    <i>
      <x v="307"/>
    </i>
    <i>
      <x v="111"/>
    </i>
    <i>
      <x v="310"/>
    </i>
    <i>
      <x v="112"/>
    </i>
    <i>
      <x v="179"/>
    </i>
    <i>
      <x v="255"/>
    </i>
    <i>
      <x v="97"/>
    </i>
    <i>
      <x v="257"/>
    </i>
    <i>
      <x v="98"/>
    </i>
    <i>
      <x v="262"/>
    </i>
    <i>
      <x v="185"/>
    </i>
    <i>
      <x v="265"/>
    </i>
    <i>
      <x v="186"/>
    </i>
    <i>
      <x v="267"/>
    </i>
    <i>
      <x v="190"/>
    </i>
    <i>
      <x v="276"/>
    </i>
    <i>
      <x v="198"/>
    </i>
    <i>
      <x v="283"/>
    </i>
    <i>
      <x v="39"/>
    </i>
    <i>
      <x v="52"/>
    </i>
    <i>
      <x v="59"/>
    </i>
    <i>
      <x v="296"/>
    </i>
    <i>
      <x v="70"/>
    </i>
    <i>
      <x v="301"/>
    </i>
    <i>
      <x v="213"/>
    </i>
    <i>
      <x v="124"/>
    </i>
    <i>
      <x v="215"/>
    </i>
    <i>
      <x v="34"/>
    </i>
    <i>
      <x v="182"/>
    </i>
    <i>
      <x v="298"/>
    </i>
    <i>
      <x v="272"/>
    </i>
    <i>
      <x v="263"/>
    </i>
    <i>
      <x v="30"/>
    </i>
    <i>
      <x v="51"/>
    </i>
    <i>
      <x v="205"/>
    </i>
    <i>
      <x v="308"/>
    </i>
    <i>
      <x v="206"/>
    </i>
    <i>
      <x v="176"/>
    </i>
    <i>
      <x v="207"/>
    </i>
    <i>
      <x v="95"/>
    </i>
    <i>
      <x v="208"/>
    </i>
    <i>
      <x v="81"/>
    </i>
    <i>
      <x v="40"/>
    </i>
    <i>
      <x v="303"/>
    </i>
    <i>
      <x v="210"/>
    </i>
    <i>
      <x v="116"/>
    </i>
    <i>
      <x v="141"/>
    </i>
    <i>
      <x v="91"/>
    </i>
    <i>
      <x v="11"/>
    </i>
    <i>
      <x v="76"/>
    </i>
    <i>
      <x v="71"/>
    </i>
    <i>
      <x v="8"/>
    </i>
    <i>
      <x v="216"/>
    </i>
    <i>
      <x v="285"/>
    </i>
    <i>
      <x v="217"/>
    </i>
    <i>
      <x v="291"/>
    </i>
    <i>
      <x v="72"/>
    </i>
    <i>
      <x v="130"/>
    </i>
    <i>
      <x v="222"/>
    </i>
    <i>
      <x v="300"/>
    </i>
    <i>
      <x v="7"/>
    </i>
    <i>
      <x v="305"/>
    </i>
    <i>
      <x v="86"/>
    </i>
    <i>
      <x v="136"/>
    </i>
    <i>
      <x v="229"/>
    </i>
    <i>
      <x v="66"/>
    </i>
    <i>
      <x v="231"/>
    </i>
    <i>
      <x v="118"/>
    </i>
    <i>
      <x v="232"/>
    </i>
    <i>
      <x v="93"/>
    </i>
    <i>
      <x v="110"/>
    </i>
    <i>
      <x v="269"/>
    </i>
    <i>
      <x v="235"/>
    </i>
    <i>
      <x v="271"/>
    </i>
    <i>
      <x v="152"/>
    </i>
    <i>
      <x v="273"/>
    </i>
    <i>
      <x v="153"/>
    </i>
    <i>
      <x v="278"/>
    </i>
    <i>
      <x v="73"/>
    </i>
    <i>
      <x v="126"/>
    </i>
    <i>
      <x v="246"/>
    </i>
    <i>
      <x v="50"/>
    </i>
    <i>
      <x v="248"/>
    </i>
    <i>
      <x v="181"/>
    </i>
    <i>
      <x v="155"/>
    </i>
    <i>
      <x v="292"/>
    </i>
    <i>
      <x v="250"/>
    </i>
    <i>
      <x v="312"/>
    </i>
    <i>
      <x v="251"/>
    </i>
    <i>
      <x v="131"/>
    </i>
    <i>
      <x v="315"/>
    </i>
    <i>
      <x v="299"/>
    </i>
    <i>
      <x v="253"/>
    </i>
    <i>
      <x v="62"/>
    </i>
    <i>
      <x v="12"/>
    </i>
    <i>
      <x v="38"/>
    </i>
    <i>
      <x v="89"/>
    </i>
    <i>
      <x v="135"/>
    </i>
    <i>
      <x v="160"/>
    </i>
    <i>
      <x v="309"/>
    </i>
    <i>
      <x v="115"/>
    </i>
    <i>
      <x v="202"/>
    </i>
    <i>
      <x v="260"/>
    </i>
    <i>
      <x v="313"/>
    </i>
    <i>
      <x v="183"/>
    </i>
    <i>
      <x v="184"/>
    </i>
    <i>
      <x v="49"/>
    </i>
    <i>
      <x v="314"/>
    </i>
    <i>
      <x v="109"/>
    </i>
    <i>
      <x v="92"/>
    </i>
    <i>
      <x v="274"/>
    </i>
    <i>
      <x v="221"/>
    </i>
    <i>
      <x v="290"/>
    </i>
    <i>
      <x v="156"/>
    </i>
    <i>
      <x v="306"/>
    </i>
    <i>
      <x v="78"/>
    </i>
    <i>
      <x v="187"/>
    </i>
    <i>
      <x v="224"/>
    </i>
    <i>
      <x v="192"/>
    </i>
    <i>
      <x v="225"/>
    </i>
    <i>
      <x v="286"/>
    </i>
    <i>
      <x v="226"/>
    </i>
    <i>
      <x v="201"/>
    </i>
    <i>
      <x v="227"/>
    </i>
    <i>
      <x v="302"/>
    </i>
    <i>
      <x v="3"/>
    </i>
    <i>
      <x v="114"/>
    </i>
    <i>
      <x v="120"/>
    </i>
    <i>
      <x v="268"/>
    </i>
    <i>
      <x v="230"/>
    </i>
    <i>
      <x v="189"/>
    </i>
    <i>
      <x v="4"/>
    </i>
    <i>
      <x v="191"/>
    </i>
    <i>
      <x v="96"/>
    </i>
    <i>
      <x v="280"/>
    </i>
    <i>
      <x v="162"/>
    </i>
    <i>
      <x v="284"/>
    </i>
    <i>
      <x v="234"/>
    </i>
    <i>
      <x v="139"/>
    </i>
    <i>
      <x v="19"/>
    </i>
    <i>
      <x v="200"/>
    </i>
    <i>
      <x v="82"/>
    </i>
    <i>
      <x v="203"/>
    </i>
    <i>
      <x v="237"/>
    </i>
    <i>
      <x v="5"/>
    </i>
    <i>
      <x v="238"/>
    </i>
    <i>
      <x v="149"/>
    </i>
    <i>
      <x v="42"/>
    </i>
    <i>
      <x v="113"/>
    </i>
    <i>
      <x v="125"/>
    </i>
    <i>
      <x v="77"/>
    </i>
    <i>
      <x v="241"/>
    </i>
    <i>
      <x v="105"/>
    </i>
    <i>
      <x v="242"/>
    </i>
    <i>
      <x v="10"/>
    </i>
    <i>
      <x v="43"/>
    </i>
    <i>
      <x v="35"/>
    </i>
    <i>
      <x v="166"/>
    </i>
    <i>
      <x v="138"/>
    </i>
    <i>
      <x v="44"/>
    </i>
    <i>
      <x v="275"/>
    </i>
    <i>
      <x v="167"/>
    </i>
    <i>
      <x v="277"/>
    </i>
    <i>
      <x v="45"/>
    </i>
    <i>
      <x v="279"/>
    </i>
    <i>
      <x v="13"/>
    </i>
    <i>
      <x v="193"/>
    </i>
    <i>
      <x v="99"/>
    </i>
    <i>
      <x v="194"/>
    </i>
    <i>
      <x v="170"/>
    </i>
    <i>
      <x v="36"/>
    </i>
    <i>
      <x v="56"/>
    </i>
    <i>
      <x v="14"/>
    </i>
    <i>
      <x v="172"/>
    </i>
    <i>
      <x v="58"/>
    </i>
    <i>
      <x v="173"/>
    </i>
    <i>
      <x v="107"/>
    </i>
    <i>
      <x v="174"/>
    </i>
    <i>
      <x v="293"/>
    </i>
    <i>
      <x v="175"/>
    </i>
    <i>
      <x v="142"/>
    </i>
    <i>
      <x v="128"/>
    </i>
    <i>
      <x v="108"/>
    </i>
    <i>
      <x v="129"/>
    </i>
    <i>
      <x v="67"/>
    </i>
    <i>
      <x v="48"/>
    </i>
    <i>
      <x v="147"/>
    </i>
    <i>
      <x v="259"/>
    </i>
    <i>
      <x v="148"/>
    </i>
    <i>
      <x v="101"/>
    </i>
    <i>
      <x v="211"/>
    </i>
    <i>
      <x v="64"/>
    </i>
    <i>
      <x v="75"/>
    </i>
    <i>
      <x v="132"/>
    </i>
    <i>
      <x v="214"/>
    </i>
    <i>
      <x v="18"/>
    </i>
    <i>
      <x v="68"/>
    </i>
    <i>
      <x v="134"/>
    </i>
    <i>
      <x v="218"/>
    </i>
    <i>
      <x v="104"/>
    </i>
    <i>
      <x v="219"/>
    </i>
    <i>
      <x v="54"/>
    </i>
    <i>
      <x v="158"/>
    </i>
    <i>
      <x v="316"/>
    </i>
    <i t="grand">
      <x/>
    </i>
  </rowItems>
  <colItems count="1">
    <i/>
  </colItems>
  <dataFields count="1">
    <dataField name="Sum of product_quantity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48715F-0D6A-4809-9E41-82CB66488963}" name="PivotTable21" cacheId="8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U26:V36" firstHeaderRow="1" firstDataRow="1" firstDataCol="1"/>
  <pivotFields count="10"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10">
        <item x="5"/>
        <item x="2"/>
        <item x="0"/>
        <item x="1"/>
        <item x="7"/>
        <item x="6"/>
        <item x="4"/>
        <item x="3"/>
        <item x="8"/>
        <item t="default"/>
      </items>
    </pivotField>
    <pivotField showAll="0"/>
  </pivotFields>
  <rowFields count="1">
    <field x="8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Count of seller_id" fld="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3549BB-2547-421A-AA10-23F06C888980}" name="PivotTable17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R26:S38" firstHeaderRow="1" firstDataRow="1" firstDataCol="1"/>
  <pivotFields count="7">
    <pivotField showAll="0"/>
    <pivotField showAll="0"/>
    <pivotField showAll="0"/>
    <pivotField axis="axisRow" showAll="0">
      <items count="12">
        <item x="2"/>
        <item x="5"/>
        <item x="3"/>
        <item x="7"/>
        <item x="9"/>
        <item x="0"/>
        <item x="1"/>
        <item x="6"/>
        <item x="4"/>
        <item x="8"/>
        <item x="10"/>
        <item t="default"/>
      </items>
    </pivotField>
    <pivotField dataField="1" showAll="0"/>
    <pivotField showAll="0"/>
    <pivotField showAll="0"/>
  </pivotFields>
  <rowFields count="1">
    <field x="3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Average of product_price" fld="4" subtotal="average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74A9B4-2D71-4AD6-9C5A-F661880E019E}" name="PivotTable15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26:M344" firstHeaderRow="1" firstDataRow="1" firstDataCol="1"/>
  <pivotFields count="7">
    <pivotField showAll="0"/>
    <pivotField showAll="0"/>
    <pivotField showAll="0"/>
    <pivotField showAll="0"/>
    <pivotField showAll="0"/>
    <pivotField dataField="1" showAll="0"/>
    <pivotField axis="axisRow" showAll="0" sortType="descending">
      <items count="318">
        <item x="166"/>
        <item x="70"/>
        <item x="257"/>
        <item x="304"/>
        <item x="253"/>
        <item x="233"/>
        <item x="162"/>
        <item x="234"/>
        <item x="201"/>
        <item x="119"/>
        <item x="216"/>
        <item x="68"/>
        <item x="41"/>
        <item x="177"/>
        <item x="112"/>
        <item x="147"/>
        <item x="59"/>
        <item x="204"/>
        <item x="250"/>
        <item x="189"/>
        <item x="114"/>
        <item x="151"/>
        <item x="237"/>
        <item x="18"/>
        <item x="133"/>
        <item x="139"/>
        <item x="193"/>
        <item x="155"/>
        <item x="105"/>
        <item x="30"/>
        <item x="203"/>
        <item x="99"/>
        <item x="140"/>
        <item x="109"/>
        <item x="142"/>
        <item x="21"/>
        <item x="156"/>
        <item x="179"/>
        <item x="12"/>
        <item x="209"/>
        <item x="261"/>
        <item x="27"/>
        <item x="23"/>
        <item x="88"/>
        <item x="135"/>
        <item x="116"/>
        <item x="117"/>
        <item x="126"/>
        <item x="78"/>
        <item x="231"/>
        <item x="220"/>
        <item x="39"/>
        <item x="167"/>
        <item x="95"/>
        <item x="239"/>
        <item x="242"/>
        <item x="54"/>
        <item x="20"/>
        <item x="160"/>
        <item x="217"/>
        <item x="164"/>
        <item x="205"/>
        <item x="19"/>
        <item x="50"/>
        <item x="252"/>
        <item x="57"/>
        <item x="96"/>
        <item x="145"/>
        <item x="265"/>
        <item x="238"/>
        <item x="7"/>
        <item x="170"/>
        <item x="104"/>
        <item x="36"/>
        <item x="158"/>
        <item x="137"/>
        <item x="150"/>
        <item x="285"/>
        <item x="255"/>
        <item x="183"/>
        <item x="32"/>
        <item x="208"/>
        <item x="259"/>
        <item x="82"/>
        <item x="40"/>
        <item x="28"/>
        <item x="2"/>
        <item x="225"/>
        <item x="108"/>
        <item x="215"/>
        <item x="31"/>
        <item x="287"/>
        <item x="171"/>
        <item x="308"/>
        <item x="64"/>
        <item x="92"/>
        <item x="282"/>
        <item x="271"/>
        <item x="148"/>
        <item x="314"/>
        <item x="106"/>
        <item x="276"/>
        <item x="85"/>
        <item x="9"/>
        <item x="299"/>
        <item x="4"/>
        <item x="89"/>
        <item x="69"/>
        <item x="132"/>
        <item x="107"/>
        <item x="38"/>
        <item x="136"/>
        <item x="258"/>
        <item x="254"/>
        <item x="300"/>
        <item x="260"/>
        <item x="175"/>
        <item x="75"/>
        <item x="288"/>
        <item x="62"/>
        <item x="182"/>
        <item x="46"/>
        <item x="146"/>
        <item x="52"/>
        <item x="10"/>
        <item x="284"/>
        <item x="251"/>
        <item x="165"/>
        <item x="230"/>
        <item x="187"/>
        <item x="286"/>
        <item x="153"/>
        <item x="264"/>
        <item x="60"/>
        <item x="6"/>
        <item x="295"/>
        <item x="63"/>
        <item x="17"/>
        <item x="176"/>
        <item x="310"/>
        <item x="244"/>
        <item x="24"/>
        <item x="76"/>
        <item x="58"/>
        <item x="268"/>
        <item x="84"/>
        <item x="25"/>
        <item x="313"/>
        <item x="311"/>
        <item x="178"/>
        <item x="152"/>
        <item x="159"/>
        <item x="53"/>
        <item x="26"/>
        <item x="67"/>
        <item x="273"/>
        <item x="8"/>
        <item x="33"/>
        <item x="1"/>
        <item x="277"/>
        <item x="144"/>
        <item x="72"/>
        <item x="294"/>
        <item x="13"/>
        <item x="157"/>
        <item x="197"/>
        <item x="293"/>
        <item x="235"/>
        <item x="66"/>
        <item x="122"/>
        <item x="194"/>
        <item x="232"/>
        <item x="211"/>
        <item x="229"/>
        <item x="303"/>
        <item x="266"/>
        <item x="283"/>
        <item x="113"/>
        <item x="123"/>
        <item x="124"/>
        <item x="154"/>
        <item x="199"/>
        <item x="200"/>
        <item x="127"/>
        <item x="262"/>
        <item x="143"/>
        <item x="198"/>
        <item x="243"/>
        <item x="91"/>
        <item x="172"/>
        <item x="161"/>
        <item x="138"/>
        <item x="131"/>
        <item x="305"/>
        <item x="307"/>
        <item x="11"/>
        <item x="110"/>
        <item x="125"/>
        <item x="73"/>
        <item x="29"/>
        <item x="270"/>
        <item x="221"/>
        <item x="241"/>
        <item x="309"/>
        <item x="15"/>
        <item x="77"/>
        <item x="227"/>
        <item x="195"/>
        <item x="79"/>
        <item x="245"/>
        <item x="185"/>
        <item x="16"/>
        <item x="173"/>
        <item x="43"/>
        <item x="191"/>
        <item x="94"/>
        <item x="275"/>
        <item x="98"/>
        <item x="97"/>
        <item x="174"/>
        <item x="206"/>
        <item x="302"/>
        <item x="121"/>
        <item x="0"/>
        <item x="249"/>
        <item x="169"/>
        <item x="274"/>
        <item x="306"/>
        <item x="22"/>
        <item x="190"/>
        <item x="14"/>
        <item x="196"/>
        <item x="61"/>
        <item x="129"/>
        <item x="269"/>
        <item x="272"/>
        <item x="83"/>
        <item x="56"/>
        <item x="301"/>
        <item x="80"/>
        <item x="180"/>
        <item x="207"/>
        <item x="44"/>
        <item x="149"/>
        <item x="278"/>
        <item x="101"/>
        <item x="292"/>
        <item x="74"/>
        <item x="188"/>
        <item x="267"/>
        <item x="223"/>
        <item x="102"/>
        <item x="55"/>
        <item x="35"/>
        <item x="103"/>
        <item x="5"/>
        <item x="115"/>
        <item x="134"/>
        <item x="163"/>
        <item x="296"/>
        <item x="236"/>
        <item x="240"/>
        <item x="65"/>
        <item x="81"/>
        <item x="71"/>
        <item x="87"/>
        <item x="222"/>
        <item x="248"/>
        <item x="192"/>
        <item x="263"/>
        <item x="280"/>
        <item x="181"/>
        <item x="210"/>
        <item x="100"/>
        <item x="279"/>
        <item x="291"/>
        <item x="49"/>
        <item x="214"/>
        <item x="3"/>
        <item x="226"/>
        <item x="289"/>
        <item x="86"/>
        <item x="45"/>
        <item x="212"/>
        <item x="213"/>
        <item x="141"/>
        <item x="290"/>
        <item x="111"/>
        <item x="120"/>
        <item x="219"/>
        <item x="312"/>
        <item x="228"/>
        <item x="224"/>
        <item x="128"/>
        <item x="48"/>
        <item x="218"/>
        <item x="168"/>
        <item x="37"/>
        <item x="281"/>
        <item x="90"/>
        <item x="47"/>
        <item x="130"/>
        <item x="184"/>
        <item x="246"/>
        <item x="93"/>
        <item x="298"/>
        <item x="118"/>
        <item x="202"/>
        <item x="247"/>
        <item x="297"/>
        <item x="42"/>
        <item x="186"/>
        <item x="34"/>
        <item x="256"/>
        <item x="315"/>
        <item x="51"/>
        <item x="31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6"/>
  </rowFields>
  <rowItems count="318">
    <i>
      <x v="245"/>
    </i>
    <i>
      <x v="53"/>
    </i>
    <i>
      <x v="196"/>
    </i>
    <i>
      <x v="197"/>
    </i>
    <i>
      <x v="239"/>
    </i>
    <i>
      <x v="21"/>
    </i>
    <i>
      <x v="288"/>
    </i>
    <i>
      <x v="103"/>
    </i>
    <i>
      <x v="236"/>
    </i>
    <i>
      <x v="29"/>
    </i>
    <i>
      <x v="154"/>
    </i>
    <i>
      <x v="23"/>
    </i>
    <i>
      <x v="88"/>
    </i>
    <i>
      <x v="63"/>
    </i>
    <i>
      <x v="127"/>
    </i>
    <i>
      <x v="20"/>
    </i>
    <i>
      <x v="117"/>
    </i>
    <i>
      <x v="151"/>
    </i>
    <i>
      <x v="100"/>
    </i>
    <i>
      <x v="270"/>
    </i>
    <i>
      <x v="195"/>
    </i>
    <i>
      <x v="304"/>
    </i>
    <i>
      <x v="27"/>
    </i>
    <i>
      <x v="60"/>
    </i>
    <i>
      <x v="204"/>
    </i>
    <i>
      <x v="24"/>
    </i>
    <i>
      <x v="145"/>
    </i>
    <i>
      <x v="79"/>
    </i>
    <i>
      <x v="168"/>
    </i>
    <i>
      <x v="59"/>
    </i>
    <i>
      <x v="22"/>
    </i>
    <i>
      <x v="282"/>
    </i>
    <i>
      <x v="258"/>
    </i>
    <i>
      <x v="31"/>
    </i>
    <i>
      <x v="301"/>
    </i>
    <i>
      <x v="180"/>
    </i>
    <i>
      <x v="198"/>
    </i>
    <i>
      <x v="98"/>
    </i>
    <i>
      <x v="57"/>
    </i>
    <i>
      <x v="2"/>
    </i>
    <i>
      <x v="171"/>
    </i>
    <i>
      <x v="254"/>
    </i>
    <i>
      <x v="90"/>
    </i>
    <i>
      <x v="119"/>
    </i>
    <i>
      <x v="291"/>
    </i>
    <i>
      <x v="153"/>
    </i>
    <i>
      <x v="300"/>
    </i>
    <i>
      <x v="289"/>
    </i>
    <i>
      <x v="298"/>
    </i>
    <i>
      <x v="157"/>
    </i>
    <i>
      <x v="257"/>
    </i>
    <i>
      <x v="285"/>
    </i>
    <i>
      <x v="199"/>
    </i>
    <i>
      <x v="303"/>
    </i>
    <i>
      <x v="143"/>
    </i>
    <i>
      <x v="209"/>
    </i>
    <i>
      <x v="37"/>
    </i>
    <i>
      <x v="25"/>
    </i>
    <i>
      <x v="41"/>
    </i>
    <i>
      <x v="52"/>
    </i>
    <i>
      <x v="16"/>
    </i>
    <i>
      <x v="283"/>
    </i>
    <i>
      <x v="69"/>
    </i>
    <i>
      <x v="84"/>
    </i>
    <i>
      <x v="102"/>
    </i>
    <i>
      <x v="169"/>
    </i>
    <i>
      <x v="65"/>
    </i>
    <i>
      <x v="17"/>
    </i>
    <i>
      <x v="287"/>
    </i>
    <i>
      <x v="247"/>
    </i>
    <i>
      <x v="256"/>
    </i>
    <i>
      <x v="1"/>
    </i>
    <i>
      <x v="177"/>
    </i>
    <i>
      <x v="26"/>
    </i>
    <i>
      <x v="47"/>
    </i>
    <i>
      <x v="244"/>
    </i>
    <i>
      <x v="178"/>
    </i>
    <i>
      <x v="97"/>
    </i>
    <i>
      <x v="39"/>
    </i>
    <i>
      <x v="299"/>
    </i>
    <i>
      <x v="276"/>
    </i>
    <i>
      <x v="313"/>
    </i>
    <i>
      <x v="40"/>
    </i>
    <i>
      <x v="28"/>
    </i>
    <i>
      <x v="30"/>
    </i>
    <i>
      <x v="255"/>
    </i>
    <i>
      <x v="163"/>
    </i>
    <i>
      <x v="32"/>
    </i>
    <i>
      <x v="179"/>
    </i>
    <i>
      <x v="292"/>
    </i>
    <i>
      <x v="190"/>
    </i>
    <i>
      <x v="235"/>
    </i>
    <i>
      <x v="185"/>
    </i>
    <i>
      <x v="213"/>
    </i>
    <i>
      <x v="33"/>
    </i>
    <i>
      <x v="80"/>
    </i>
    <i>
      <x v="221"/>
    </i>
    <i>
      <x v="131"/>
    </i>
    <i>
      <x v="130"/>
    </i>
    <i>
      <x v="165"/>
    </i>
    <i>
      <x v="184"/>
    </i>
    <i>
      <x/>
    </i>
    <i>
      <x v="243"/>
    </i>
    <i>
      <x v="315"/>
    </i>
    <i>
      <x v="218"/>
    </i>
    <i>
      <x v="101"/>
    </i>
    <i>
      <x v="172"/>
    </i>
    <i>
      <x v="133"/>
    </i>
    <i>
      <x v="155"/>
    </i>
    <i>
      <x v="89"/>
    </i>
    <i>
      <x v="252"/>
    </i>
    <i>
      <x v="294"/>
    </i>
    <i>
      <x v="272"/>
    </i>
    <i>
      <x v="273"/>
    </i>
    <i>
      <x v="219"/>
    </i>
    <i>
      <x v="210"/>
    </i>
    <i>
      <x v="72"/>
    </i>
    <i>
      <x v="186"/>
    </i>
    <i>
      <x v="271"/>
    </i>
    <i>
      <x v="260"/>
    </i>
    <i>
      <x v="249"/>
    </i>
    <i>
      <x v="310"/>
    </i>
    <i>
      <x v="164"/>
    </i>
    <i>
      <x v="182"/>
    </i>
    <i>
      <x v="308"/>
    </i>
    <i>
      <x v="93"/>
    </i>
    <i>
      <x v="216"/>
    </i>
    <i>
      <x v="83"/>
    </i>
    <i>
      <x v="246"/>
    </i>
    <i>
      <x v="265"/>
    </i>
    <i>
      <x v="159"/>
    </i>
    <i>
      <x v="99"/>
    </i>
    <i>
      <x v="150"/>
    </i>
    <i>
      <x v="307"/>
    </i>
    <i>
      <x v="152"/>
    </i>
    <i>
      <x v="120"/>
    </i>
    <i>
      <x v="144"/>
    </i>
    <i>
      <x v="58"/>
    </i>
    <i>
      <x v="215"/>
    </i>
    <i>
      <x v="233"/>
    </i>
    <i>
      <x v="74"/>
    </i>
    <i>
      <x v="128"/>
    </i>
    <i>
      <x v="140"/>
    </i>
    <i>
      <x v="191"/>
    </i>
    <i>
      <x v="305"/>
    </i>
    <i>
      <x v="264"/>
    </i>
    <i>
      <x v="174"/>
    </i>
    <i>
      <x v="311"/>
    </i>
    <i>
      <x v="46"/>
    </i>
    <i>
      <x v="232"/>
    </i>
    <i>
      <x v="212"/>
    </i>
    <i>
      <x v="34"/>
    </i>
    <i>
      <x v="223"/>
    </i>
    <i>
      <x v="110"/>
    </i>
    <i>
      <x v="3"/>
    </i>
    <i>
      <x v="278"/>
    </i>
    <i>
      <x v="231"/>
    </i>
    <i>
      <x v="66"/>
    </i>
    <i>
      <x v="141"/>
    </i>
    <i>
      <x v="11"/>
    </i>
    <i>
      <x v="5"/>
    </i>
    <i>
      <x v="118"/>
    </i>
    <i>
      <x v="94"/>
    </i>
    <i>
      <x v="181"/>
    </i>
    <i>
      <x v="220"/>
    </i>
    <i>
      <x v="146"/>
    </i>
    <i>
      <x v="237"/>
    </i>
    <i>
      <x v="55"/>
    </i>
    <i>
      <x v="87"/>
    </i>
    <i>
      <x v="137"/>
    </i>
    <i>
      <x v="135"/>
    </i>
    <i>
      <x v="206"/>
    </i>
    <i>
      <x v="266"/>
    </i>
    <i>
      <x v="112"/>
    </i>
    <i>
      <x v="281"/>
    </i>
    <i>
      <x v="234"/>
    </i>
    <i>
      <x v="71"/>
    </i>
    <i>
      <x v="205"/>
    </i>
    <i>
      <x v="73"/>
    </i>
    <i>
      <x v="208"/>
    </i>
    <i>
      <x v="293"/>
    </i>
    <i>
      <x v="123"/>
    </i>
    <i>
      <x v="173"/>
    </i>
    <i>
      <x v="170"/>
    </i>
    <i>
      <x v="111"/>
    </i>
    <i>
      <x v="302"/>
    </i>
    <i>
      <x v="228"/>
    </i>
    <i>
      <x v="183"/>
    </i>
    <i>
      <x v="42"/>
    </i>
    <i>
      <x v="70"/>
    </i>
    <i>
      <x v="207"/>
    </i>
    <i>
      <x v="263"/>
    </i>
    <i>
      <x v="4"/>
    </i>
    <i>
      <x v="62"/>
    </i>
    <i>
      <x v="81"/>
    </i>
    <i>
      <x v="96"/>
    </i>
    <i>
      <x v="116"/>
    </i>
    <i>
      <x v="161"/>
    </i>
    <i>
      <x v="267"/>
    </i>
    <i>
      <x v="250"/>
    </i>
    <i>
      <x v="286"/>
    </i>
    <i>
      <x v="269"/>
    </i>
    <i>
      <x v="76"/>
    </i>
    <i>
      <x v="259"/>
    </i>
    <i>
      <x v="251"/>
    </i>
    <i>
      <x v="253"/>
    </i>
    <i>
      <x v="240"/>
    </i>
    <i>
      <x v="50"/>
    </i>
    <i>
      <x v="9"/>
    </i>
    <i>
      <x v="229"/>
    </i>
    <i>
      <x v="274"/>
    </i>
    <i>
      <x v="275"/>
    </i>
    <i>
      <x v="95"/>
    </i>
    <i>
      <x v="6"/>
    </i>
    <i>
      <x v="261"/>
    </i>
    <i>
      <x v="77"/>
    </i>
    <i>
      <x v="217"/>
    </i>
    <i>
      <x v="242"/>
    </i>
    <i>
      <x v="36"/>
    </i>
    <i>
      <x v="35"/>
    </i>
    <i>
      <x v="86"/>
    </i>
    <i>
      <x v="51"/>
    </i>
    <i>
      <x v="248"/>
    </i>
    <i>
      <x v="279"/>
    </i>
    <i>
      <x v="12"/>
    </i>
    <i>
      <x v="115"/>
    </i>
    <i>
      <x v="104"/>
    </i>
    <i>
      <x v="78"/>
    </i>
    <i>
      <x v="132"/>
    </i>
    <i>
      <x v="201"/>
    </i>
    <i>
      <x v="309"/>
    </i>
    <i>
      <x v="158"/>
    </i>
    <i>
      <x v="85"/>
    </i>
    <i>
      <x v="92"/>
    </i>
    <i>
      <x v="188"/>
    </i>
    <i>
      <x v="109"/>
    </i>
    <i>
      <x v="312"/>
    </i>
    <i>
      <x v="61"/>
    </i>
    <i>
      <x v="156"/>
    </i>
    <i>
      <x v="67"/>
    </i>
    <i>
      <x v="19"/>
    </i>
    <i>
      <x v="8"/>
    </i>
    <i>
      <x v="214"/>
    </i>
    <i>
      <x v="241"/>
    </i>
    <i>
      <x v="230"/>
    </i>
    <i>
      <x v="91"/>
    </i>
    <i>
      <x v="142"/>
    </i>
    <i>
      <x v="149"/>
    </i>
    <i>
      <x v="200"/>
    </i>
    <i>
      <x v="68"/>
    </i>
    <i>
      <x v="82"/>
    </i>
    <i>
      <x v="49"/>
    </i>
    <i>
      <x v="238"/>
    </i>
    <i>
      <x v="129"/>
    </i>
    <i>
      <x v="113"/>
    </i>
    <i>
      <x v="14"/>
    </i>
    <i>
      <x v="13"/>
    </i>
    <i>
      <x v="124"/>
    </i>
    <i>
      <x v="134"/>
    </i>
    <i>
      <x v="148"/>
    </i>
    <i>
      <x v="136"/>
    </i>
    <i>
      <x v="176"/>
    </i>
    <i>
      <x v="125"/>
    </i>
    <i>
      <x v="306"/>
    </i>
    <i>
      <x v="126"/>
    </i>
    <i>
      <x v="106"/>
    </i>
    <i>
      <x v="192"/>
    </i>
    <i>
      <x v="38"/>
    </i>
    <i>
      <x v="64"/>
    </i>
    <i>
      <x v="284"/>
    </i>
    <i>
      <x v="202"/>
    </i>
    <i>
      <x v="48"/>
    </i>
    <i>
      <x v="295"/>
    </i>
    <i>
      <x v="43"/>
    </i>
    <i>
      <x v="314"/>
    </i>
    <i>
      <x v="44"/>
    </i>
    <i>
      <x v="211"/>
    </i>
    <i>
      <x v="139"/>
    </i>
    <i>
      <x v="121"/>
    </i>
    <i>
      <x v="187"/>
    </i>
    <i>
      <x v="277"/>
    </i>
    <i>
      <x v="297"/>
    </i>
    <i>
      <x v="147"/>
    </i>
    <i>
      <x v="75"/>
    </i>
    <i>
      <x v="114"/>
    </i>
    <i>
      <x v="193"/>
    </i>
    <i>
      <x v="54"/>
    </i>
    <i>
      <x v="222"/>
    </i>
    <i>
      <x v="107"/>
    </i>
    <i>
      <x v="194"/>
    </i>
    <i>
      <x v="162"/>
    </i>
    <i>
      <x v="108"/>
    </i>
    <i>
      <x v="226"/>
    </i>
    <i>
      <x v="227"/>
    </i>
    <i>
      <x v="296"/>
    </i>
    <i>
      <x v="280"/>
    </i>
    <i>
      <x v="175"/>
    </i>
    <i>
      <x v="262"/>
    </i>
    <i>
      <x v="268"/>
    </i>
    <i>
      <x v="45"/>
    </i>
    <i>
      <x v="10"/>
    </i>
    <i>
      <x v="7"/>
    </i>
    <i>
      <x v="138"/>
    </i>
    <i>
      <x v="166"/>
    </i>
    <i>
      <x v="167"/>
    </i>
    <i>
      <x v="160"/>
    </i>
    <i>
      <x v="18"/>
    </i>
    <i>
      <x v="122"/>
    </i>
    <i>
      <x v="225"/>
    </i>
    <i>
      <x v="224"/>
    </i>
    <i>
      <x v="189"/>
    </i>
    <i>
      <x v="15"/>
    </i>
    <i>
      <x v="203"/>
    </i>
    <i>
      <x v="56"/>
    </i>
    <i>
      <x v="105"/>
    </i>
    <i>
      <x v="290"/>
    </i>
    <i>
      <x v="316"/>
    </i>
    <i t="grand">
      <x/>
    </i>
  </rowItems>
  <colItems count="1">
    <i/>
  </colItems>
  <dataFields count="1">
    <dataField name="Sum of item_revenue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85188E-A446-4F59-88D0-913655A65CC6}" name="PivotTable13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L8:M20" firstHeaderRow="1" firstDataRow="1" firstDataCol="1"/>
  <pivotFields count="6">
    <pivotField showAll="0"/>
    <pivotField showAll="0"/>
    <pivotField showAll="0"/>
    <pivotField axis="axisRow" showAll="0" sortType="descending">
      <items count="12">
        <item x="2"/>
        <item x="5"/>
        <item x="3"/>
        <item x="7"/>
        <item x="9"/>
        <item x="0"/>
        <item x="1"/>
        <item x="6"/>
        <item x="4"/>
        <item x="8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</pivotFields>
  <rowFields count="1">
    <field x="3"/>
  </rowFields>
  <rowItems count="12">
    <i>
      <x v="7"/>
    </i>
    <i>
      <x v="5"/>
    </i>
    <i>
      <x v="2"/>
    </i>
    <i>
      <x v="1"/>
    </i>
    <i>
      <x v="4"/>
    </i>
    <i>
      <x v="6"/>
    </i>
    <i>
      <x v="3"/>
    </i>
    <i>
      <x v="9"/>
    </i>
    <i>
      <x/>
    </i>
    <i>
      <x v="8"/>
    </i>
    <i>
      <x v="10"/>
    </i>
    <i t="grand">
      <x/>
    </i>
  </rowItems>
  <colItems count="1">
    <i/>
  </colItems>
  <dataFields count="1">
    <dataField name="Sum of item_revenue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24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79866CF-F624-4514-868F-E9B0B72000CB}" name="Table3" displayName="Table3" ref="A1:E464" totalsRowCount="1" headerRowDxfId="77" dataDxfId="75" headerRowBorderDxfId="76" tableBorderDxfId="74">
  <autoFilter ref="A1:E463" xr:uid="{979866CF-F624-4514-868F-E9B0B72000CB}"/>
  <tableColumns count="5">
    <tableColumn id="1" xr3:uid="{10FA5CD5-4BB1-40C0-BDFB-DDAABE9D461E}" name="product_id" dataDxfId="73" totalsRowDxfId="72"/>
    <tableColumn id="2" xr3:uid="{593E0BF2-1149-46D2-81DE-30CB8ED2DE02}" name="product_name" dataDxfId="71" totalsRowDxfId="70"/>
    <tableColumn id="3" xr3:uid="{BE6DFC84-5CF8-4D7F-96B8-5CCA7C6ABF44}" name="product_category" dataDxfId="69" totalsRowDxfId="68"/>
    <tableColumn id="4" xr3:uid="{6F078C42-914B-4FBF-9601-EEA2769C4FA3}" name="product_price_aud" dataDxfId="67" totalsRowDxfId="66"/>
    <tableColumn id="5" xr3:uid="{3D9135F2-F119-4494-BBDD-5CB69BE16E43}" name="seller_id" dataDxfId="65" totalsRowDxfId="64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9564294-C0C2-46D5-A8A7-066ADAB7208E}" name="Table5" displayName="Table5" ref="A1:H796" totalsRowShown="0" headerRowDxfId="63" headerRowBorderDxfId="62" tableBorderDxfId="61">
  <autoFilter ref="A1:H796" xr:uid="{79564294-C0C2-46D5-A8A7-066ADAB7208E}"/>
  <tableColumns count="8">
    <tableColumn id="1" xr3:uid="{BE4E9634-8547-41B5-B9ED-3C2AA8C0614C}" name="product_category">
      <calculatedColumnFormula>VLOOKUP(B2,Table3[[#Headers],[#Data]],3,FALSE)</calculatedColumnFormula>
    </tableColumn>
    <tableColumn id="2" xr3:uid="{E6025E13-0805-4012-A4D5-6F0A38CCC153}" name="product_id"/>
    <tableColumn id="3" xr3:uid="{C3F6B253-7B5A-4605-8CA7-F7D0ED43C6A2}" name="product_price">
      <calculatedColumnFormula>VLOOKUP(B2,Table3[[#Headers],[#Data]],4, FALSE)</calculatedColumnFormula>
    </tableColumn>
    <tableColumn id="4" xr3:uid="{B1AF2628-2FF7-4530-80D2-3F2B6BCDA282}" name="product_name">
      <calculatedColumnFormula>VLOOKUP('Rough data'!B2,Table3[[#Headers],[#Data]],2,FALSE)</calculatedColumnFormula>
    </tableColumn>
    <tableColumn id="5" xr3:uid="{395C3784-00AB-4280-96EB-C79DDEC4A6A4}" name="seller_id">
      <calculatedColumnFormula>VLOOKUP(B2,Table3[[#Headers],[#Data]],5,FALSE)</calculatedColumnFormula>
    </tableColumn>
    <tableColumn id="6" xr3:uid="{AA88A894-5543-4890-AD93-D96506A80A53}" name="seller_user">
      <calculatedColumnFormula>VLOOKUP(E2,Table2[[#Headers],[#Data],[seller_id]:[seller_user]],2,FALSE)</calculatedColumnFormula>
    </tableColumn>
    <tableColumn id="7" xr3:uid="{31C7292D-D172-43BE-B78A-560602770374}" name="product_quantity"/>
    <tableColumn id="8" xr3:uid="{3A15080B-C8FF-478C-A13D-7274A7D28D5B}" name="product_revenue">
      <calculatedColumnFormula>G2*C2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2BD3A31-AF39-4540-861B-B163560EAF56}" name="Table2" displayName="Table2" ref="A1:G97" totalsRowCount="1" headerRowDxfId="60" dataDxfId="58" headerRowBorderDxfId="59" tableBorderDxfId="57">
  <autoFilter ref="A1:G96" xr:uid="{B2BD3A31-AF39-4540-861B-B163560EAF56}"/>
  <tableColumns count="7">
    <tableColumn id="1" xr3:uid="{059A471C-FFFD-4DF2-98FD-ABEE015B5486}" name="seller_id" dataDxfId="56" totalsRowDxfId="55"/>
    <tableColumn id="2" xr3:uid="{D1FECB63-184B-4CD9-9DCF-CD686E6E1539}" name="seller_user" dataDxfId="54" totalsRowDxfId="53"/>
    <tableColumn id="3" xr3:uid="{B9FA98E8-8F3B-4B7D-8C09-91B167C1FB1B}" name="seller_name" dataDxfId="52" totalsRowDxfId="51"/>
    <tableColumn id="4" xr3:uid="{C80001EB-DE86-4E78-B47F-AA7787642277}" name="seller_surname" dataDxfId="50" totalsRowDxfId="49"/>
    <tableColumn id="5" xr3:uid="{9F09E1EE-116E-42CD-A1AF-D942E8103AEA}" name="seller_email" dataDxfId="48" totalsRowDxfId="47"/>
    <tableColumn id="6" xr3:uid="{B1D33998-B8E2-4B45-A296-5D2A3C639A25}" name="seller_area" dataDxfId="46" totalsRowDxfId="45"/>
    <tableColumn id="7" xr3:uid="{B4236B5E-7183-4A26-A1E6-439D5CB621EB}" name="seller_state" dataDxfId="44" totalsRowDxfId="43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4F719F-E9D7-43FA-BA98-98D4A20FA902}" name="Table1" displayName="Table1" ref="A1:I442" totalsRowShown="0" headerRowDxfId="42" dataDxfId="40" headerRowBorderDxfId="41" tableBorderDxfId="39">
  <autoFilter ref="A1:I442" xr:uid="{6A4F719F-E9D7-43FA-BA98-98D4A20FA902}"/>
  <tableColumns count="9">
    <tableColumn id="1" xr3:uid="{19FF2B30-8986-4B7B-8F00-3B8AB7237732}" name="customer_id" dataDxfId="38"/>
    <tableColumn id="2" xr3:uid="{1442C83F-566B-437B-BBC9-1CA937F98955}" name="customer_email" dataDxfId="37"/>
    <tableColumn id="3" xr3:uid="{AF17C299-3865-4B10-81A5-4B4D89CAD859}" name="customer_name" dataDxfId="36"/>
    <tableColumn id="4" xr3:uid="{C3A602A7-B8DE-40FF-B95D-A1CD248DDBCF}" name="customer_surname" dataDxfId="35"/>
    <tableColumn id="5" xr3:uid="{122B2457-F1FF-4FBD-BE73-91C52239F4D1}" name="customer_area" dataDxfId="34"/>
    <tableColumn id="6" xr3:uid="{36EB5722-70C6-46F0-AA90-627920971466}" name="customer_state" dataDxfId="33"/>
    <tableColumn id="7" xr3:uid="{233F1FE8-ACF0-494E-863C-74C4431969A7}" name="total_customer_spend" dataDxfId="32">
      <calculatedColumnFormula>SUMIF(orders!B:B,A2,orders!F:F)</calculatedColumnFormula>
    </tableColumn>
    <tableColumn id="8" xr3:uid="{7A4EC435-17F5-4B6E-82FF-571E1A74E8AB}" name="number_of_orders" dataDxfId="31">
      <calculatedColumnFormula>COUNTIF(orders!B:B,A2)</calculatedColumnFormula>
    </tableColumn>
    <tableColumn id="9" xr3:uid="{91150B61-B8C1-42DE-9BFB-840AEE73F944}" name="Customer_type" dataDxfId="30">
      <calculatedColumnFormula>IF(H2&gt;1,"Repeat Customer","One-Time Customer")</calculatedColumnFormula>
    </tableColumn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F4D24F1-67DA-4414-B909-4C3699E5CB1A}" name="Seller_delivery_status" displayName="Seller_delivery_status" ref="A1:G365" totalsRowShown="0" headerRowDxfId="29" dataDxfId="27" headerRowBorderDxfId="28">
  <autoFilter ref="A1:G365" xr:uid="{FF4D24F1-67DA-4414-B909-4C3699E5CB1A}"/>
  <tableColumns count="7">
    <tableColumn id="1" xr3:uid="{F2BF5848-4B9D-4D78-9109-3F12FD915FEF}" name="order_id" dataDxfId="26"/>
    <tableColumn id="2" xr3:uid="{C90B2756-1971-4DAA-AD45-9A3BB2B176DA}" name="product_id" dataDxfId="25"/>
    <tableColumn id="3" xr3:uid="{E069A70A-1B78-444C-9480-07BCEBC45E80}" name="Seller_id" dataDxfId="24"/>
    <tableColumn id="4" xr3:uid="{3BF535C6-4AEE-4881-BF62-20413D7EFE0C}" name="Rating" dataDxfId="23"/>
    <tableColumn id="5" xr3:uid="{0B19921C-0975-40AC-83CE-1A24F34C243E}" name="product_quantity" dataDxfId="22"/>
    <tableColumn id="6" xr3:uid="{2825D119-63F5-406E-92BC-150491B9C9D9}" name="delivery_status" dataDxfId="21"/>
    <tableColumn id="7" xr3:uid="{30202AF3-127F-4A00-B4CE-C017A72A52BE}" name="numerical_delivery" dataDxfId="20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DBBEAFF-4AA7-4341-9B2B-6193B925DC18}" name="Reviews" displayName="Reviews" ref="A1:L217" totalsRowShown="0" headerRowDxfId="19" dataDxfId="17" headerRowBorderDxfId="18">
  <autoFilter ref="A1:L217" xr:uid="{8DBBEAFF-4AA7-4341-9B2B-6193B925DC18}"/>
  <sortState xmlns:xlrd2="http://schemas.microsoft.com/office/spreadsheetml/2017/richdata2" ref="A2:L217">
    <sortCondition ref="B1:B217"/>
  </sortState>
  <tableColumns count="12">
    <tableColumn id="1" xr3:uid="{FFF926FE-CECF-4A60-B42B-23C02743230D}" name="order_id" dataDxfId="16"/>
    <tableColumn id="2" xr3:uid="{9A8F7368-B5BD-4FAC-84BE-75C00FEA26FF}" name="review_rating" dataDxfId="15"/>
    <tableColumn id="3" xr3:uid="{C1FEA325-DA64-4B02-A572-F7E409BFF37C}" name="reason_review_product" dataDxfId="14"/>
    <tableColumn id="4" xr3:uid="{84AEC609-C2C9-4D76-9B21-144C17C88A91}" name="reason_review_delivery" dataDxfId="13"/>
    <tableColumn id="5" xr3:uid="{B67FE5BF-6E3B-4069-ACC4-88C029FE15C2}" name="reason_review_price" dataDxfId="12"/>
    <tableColumn id="6" xr3:uid="{ED4AD5A4-63FB-470E-9940-3FEA806999F5}" name="reason_review_service" dataDxfId="11"/>
    <tableColumn id="7" xr3:uid="{AF1626FB-01F1-43DA-ADE1-2D13364FED9F}" name="rev_order_date" dataDxfId="10"/>
    <tableColumn id="8" xr3:uid="{87694E07-BAE5-4E1C-9C70-1DDB03F8DE3F}" name="rev_delivery_est" dataDxfId="9"/>
    <tableColumn id="9" xr3:uid="{97FE66D0-A4BA-4868-B4A3-14D0736B8EFA}" name="rev_delivery_date" dataDxfId="8"/>
    <tableColumn id="10" xr3:uid="{C43F0340-95E9-46EF-80A8-46EBC9E736A7}" name="rev_delivery_duration" dataDxfId="7"/>
    <tableColumn id="11" xr3:uid="{3933756E-BC8D-47D8-AA41-64CCC902B836}" name="rev_delay_on_time" dataDxfId="6"/>
    <tableColumn id="12" xr3:uid="{7FDD99EB-5CE3-4F32-90C4-942B1EB8C0D2}" name="Delivery_status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ivotTable" Target="../pivotTables/pivotTable5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8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Relationship Id="rId6" Type="http://schemas.openxmlformats.org/officeDocument/2006/relationships/table" Target="../tables/table4.xml"/><Relationship Id="rId5" Type="http://schemas.openxmlformats.org/officeDocument/2006/relationships/pivotTable" Target="../pivotTables/pivotTable10.xml"/><Relationship Id="rId4" Type="http://schemas.openxmlformats.org/officeDocument/2006/relationships/pivotTable" Target="../pivotTables/pivotTable9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18.xml"/><Relationship Id="rId3" Type="http://schemas.openxmlformats.org/officeDocument/2006/relationships/pivotTable" Target="../pivotTables/pivotTable13.xml"/><Relationship Id="rId7" Type="http://schemas.openxmlformats.org/officeDocument/2006/relationships/pivotTable" Target="../pivotTables/pivotTable17.xml"/><Relationship Id="rId2" Type="http://schemas.openxmlformats.org/officeDocument/2006/relationships/pivotTable" Target="../pivotTables/pivotTable12.xml"/><Relationship Id="rId1" Type="http://schemas.openxmlformats.org/officeDocument/2006/relationships/pivotTable" Target="../pivotTables/pivotTable11.xml"/><Relationship Id="rId6" Type="http://schemas.openxmlformats.org/officeDocument/2006/relationships/pivotTable" Target="../pivotTables/pivotTable16.xml"/><Relationship Id="rId5" Type="http://schemas.openxmlformats.org/officeDocument/2006/relationships/pivotTable" Target="../pivotTables/pivotTable15.xml"/><Relationship Id="rId4" Type="http://schemas.openxmlformats.org/officeDocument/2006/relationships/pivotTable" Target="../pivotTables/pivotTable14.xml"/><Relationship Id="rId9" Type="http://schemas.openxmlformats.org/officeDocument/2006/relationships/pivotTable" Target="../pivotTables/pivotTable19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workbookViewId="0">
      <pane ySplit="1" topLeftCell="A2" activePane="bottomLeft" state="frozen"/>
      <selection pane="bottomLeft" activeCell="E2" sqref="E2"/>
    </sheetView>
  </sheetViews>
  <sheetFormatPr defaultColWidth="14.44140625" defaultRowHeight="15" customHeight="1" x14ac:dyDescent="0.3"/>
  <cols>
    <col min="1" max="1" width="12.88671875" bestFit="1" customWidth="1"/>
    <col min="2" max="2" width="48.44140625" customWidth="1"/>
    <col min="3" max="3" width="19" customWidth="1"/>
    <col min="4" max="4" width="20" bestFit="1" customWidth="1"/>
    <col min="5" max="5" width="12.44140625" bestFit="1" customWidth="1"/>
    <col min="6" max="26" width="8.6640625" customWidth="1"/>
  </cols>
  <sheetData>
    <row r="1" spans="1:8" ht="14.25" customHeigh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8" ht="14.25" customHeight="1" x14ac:dyDescent="0.3">
      <c r="A2" s="2" t="s">
        <v>5</v>
      </c>
      <c r="B2" s="2" t="s">
        <v>6</v>
      </c>
      <c r="C2" s="2" t="s">
        <v>7</v>
      </c>
      <c r="D2" s="2">
        <v>33.08</v>
      </c>
      <c r="E2" s="2" t="s">
        <v>8</v>
      </c>
    </row>
    <row r="3" spans="1:8" ht="14.25" customHeight="1" x14ac:dyDescent="0.3">
      <c r="A3" s="2" t="s">
        <v>9</v>
      </c>
      <c r="B3" s="2" t="s">
        <v>10</v>
      </c>
      <c r="C3" s="2" t="s">
        <v>7</v>
      </c>
      <c r="D3" s="2">
        <v>31.97</v>
      </c>
      <c r="E3" s="2" t="s">
        <v>8</v>
      </c>
    </row>
    <row r="4" spans="1:8" ht="14.25" customHeight="1" x14ac:dyDescent="0.3">
      <c r="A4" s="2" t="s">
        <v>11</v>
      </c>
      <c r="B4" s="2" t="s">
        <v>12</v>
      </c>
      <c r="C4" s="2" t="s">
        <v>13</v>
      </c>
      <c r="D4" s="2">
        <v>47.09</v>
      </c>
      <c r="E4" s="2" t="s">
        <v>14</v>
      </c>
    </row>
    <row r="5" spans="1:8" ht="14.25" customHeight="1" x14ac:dyDescent="0.3">
      <c r="A5" s="2" t="s">
        <v>15</v>
      </c>
      <c r="B5" s="2" t="s">
        <v>16</v>
      </c>
      <c r="C5" s="2" t="s">
        <v>17</v>
      </c>
      <c r="D5" s="2">
        <v>85.97</v>
      </c>
      <c r="E5" s="2" t="s">
        <v>18</v>
      </c>
    </row>
    <row r="6" spans="1:8" ht="14.25" customHeight="1" x14ac:dyDescent="0.3">
      <c r="A6" s="2" t="s">
        <v>19</v>
      </c>
      <c r="B6" s="2" t="s">
        <v>20</v>
      </c>
      <c r="C6" s="2" t="s">
        <v>21</v>
      </c>
      <c r="D6" s="2">
        <v>96.77</v>
      </c>
      <c r="E6" s="2" t="s">
        <v>22</v>
      </c>
    </row>
    <row r="7" spans="1:8" ht="14.25" customHeight="1" x14ac:dyDescent="0.3">
      <c r="A7" s="2" t="s">
        <v>23</v>
      </c>
      <c r="B7" s="2" t="s">
        <v>24</v>
      </c>
      <c r="C7" s="2" t="s">
        <v>25</v>
      </c>
      <c r="D7" s="2">
        <v>4.47</v>
      </c>
      <c r="E7" s="2" t="s">
        <v>26</v>
      </c>
    </row>
    <row r="8" spans="1:8" ht="14.25" customHeight="1" x14ac:dyDescent="0.3">
      <c r="A8" s="2" t="s">
        <v>27</v>
      </c>
      <c r="B8" s="2" t="s">
        <v>28</v>
      </c>
      <c r="C8" s="2" t="s">
        <v>29</v>
      </c>
      <c r="D8" s="2">
        <v>38.25</v>
      </c>
      <c r="E8" s="2" t="s">
        <v>30</v>
      </c>
    </row>
    <row r="9" spans="1:8" ht="14.25" customHeight="1" x14ac:dyDescent="0.3">
      <c r="A9" s="2" t="s">
        <v>31</v>
      </c>
      <c r="B9" s="2" t="s">
        <v>32</v>
      </c>
      <c r="C9" s="2" t="s">
        <v>29</v>
      </c>
      <c r="D9" s="2">
        <v>38.25</v>
      </c>
      <c r="E9" s="2" t="s">
        <v>30</v>
      </c>
    </row>
    <row r="10" spans="1:8" ht="14.25" customHeight="1" x14ac:dyDescent="0.3">
      <c r="A10" s="2" t="s">
        <v>33</v>
      </c>
      <c r="B10" s="2" t="s">
        <v>34</v>
      </c>
      <c r="C10" s="2" t="s">
        <v>35</v>
      </c>
      <c r="D10" s="2">
        <v>79.16</v>
      </c>
      <c r="E10" s="2" t="s">
        <v>36</v>
      </c>
    </row>
    <row r="11" spans="1:8" ht="14.25" customHeight="1" x14ac:dyDescent="0.3">
      <c r="A11" s="2" t="s">
        <v>37</v>
      </c>
      <c r="B11" s="2" t="s">
        <v>38</v>
      </c>
      <c r="C11" s="2" t="s">
        <v>13</v>
      </c>
      <c r="D11" s="2">
        <v>30.71</v>
      </c>
      <c r="E11" s="2" t="s">
        <v>39</v>
      </c>
    </row>
    <row r="12" spans="1:8" ht="14.25" customHeight="1" x14ac:dyDescent="0.3">
      <c r="A12" s="2" t="s">
        <v>40</v>
      </c>
      <c r="B12" s="2" t="s">
        <v>41</v>
      </c>
      <c r="C12" s="2" t="s">
        <v>13</v>
      </c>
      <c r="D12" s="2">
        <v>30.12</v>
      </c>
      <c r="E12" s="2" t="s">
        <v>39</v>
      </c>
    </row>
    <row r="13" spans="1:8" ht="14.25" customHeight="1" x14ac:dyDescent="0.3">
      <c r="A13" s="2" t="s">
        <v>42</v>
      </c>
      <c r="B13" s="2" t="s">
        <v>43</v>
      </c>
      <c r="C13" s="2" t="s">
        <v>25</v>
      </c>
      <c r="D13" s="2">
        <v>7.06</v>
      </c>
      <c r="E13" s="2" t="s">
        <v>44</v>
      </c>
    </row>
    <row r="14" spans="1:8" ht="14.25" customHeight="1" x14ac:dyDescent="0.3">
      <c r="A14" s="2" t="s">
        <v>45</v>
      </c>
      <c r="B14" s="2" t="s">
        <v>34</v>
      </c>
      <c r="C14" s="2" t="s">
        <v>35</v>
      </c>
      <c r="D14" s="2">
        <v>37.4</v>
      </c>
      <c r="E14" s="2" t="s">
        <v>46</v>
      </c>
    </row>
    <row r="15" spans="1:8" ht="14.25" customHeight="1" x14ac:dyDescent="0.3">
      <c r="A15" s="2" t="s">
        <v>47</v>
      </c>
      <c r="B15" s="2" t="s">
        <v>48</v>
      </c>
      <c r="C15" s="2" t="s">
        <v>49</v>
      </c>
      <c r="D15" s="2">
        <v>46.45</v>
      </c>
      <c r="E15" s="2" t="s">
        <v>50</v>
      </c>
    </row>
    <row r="16" spans="1:8" ht="14.25" customHeight="1" x14ac:dyDescent="0.3">
      <c r="A16" s="2" t="s">
        <v>51</v>
      </c>
      <c r="B16" s="2" t="s">
        <v>52</v>
      </c>
      <c r="C16" s="2" t="s">
        <v>49</v>
      </c>
      <c r="D16" s="2">
        <v>48.06</v>
      </c>
      <c r="E16" s="2" t="s">
        <v>53</v>
      </c>
      <c r="H16">
        <f>SUM(Table3[product_price_aud])</f>
        <v>19738.689999999973</v>
      </c>
    </row>
    <row r="17" spans="1:5" ht="14.25" customHeight="1" x14ac:dyDescent="0.3">
      <c r="A17" s="2" t="s">
        <v>54</v>
      </c>
      <c r="B17" s="2" t="s">
        <v>55</v>
      </c>
      <c r="C17" s="2" t="s">
        <v>49</v>
      </c>
      <c r="D17" s="2">
        <v>73.55</v>
      </c>
      <c r="E17" s="2" t="s">
        <v>56</v>
      </c>
    </row>
    <row r="18" spans="1:5" ht="14.25" customHeight="1" x14ac:dyDescent="0.3">
      <c r="A18" s="2" t="s">
        <v>57</v>
      </c>
      <c r="B18" s="2" t="s">
        <v>58</v>
      </c>
      <c r="C18" s="2" t="s">
        <v>49</v>
      </c>
      <c r="D18" s="2">
        <v>13.71</v>
      </c>
      <c r="E18" s="2" t="s">
        <v>59</v>
      </c>
    </row>
    <row r="19" spans="1:5" ht="14.25" customHeight="1" x14ac:dyDescent="0.3">
      <c r="A19" s="2" t="s">
        <v>60</v>
      </c>
      <c r="B19" s="2" t="s">
        <v>48</v>
      </c>
      <c r="C19" s="2" t="s">
        <v>49</v>
      </c>
      <c r="D19" s="2">
        <v>40.119999999999997</v>
      </c>
      <c r="E19" s="2" t="s">
        <v>59</v>
      </c>
    </row>
    <row r="20" spans="1:5" ht="14.25" customHeight="1" x14ac:dyDescent="0.3">
      <c r="A20" s="2" t="s">
        <v>61</v>
      </c>
      <c r="B20" s="2" t="s">
        <v>62</v>
      </c>
      <c r="C20" s="2" t="s">
        <v>7</v>
      </c>
      <c r="D20" s="2">
        <v>10.94</v>
      </c>
      <c r="E20" s="2" t="s">
        <v>63</v>
      </c>
    </row>
    <row r="21" spans="1:5" ht="14.25" customHeight="1" x14ac:dyDescent="0.3">
      <c r="A21" s="2" t="s">
        <v>64</v>
      </c>
      <c r="B21" s="2" t="s">
        <v>65</v>
      </c>
      <c r="C21" s="2" t="s">
        <v>49</v>
      </c>
      <c r="D21" s="2">
        <v>15.05</v>
      </c>
      <c r="E21" s="2" t="s">
        <v>66</v>
      </c>
    </row>
    <row r="22" spans="1:5" ht="14.25" customHeight="1" x14ac:dyDescent="0.3">
      <c r="A22" s="2" t="s">
        <v>67</v>
      </c>
      <c r="B22" s="2" t="s">
        <v>68</v>
      </c>
      <c r="C22" s="2" t="s">
        <v>49</v>
      </c>
      <c r="D22" s="2">
        <v>113.99</v>
      </c>
      <c r="E22" s="2" t="s">
        <v>63</v>
      </c>
    </row>
    <row r="23" spans="1:5" ht="14.25" customHeight="1" x14ac:dyDescent="0.3">
      <c r="A23" s="2" t="s">
        <v>69</v>
      </c>
      <c r="B23" s="2" t="s">
        <v>70</v>
      </c>
      <c r="C23" s="2" t="s">
        <v>49</v>
      </c>
      <c r="D23" s="2">
        <v>27.05</v>
      </c>
      <c r="E23" s="2" t="s">
        <v>71</v>
      </c>
    </row>
    <row r="24" spans="1:5" ht="14.25" customHeight="1" x14ac:dyDescent="0.3">
      <c r="A24" s="2" t="s">
        <v>72</v>
      </c>
      <c r="B24" s="2" t="s">
        <v>55</v>
      </c>
      <c r="C24" s="2" t="s">
        <v>49</v>
      </c>
      <c r="D24" s="2">
        <v>98.38</v>
      </c>
      <c r="E24" s="2" t="s">
        <v>71</v>
      </c>
    </row>
    <row r="25" spans="1:5" ht="14.25" customHeight="1" x14ac:dyDescent="0.3">
      <c r="A25" s="2" t="s">
        <v>73</v>
      </c>
      <c r="B25" s="2" t="s">
        <v>74</v>
      </c>
      <c r="C25" s="2" t="s">
        <v>49</v>
      </c>
      <c r="D25" s="2">
        <v>23.99</v>
      </c>
      <c r="E25" s="2" t="s">
        <v>71</v>
      </c>
    </row>
    <row r="26" spans="1:5" ht="14.25" customHeight="1" x14ac:dyDescent="0.3">
      <c r="A26" s="2" t="s">
        <v>75</v>
      </c>
      <c r="B26" s="2" t="s">
        <v>76</v>
      </c>
      <c r="C26" s="2" t="s">
        <v>7</v>
      </c>
      <c r="D26" s="2">
        <v>11.28</v>
      </c>
      <c r="E26" s="2" t="s">
        <v>71</v>
      </c>
    </row>
    <row r="27" spans="1:5" ht="14.25" customHeight="1" x14ac:dyDescent="0.3">
      <c r="A27" s="2" t="s">
        <v>77</v>
      </c>
      <c r="B27" s="2" t="s">
        <v>78</v>
      </c>
      <c r="C27" s="2" t="s">
        <v>35</v>
      </c>
      <c r="D27" s="2">
        <v>43.18</v>
      </c>
      <c r="E27" s="2" t="s">
        <v>71</v>
      </c>
    </row>
    <row r="28" spans="1:5" ht="14.25" customHeight="1" x14ac:dyDescent="0.3">
      <c r="A28" s="2" t="s">
        <v>79</v>
      </c>
      <c r="B28" s="2" t="s">
        <v>80</v>
      </c>
      <c r="C28" s="2" t="s">
        <v>81</v>
      </c>
      <c r="D28" s="2">
        <v>28.22</v>
      </c>
      <c r="E28" s="2" t="s">
        <v>82</v>
      </c>
    </row>
    <row r="29" spans="1:5" ht="14.25" customHeight="1" x14ac:dyDescent="0.3">
      <c r="A29" s="2" t="s">
        <v>83</v>
      </c>
      <c r="B29" s="2" t="s">
        <v>84</v>
      </c>
      <c r="C29" s="2" t="s">
        <v>25</v>
      </c>
      <c r="D29" s="2">
        <v>8.39</v>
      </c>
      <c r="E29" s="2" t="s">
        <v>82</v>
      </c>
    </row>
    <row r="30" spans="1:5" ht="14.25" customHeight="1" x14ac:dyDescent="0.3">
      <c r="A30" s="2" t="s">
        <v>85</v>
      </c>
      <c r="B30" s="2" t="s">
        <v>86</v>
      </c>
      <c r="C30" s="2" t="s">
        <v>25</v>
      </c>
      <c r="D30" s="2">
        <v>10.39</v>
      </c>
      <c r="E30" s="2" t="s">
        <v>87</v>
      </c>
    </row>
    <row r="31" spans="1:5" ht="14.25" customHeight="1" x14ac:dyDescent="0.3">
      <c r="A31" s="2" t="s">
        <v>88</v>
      </c>
      <c r="B31" s="2" t="s">
        <v>80</v>
      </c>
      <c r="C31" s="2" t="s">
        <v>81</v>
      </c>
      <c r="D31" s="2">
        <v>49.31</v>
      </c>
      <c r="E31" s="2" t="s">
        <v>89</v>
      </c>
    </row>
    <row r="32" spans="1:5" ht="14.25" customHeight="1" x14ac:dyDescent="0.3">
      <c r="A32" s="2" t="s">
        <v>90</v>
      </c>
      <c r="B32" s="2" t="s">
        <v>91</v>
      </c>
      <c r="C32" s="2" t="s">
        <v>49</v>
      </c>
      <c r="D32" s="2">
        <v>43.27</v>
      </c>
      <c r="E32" s="2" t="s">
        <v>89</v>
      </c>
    </row>
    <row r="33" spans="1:5" ht="14.25" customHeight="1" x14ac:dyDescent="0.3">
      <c r="A33" s="2" t="s">
        <v>92</v>
      </c>
      <c r="B33" s="2" t="s">
        <v>93</v>
      </c>
      <c r="C33" s="2" t="s">
        <v>49</v>
      </c>
      <c r="D33" s="2">
        <v>115.39</v>
      </c>
      <c r="E33" s="2" t="s">
        <v>89</v>
      </c>
    </row>
    <row r="34" spans="1:5" ht="14.25" customHeight="1" x14ac:dyDescent="0.3">
      <c r="A34" s="2" t="s">
        <v>94</v>
      </c>
      <c r="B34" s="2" t="s">
        <v>95</v>
      </c>
      <c r="C34" s="2" t="s">
        <v>29</v>
      </c>
      <c r="D34" s="2">
        <v>24.94</v>
      </c>
      <c r="E34" s="2" t="s">
        <v>89</v>
      </c>
    </row>
    <row r="35" spans="1:5" ht="14.25" customHeight="1" x14ac:dyDescent="0.3">
      <c r="A35" s="2" t="s">
        <v>96</v>
      </c>
      <c r="B35" s="2" t="s">
        <v>97</v>
      </c>
      <c r="C35" s="2" t="s">
        <v>29</v>
      </c>
      <c r="D35" s="2">
        <v>19.37</v>
      </c>
      <c r="E35" s="2" t="s">
        <v>89</v>
      </c>
    </row>
    <row r="36" spans="1:5" ht="14.25" customHeight="1" x14ac:dyDescent="0.3">
      <c r="A36" s="2" t="s">
        <v>98</v>
      </c>
      <c r="B36" s="2" t="s">
        <v>99</v>
      </c>
      <c r="C36" s="2" t="s">
        <v>29</v>
      </c>
      <c r="D36" s="2">
        <v>17.940000000000001</v>
      </c>
      <c r="E36" s="2" t="s">
        <v>100</v>
      </c>
    </row>
    <row r="37" spans="1:5" ht="14.25" customHeight="1" x14ac:dyDescent="0.3">
      <c r="A37" s="2" t="s">
        <v>101</v>
      </c>
      <c r="B37" s="2" t="s">
        <v>102</v>
      </c>
      <c r="C37" s="2" t="s">
        <v>29</v>
      </c>
      <c r="D37" s="2">
        <v>38.630000000000003</v>
      </c>
      <c r="E37" s="2" t="s">
        <v>100</v>
      </c>
    </row>
    <row r="38" spans="1:5" ht="14.25" customHeight="1" x14ac:dyDescent="0.3">
      <c r="A38" s="2" t="s">
        <v>103</v>
      </c>
      <c r="B38" s="2" t="s">
        <v>104</v>
      </c>
      <c r="C38" s="2" t="s">
        <v>49</v>
      </c>
      <c r="D38" s="2">
        <v>24.22</v>
      </c>
      <c r="E38" s="2" t="s">
        <v>100</v>
      </c>
    </row>
    <row r="39" spans="1:5" ht="14.25" customHeight="1" x14ac:dyDescent="0.3">
      <c r="A39" s="2" t="s">
        <v>105</v>
      </c>
      <c r="B39" s="2" t="s">
        <v>106</v>
      </c>
      <c r="C39" s="2" t="s">
        <v>49</v>
      </c>
      <c r="D39" s="2">
        <v>45.46</v>
      </c>
      <c r="E39" s="2" t="s">
        <v>100</v>
      </c>
    </row>
    <row r="40" spans="1:5" ht="14.25" customHeight="1" x14ac:dyDescent="0.3">
      <c r="A40" s="2" t="s">
        <v>107</v>
      </c>
      <c r="B40" s="2" t="s">
        <v>108</v>
      </c>
      <c r="C40" s="2" t="s">
        <v>7</v>
      </c>
      <c r="D40" s="2">
        <v>13.01</v>
      </c>
      <c r="E40" s="2" t="s">
        <v>100</v>
      </c>
    </row>
    <row r="41" spans="1:5" ht="14.25" customHeight="1" x14ac:dyDescent="0.3">
      <c r="A41" s="2" t="s">
        <v>109</v>
      </c>
      <c r="B41" s="2" t="s">
        <v>110</v>
      </c>
      <c r="C41" s="2" t="s">
        <v>7</v>
      </c>
      <c r="D41" s="2">
        <v>25.82</v>
      </c>
      <c r="E41" s="2" t="s">
        <v>111</v>
      </c>
    </row>
    <row r="42" spans="1:5" ht="14.25" customHeight="1" x14ac:dyDescent="0.3">
      <c r="A42" s="2" t="s">
        <v>112</v>
      </c>
      <c r="B42" s="2" t="s">
        <v>113</v>
      </c>
      <c r="C42" s="2" t="s">
        <v>7</v>
      </c>
      <c r="D42" s="2">
        <v>14.11</v>
      </c>
      <c r="E42" s="2" t="s">
        <v>111</v>
      </c>
    </row>
    <row r="43" spans="1:5" ht="14.25" customHeight="1" x14ac:dyDescent="0.3">
      <c r="A43" s="2" t="s">
        <v>114</v>
      </c>
      <c r="B43" s="2" t="s">
        <v>115</v>
      </c>
      <c r="C43" s="2" t="s">
        <v>49</v>
      </c>
      <c r="D43" s="2">
        <v>38.39</v>
      </c>
      <c r="E43" s="2" t="s">
        <v>111</v>
      </c>
    </row>
    <row r="44" spans="1:5" ht="14.25" customHeight="1" x14ac:dyDescent="0.3">
      <c r="A44" s="2" t="s">
        <v>116</v>
      </c>
      <c r="B44" s="2" t="s">
        <v>117</v>
      </c>
      <c r="C44" s="2" t="s">
        <v>49</v>
      </c>
      <c r="D44" s="2">
        <v>55.89</v>
      </c>
      <c r="E44" s="2" t="s">
        <v>111</v>
      </c>
    </row>
    <row r="45" spans="1:5" ht="14.25" customHeight="1" x14ac:dyDescent="0.3">
      <c r="A45" s="2" t="s">
        <v>118</v>
      </c>
      <c r="B45" s="2" t="s">
        <v>119</v>
      </c>
      <c r="C45" s="2" t="s">
        <v>13</v>
      </c>
      <c r="D45" s="2">
        <v>54.17</v>
      </c>
      <c r="E45" s="2" t="s">
        <v>111</v>
      </c>
    </row>
    <row r="46" spans="1:5" ht="14.25" customHeight="1" x14ac:dyDescent="0.3">
      <c r="A46" s="2" t="s">
        <v>120</v>
      </c>
      <c r="B46" s="2" t="s">
        <v>121</v>
      </c>
      <c r="C46" s="2" t="s">
        <v>17</v>
      </c>
      <c r="D46" s="2">
        <v>62.94</v>
      </c>
      <c r="E46" s="2" t="s">
        <v>122</v>
      </c>
    </row>
    <row r="47" spans="1:5" ht="14.25" customHeight="1" x14ac:dyDescent="0.3">
      <c r="A47" s="2" t="s">
        <v>123</v>
      </c>
      <c r="B47" s="2" t="s">
        <v>124</v>
      </c>
      <c r="C47" s="2" t="s">
        <v>13</v>
      </c>
      <c r="D47" s="2">
        <v>54.17</v>
      </c>
      <c r="E47" s="2" t="s">
        <v>125</v>
      </c>
    </row>
    <row r="48" spans="1:5" ht="14.25" customHeight="1" x14ac:dyDescent="0.3">
      <c r="A48" s="2" t="s">
        <v>126</v>
      </c>
      <c r="B48" s="2" t="s">
        <v>127</v>
      </c>
      <c r="C48" s="2" t="s">
        <v>17</v>
      </c>
      <c r="D48" s="2">
        <v>89.8</v>
      </c>
      <c r="E48" s="2" t="s">
        <v>128</v>
      </c>
    </row>
    <row r="49" spans="1:5" ht="14.25" customHeight="1" x14ac:dyDescent="0.3">
      <c r="A49" s="2" t="s">
        <v>129</v>
      </c>
      <c r="B49" s="2" t="s">
        <v>130</v>
      </c>
      <c r="C49" s="2" t="s">
        <v>21</v>
      </c>
      <c r="D49" s="2">
        <v>34.869999999999997</v>
      </c>
      <c r="E49" s="2" t="s">
        <v>128</v>
      </c>
    </row>
    <row r="50" spans="1:5" ht="14.25" customHeight="1" x14ac:dyDescent="0.3">
      <c r="A50" s="2" t="s">
        <v>131</v>
      </c>
      <c r="B50" s="2" t="s">
        <v>132</v>
      </c>
      <c r="C50" s="2" t="s">
        <v>21</v>
      </c>
      <c r="D50" s="2">
        <v>31.51</v>
      </c>
      <c r="E50" s="2" t="s">
        <v>133</v>
      </c>
    </row>
    <row r="51" spans="1:5" ht="14.25" customHeight="1" x14ac:dyDescent="0.3">
      <c r="A51" s="2" t="s">
        <v>134</v>
      </c>
      <c r="B51" s="2" t="s">
        <v>130</v>
      </c>
      <c r="C51" s="2" t="s">
        <v>21</v>
      </c>
      <c r="D51" s="2">
        <v>29.36</v>
      </c>
      <c r="E51" s="2" t="s">
        <v>135</v>
      </c>
    </row>
    <row r="52" spans="1:5" ht="14.25" customHeight="1" x14ac:dyDescent="0.3">
      <c r="A52" s="2" t="s">
        <v>136</v>
      </c>
      <c r="B52" s="2" t="s">
        <v>137</v>
      </c>
      <c r="C52" s="2" t="s">
        <v>21</v>
      </c>
      <c r="D52" s="2">
        <v>30.81</v>
      </c>
      <c r="E52" s="2" t="s">
        <v>135</v>
      </c>
    </row>
    <row r="53" spans="1:5" ht="14.25" customHeight="1" x14ac:dyDescent="0.3">
      <c r="A53" s="2" t="s">
        <v>138</v>
      </c>
      <c r="B53" s="2" t="s">
        <v>139</v>
      </c>
      <c r="C53" s="2" t="s">
        <v>25</v>
      </c>
      <c r="D53" s="2">
        <v>7.72</v>
      </c>
      <c r="E53" s="2" t="s">
        <v>135</v>
      </c>
    </row>
    <row r="54" spans="1:5" ht="14.25" customHeight="1" x14ac:dyDescent="0.3">
      <c r="A54" s="2" t="s">
        <v>140</v>
      </c>
      <c r="B54" s="2" t="s">
        <v>141</v>
      </c>
      <c r="C54" s="2" t="s">
        <v>17</v>
      </c>
      <c r="D54" s="2">
        <v>27.42</v>
      </c>
      <c r="E54" s="2" t="s">
        <v>142</v>
      </c>
    </row>
    <row r="55" spans="1:5" ht="14.25" customHeight="1" x14ac:dyDescent="0.3">
      <c r="A55" s="2" t="s">
        <v>143</v>
      </c>
      <c r="B55" s="2" t="s">
        <v>144</v>
      </c>
      <c r="C55" s="2" t="s">
        <v>21</v>
      </c>
      <c r="D55" s="2">
        <v>71.099999999999994</v>
      </c>
      <c r="E55" s="2" t="s">
        <v>142</v>
      </c>
    </row>
    <row r="56" spans="1:5" ht="14.25" customHeight="1" x14ac:dyDescent="0.3">
      <c r="A56" s="2" t="s">
        <v>145</v>
      </c>
      <c r="B56" s="2" t="s">
        <v>146</v>
      </c>
      <c r="C56" s="2" t="s">
        <v>29</v>
      </c>
      <c r="D56" s="2">
        <v>30.74</v>
      </c>
      <c r="E56" s="2" t="s">
        <v>147</v>
      </c>
    </row>
    <row r="57" spans="1:5" ht="14.25" customHeight="1" x14ac:dyDescent="0.3">
      <c r="A57" s="2" t="s">
        <v>148</v>
      </c>
      <c r="B57" s="2" t="s">
        <v>149</v>
      </c>
      <c r="C57" s="2" t="s">
        <v>35</v>
      </c>
      <c r="D57" s="2">
        <v>58.23</v>
      </c>
      <c r="E57" s="2" t="s">
        <v>150</v>
      </c>
    </row>
    <row r="58" spans="1:5" ht="14.25" customHeight="1" x14ac:dyDescent="0.3">
      <c r="A58" s="2" t="s">
        <v>151</v>
      </c>
      <c r="B58" s="2" t="s">
        <v>152</v>
      </c>
      <c r="C58" s="2" t="s">
        <v>17</v>
      </c>
      <c r="D58" s="2">
        <v>26.58</v>
      </c>
      <c r="E58" s="2" t="s">
        <v>153</v>
      </c>
    </row>
    <row r="59" spans="1:5" ht="14.25" customHeight="1" x14ac:dyDescent="0.3">
      <c r="A59" s="2" t="s">
        <v>154</v>
      </c>
      <c r="B59" s="2" t="s">
        <v>155</v>
      </c>
      <c r="C59" s="2" t="s">
        <v>29</v>
      </c>
      <c r="D59" s="2">
        <v>36.26</v>
      </c>
      <c r="E59" s="2" t="s">
        <v>153</v>
      </c>
    </row>
    <row r="60" spans="1:5" ht="14.25" customHeight="1" x14ac:dyDescent="0.3">
      <c r="A60" s="2" t="s">
        <v>156</v>
      </c>
      <c r="B60" s="2" t="s">
        <v>157</v>
      </c>
      <c r="C60" s="2" t="s">
        <v>7</v>
      </c>
      <c r="D60" s="2">
        <v>15.04</v>
      </c>
      <c r="E60" s="2" t="s">
        <v>153</v>
      </c>
    </row>
    <row r="61" spans="1:5" ht="14.25" customHeight="1" x14ac:dyDescent="0.3">
      <c r="A61" s="2" t="s">
        <v>158</v>
      </c>
      <c r="B61" s="2" t="s">
        <v>159</v>
      </c>
      <c r="C61" s="2" t="s">
        <v>7</v>
      </c>
      <c r="D61" s="2">
        <v>13.58</v>
      </c>
      <c r="E61" s="2" t="s">
        <v>160</v>
      </c>
    </row>
    <row r="62" spans="1:5" ht="14.25" customHeight="1" x14ac:dyDescent="0.3">
      <c r="A62" s="2" t="s">
        <v>161</v>
      </c>
      <c r="B62" s="2" t="s">
        <v>162</v>
      </c>
      <c r="C62" s="2" t="s">
        <v>21</v>
      </c>
      <c r="D62" s="2">
        <v>53.38</v>
      </c>
      <c r="E62" s="2" t="s">
        <v>160</v>
      </c>
    </row>
    <row r="63" spans="1:5" ht="14.25" customHeight="1" x14ac:dyDescent="0.3">
      <c r="A63" s="2" t="s">
        <v>163</v>
      </c>
      <c r="B63" s="2" t="s">
        <v>62</v>
      </c>
      <c r="C63" s="2" t="s">
        <v>7</v>
      </c>
      <c r="D63" s="2">
        <v>11.32</v>
      </c>
      <c r="E63" s="2" t="s">
        <v>59</v>
      </c>
    </row>
    <row r="64" spans="1:5" ht="14.25" customHeight="1" x14ac:dyDescent="0.3">
      <c r="A64" s="2" t="s">
        <v>164</v>
      </c>
      <c r="B64" s="2" t="s">
        <v>165</v>
      </c>
      <c r="C64" s="2" t="s">
        <v>17</v>
      </c>
      <c r="D64" s="2">
        <v>109.54</v>
      </c>
      <c r="E64" s="2" t="s">
        <v>160</v>
      </c>
    </row>
    <row r="65" spans="1:5" ht="14.25" customHeight="1" x14ac:dyDescent="0.3">
      <c r="A65" s="2" t="s">
        <v>166</v>
      </c>
      <c r="B65" s="2" t="s">
        <v>167</v>
      </c>
      <c r="C65" s="2" t="s">
        <v>35</v>
      </c>
      <c r="D65" s="2">
        <v>55.35</v>
      </c>
      <c r="E65" s="2" t="s">
        <v>168</v>
      </c>
    </row>
    <row r="66" spans="1:5" ht="14.25" customHeight="1" x14ac:dyDescent="0.3">
      <c r="A66" s="2" t="s">
        <v>169</v>
      </c>
      <c r="B66" s="2" t="s">
        <v>170</v>
      </c>
      <c r="C66" s="2" t="s">
        <v>35</v>
      </c>
      <c r="D66" s="2">
        <v>47.7</v>
      </c>
      <c r="E66" s="2" t="s">
        <v>168</v>
      </c>
    </row>
    <row r="67" spans="1:5" ht="14.25" customHeight="1" x14ac:dyDescent="0.3">
      <c r="A67" s="2" t="s">
        <v>171</v>
      </c>
      <c r="B67" s="2" t="s">
        <v>172</v>
      </c>
      <c r="C67" s="2" t="s">
        <v>49</v>
      </c>
      <c r="D67" s="2">
        <v>21.37</v>
      </c>
      <c r="E67" s="2" t="s">
        <v>168</v>
      </c>
    </row>
    <row r="68" spans="1:5" ht="14.25" customHeight="1" x14ac:dyDescent="0.3">
      <c r="A68" s="2" t="s">
        <v>173</v>
      </c>
      <c r="B68" s="2" t="s">
        <v>174</v>
      </c>
      <c r="C68" s="2" t="s">
        <v>29</v>
      </c>
      <c r="D68" s="2">
        <v>23.3</v>
      </c>
      <c r="E68" s="2" t="s">
        <v>168</v>
      </c>
    </row>
    <row r="69" spans="1:5" ht="14.25" customHeight="1" x14ac:dyDescent="0.3">
      <c r="A69" s="2" t="s">
        <v>175</v>
      </c>
      <c r="B69" s="2" t="s">
        <v>176</v>
      </c>
      <c r="C69" s="2" t="s">
        <v>177</v>
      </c>
      <c r="D69" s="2">
        <v>16.940000000000001</v>
      </c>
      <c r="E69" s="2" t="s">
        <v>168</v>
      </c>
    </row>
    <row r="70" spans="1:5" ht="14.25" customHeight="1" x14ac:dyDescent="0.3">
      <c r="A70" s="2" t="s">
        <v>178</v>
      </c>
      <c r="B70" s="2" t="s">
        <v>179</v>
      </c>
      <c r="C70" s="2" t="s">
        <v>21</v>
      </c>
      <c r="D70" s="2">
        <v>11.91</v>
      </c>
      <c r="E70" s="2" t="s">
        <v>180</v>
      </c>
    </row>
    <row r="71" spans="1:5" ht="14.25" customHeight="1" x14ac:dyDescent="0.3">
      <c r="A71" s="2" t="s">
        <v>181</v>
      </c>
      <c r="B71" s="2" t="s">
        <v>182</v>
      </c>
      <c r="C71" s="2" t="s">
        <v>49</v>
      </c>
      <c r="D71" s="2">
        <v>117.79</v>
      </c>
      <c r="E71" s="2" t="s">
        <v>180</v>
      </c>
    </row>
    <row r="72" spans="1:5" ht="14.25" customHeight="1" x14ac:dyDescent="0.3">
      <c r="A72" s="2" t="s">
        <v>183</v>
      </c>
      <c r="B72" s="2" t="s">
        <v>184</v>
      </c>
      <c r="C72" s="2" t="s">
        <v>177</v>
      </c>
      <c r="D72" s="2">
        <v>39.85</v>
      </c>
      <c r="E72" s="2" t="s">
        <v>180</v>
      </c>
    </row>
    <row r="73" spans="1:5" ht="14.25" customHeight="1" x14ac:dyDescent="0.3">
      <c r="A73" s="2" t="s">
        <v>185</v>
      </c>
      <c r="B73" s="2" t="s">
        <v>186</v>
      </c>
      <c r="C73" s="2" t="s">
        <v>49</v>
      </c>
      <c r="D73" s="2">
        <v>36.24</v>
      </c>
      <c r="E73" s="2" t="s">
        <v>180</v>
      </c>
    </row>
    <row r="74" spans="1:5" ht="14.25" customHeight="1" x14ac:dyDescent="0.3">
      <c r="A74" s="2" t="s">
        <v>187</v>
      </c>
      <c r="B74" s="2" t="s">
        <v>188</v>
      </c>
      <c r="C74" s="2" t="s">
        <v>49</v>
      </c>
      <c r="D74" s="2">
        <v>31.66</v>
      </c>
      <c r="E74" s="2" t="s">
        <v>180</v>
      </c>
    </row>
    <row r="75" spans="1:5" ht="14.25" customHeight="1" x14ac:dyDescent="0.3">
      <c r="A75" s="2" t="s">
        <v>189</v>
      </c>
      <c r="B75" s="2" t="s">
        <v>190</v>
      </c>
      <c r="C75" s="2" t="s">
        <v>49</v>
      </c>
      <c r="D75" s="2">
        <v>49.99</v>
      </c>
      <c r="E75" s="2" t="s">
        <v>191</v>
      </c>
    </row>
    <row r="76" spans="1:5" ht="14.25" customHeight="1" x14ac:dyDescent="0.3">
      <c r="A76" s="2" t="s">
        <v>192</v>
      </c>
      <c r="B76" s="2" t="s">
        <v>193</v>
      </c>
      <c r="C76" s="2" t="s">
        <v>21</v>
      </c>
      <c r="D76" s="2">
        <v>45.51</v>
      </c>
      <c r="E76" s="2" t="s">
        <v>191</v>
      </c>
    </row>
    <row r="77" spans="1:5" ht="14.25" customHeight="1" x14ac:dyDescent="0.3">
      <c r="A77" s="2" t="s">
        <v>194</v>
      </c>
      <c r="B77" s="2" t="s">
        <v>195</v>
      </c>
      <c r="C77" s="2" t="s">
        <v>49</v>
      </c>
      <c r="D77" s="2">
        <v>54.84</v>
      </c>
      <c r="E77" s="2" t="s">
        <v>191</v>
      </c>
    </row>
    <row r="78" spans="1:5" ht="14.25" customHeight="1" x14ac:dyDescent="0.3">
      <c r="A78" s="2" t="s">
        <v>196</v>
      </c>
      <c r="B78" s="2" t="s">
        <v>197</v>
      </c>
      <c r="C78" s="2" t="s">
        <v>21</v>
      </c>
      <c r="D78" s="2">
        <v>26.76</v>
      </c>
      <c r="E78" s="2" t="s">
        <v>191</v>
      </c>
    </row>
    <row r="79" spans="1:5" ht="14.25" customHeight="1" x14ac:dyDescent="0.3">
      <c r="A79" s="2" t="s">
        <v>198</v>
      </c>
      <c r="B79" s="2" t="s">
        <v>199</v>
      </c>
      <c r="C79" s="2" t="s">
        <v>29</v>
      </c>
      <c r="D79" s="2">
        <v>13.65</v>
      </c>
      <c r="E79" s="2" t="s">
        <v>200</v>
      </c>
    </row>
    <row r="80" spans="1:5" ht="14.25" customHeight="1" x14ac:dyDescent="0.3">
      <c r="A80" s="2" t="s">
        <v>201</v>
      </c>
      <c r="B80" s="2" t="s">
        <v>78</v>
      </c>
      <c r="C80" s="2" t="s">
        <v>35</v>
      </c>
      <c r="D80" s="2">
        <v>65.97</v>
      </c>
      <c r="E80" s="2" t="s">
        <v>200</v>
      </c>
    </row>
    <row r="81" spans="1:5" ht="14.25" customHeight="1" x14ac:dyDescent="0.3">
      <c r="A81" s="2" t="s">
        <v>202</v>
      </c>
      <c r="B81" s="2" t="s">
        <v>203</v>
      </c>
      <c r="C81" s="2" t="s">
        <v>177</v>
      </c>
      <c r="D81" s="2">
        <v>39.36</v>
      </c>
      <c r="E81" s="2" t="s">
        <v>200</v>
      </c>
    </row>
    <row r="82" spans="1:5" ht="14.25" customHeight="1" x14ac:dyDescent="0.3">
      <c r="A82" s="2" t="s">
        <v>204</v>
      </c>
      <c r="B82" s="2" t="s">
        <v>205</v>
      </c>
      <c r="C82" s="2" t="s">
        <v>81</v>
      </c>
      <c r="D82" s="2">
        <v>20.59</v>
      </c>
      <c r="E82" s="2" t="s">
        <v>200</v>
      </c>
    </row>
    <row r="83" spans="1:5" ht="14.25" customHeight="1" x14ac:dyDescent="0.3">
      <c r="A83" s="2" t="s">
        <v>206</v>
      </c>
      <c r="B83" s="2" t="s">
        <v>207</v>
      </c>
      <c r="C83" s="2" t="s">
        <v>177</v>
      </c>
      <c r="D83" s="2">
        <v>19.89</v>
      </c>
      <c r="E83" s="2" t="s">
        <v>200</v>
      </c>
    </row>
    <row r="84" spans="1:5" ht="14.25" customHeight="1" x14ac:dyDescent="0.3">
      <c r="A84" s="2" t="s">
        <v>208</v>
      </c>
      <c r="B84" s="2" t="s">
        <v>209</v>
      </c>
      <c r="C84" s="2" t="s">
        <v>25</v>
      </c>
      <c r="D84" s="2">
        <v>6.78</v>
      </c>
      <c r="E84" s="2" t="s">
        <v>200</v>
      </c>
    </row>
    <row r="85" spans="1:5" ht="14.25" customHeight="1" x14ac:dyDescent="0.3">
      <c r="A85" s="2" t="s">
        <v>210</v>
      </c>
      <c r="B85" s="2" t="s">
        <v>211</v>
      </c>
      <c r="C85" s="2" t="s">
        <v>21</v>
      </c>
      <c r="D85" s="2">
        <v>46.55</v>
      </c>
      <c r="E85" s="2" t="s">
        <v>200</v>
      </c>
    </row>
    <row r="86" spans="1:5" ht="14.25" customHeight="1" x14ac:dyDescent="0.3">
      <c r="A86" s="2" t="s">
        <v>212</v>
      </c>
      <c r="B86" s="2" t="s">
        <v>213</v>
      </c>
      <c r="C86" s="2" t="s">
        <v>177</v>
      </c>
      <c r="D86" s="2">
        <v>22.33</v>
      </c>
      <c r="E86" s="2" t="s">
        <v>200</v>
      </c>
    </row>
    <row r="87" spans="1:5" ht="14.25" customHeight="1" x14ac:dyDescent="0.3">
      <c r="A87" s="2" t="s">
        <v>214</v>
      </c>
      <c r="B87" s="2" t="s">
        <v>215</v>
      </c>
      <c r="C87" s="2" t="s">
        <v>177</v>
      </c>
      <c r="D87" s="2">
        <v>37.840000000000003</v>
      </c>
      <c r="E87" s="2" t="s">
        <v>216</v>
      </c>
    </row>
    <row r="88" spans="1:5" ht="14.25" customHeight="1" x14ac:dyDescent="0.3">
      <c r="A88" s="2" t="s">
        <v>217</v>
      </c>
      <c r="B88" s="2" t="s">
        <v>218</v>
      </c>
      <c r="C88" s="2" t="s">
        <v>21</v>
      </c>
      <c r="D88" s="2">
        <v>82.88</v>
      </c>
      <c r="E88" s="2" t="s">
        <v>216</v>
      </c>
    </row>
    <row r="89" spans="1:5" ht="14.25" customHeight="1" x14ac:dyDescent="0.3">
      <c r="A89" s="2" t="s">
        <v>219</v>
      </c>
      <c r="B89" s="2" t="s">
        <v>220</v>
      </c>
      <c r="C89" s="2" t="s">
        <v>13</v>
      </c>
      <c r="D89" s="2">
        <v>27.88</v>
      </c>
      <c r="E89" s="2" t="s">
        <v>221</v>
      </c>
    </row>
    <row r="90" spans="1:5" ht="14.25" customHeight="1" x14ac:dyDescent="0.3">
      <c r="A90" s="2" t="s">
        <v>222</v>
      </c>
      <c r="B90" s="2" t="s">
        <v>223</v>
      </c>
      <c r="C90" s="2" t="s">
        <v>49</v>
      </c>
      <c r="D90" s="2">
        <v>43.42</v>
      </c>
      <c r="E90" s="2" t="s">
        <v>221</v>
      </c>
    </row>
    <row r="91" spans="1:5" ht="14.25" customHeight="1" x14ac:dyDescent="0.3">
      <c r="A91" s="2" t="s">
        <v>224</v>
      </c>
      <c r="B91" s="2" t="s">
        <v>225</v>
      </c>
      <c r="C91" s="2" t="s">
        <v>21</v>
      </c>
      <c r="D91" s="2">
        <v>42.24</v>
      </c>
      <c r="E91" s="2" t="s">
        <v>221</v>
      </c>
    </row>
    <row r="92" spans="1:5" ht="14.25" customHeight="1" x14ac:dyDescent="0.3">
      <c r="A92" s="2" t="s">
        <v>226</v>
      </c>
      <c r="B92" s="2" t="s">
        <v>227</v>
      </c>
      <c r="C92" s="2" t="s">
        <v>13</v>
      </c>
      <c r="D92" s="2">
        <v>27.76</v>
      </c>
      <c r="E92" s="2" t="s">
        <v>221</v>
      </c>
    </row>
    <row r="93" spans="1:5" ht="14.25" customHeight="1" x14ac:dyDescent="0.3">
      <c r="A93" s="2" t="s">
        <v>228</v>
      </c>
      <c r="B93" s="2" t="s">
        <v>229</v>
      </c>
      <c r="C93" s="2" t="s">
        <v>177</v>
      </c>
      <c r="D93" s="2">
        <v>37.630000000000003</v>
      </c>
      <c r="E93" s="2" t="s">
        <v>230</v>
      </c>
    </row>
    <row r="94" spans="1:5" ht="14.25" customHeight="1" x14ac:dyDescent="0.3">
      <c r="A94" s="2" t="s">
        <v>231</v>
      </c>
      <c r="B94" s="2" t="s">
        <v>232</v>
      </c>
      <c r="C94" s="2" t="s">
        <v>25</v>
      </c>
      <c r="D94" s="2">
        <v>12.88</v>
      </c>
      <c r="E94" s="2" t="s">
        <v>230</v>
      </c>
    </row>
    <row r="95" spans="1:5" ht="14.25" customHeight="1" x14ac:dyDescent="0.3">
      <c r="A95" s="2" t="s">
        <v>233</v>
      </c>
      <c r="B95" s="2" t="s">
        <v>234</v>
      </c>
      <c r="C95" s="2" t="s">
        <v>49</v>
      </c>
      <c r="D95" s="2">
        <v>40.83</v>
      </c>
      <c r="E95" s="2" t="s">
        <v>230</v>
      </c>
    </row>
    <row r="96" spans="1:5" ht="14.25" customHeight="1" x14ac:dyDescent="0.3">
      <c r="A96" s="2" t="s">
        <v>235</v>
      </c>
      <c r="B96" s="2" t="s">
        <v>236</v>
      </c>
      <c r="C96" s="2" t="s">
        <v>29</v>
      </c>
      <c r="D96" s="2">
        <v>20.13</v>
      </c>
      <c r="E96" s="2" t="s">
        <v>230</v>
      </c>
    </row>
    <row r="97" spans="1:5" ht="14.25" customHeight="1" x14ac:dyDescent="0.3">
      <c r="A97" s="2" t="s">
        <v>237</v>
      </c>
      <c r="B97" s="2" t="s">
        <v>238</v>
      </c>
      <c r="C97" s="2" t="s">
        <v>29</v>
      </c>
      <c r="D97" s="2">
        <v>7.88</v>
      </c>
      <c r="E97" s="2" t="s">
        <v>230</v>
      </c>
    </row>
    <row r="98" spans="1:5" ht="14.25" customHeight="1" x14ac:dyDescent="0.3">
      <c r="A98" s="2" t="s">
        <v>239</v>
      </c>
      <c r="B98" s="2" t="s">
        <v>240</v>
      </c>
      <c r="C98" s="2" t="s">
        <v>17</v>
      </c>
      <c r="D98" s="2">
        <v>45.71</v>
      </c>
      <c r="E98" s="2" t="s">
        <v>230</v>
      </c>
    </row>
    <row r="99" spans="1:5" ht="14.25" customHeight="1" x14ac:dyDescent="0.3">
      <c r="A99" s="2" t="s">
        <v>241</v>
      </c>
      <c r="B99" s="2" t="s">
        <v>93</v>
      </c>
      <c r="C99" s="2" t="s">
        <v>49</v>
      </c>
      <c r="D99" s="2">
        <v>115.39</v>
      </c>
      <c r="E99" s="2" t="s">
        <v>89</v>
      </c>
    </row>
    <row r="100" spans="1:5" ht="14.25" customHeight="1" x14ac:dyDescent="0.3">
      <c r="A100" s="2" t="s">
        <v>242</v>
      </c>
      <c r="B100" s="2" t="s">
        <v>243</v>
      </c>
      <c r="C100" s="2" t="s">
        <v>17</v>
      </c>
      <c r="D100" s="2">
        <v>27.57</v>
      </c>
      <c r="E100" s="2" t="s">
        <v>244</v>
      </c>
    </row>
    <row r="101" spans="1:5" ht="14.25" customHeight="1" x14ac:dyDescent="0.3">
      <c r="A101" s="2" t="s">
        <v>245</v>
      </c>
      <c r="B101" s="2" t="s">
        <v>246</v>
      </c>
      <c r="C101" s="2" t="s">
        <v>81</v>
      </c>
      <c r="D101" s="2">
        <v>58.45</v>
      </c>
      <c r="E101" s="2" t="s">
        <v>244</v>
      </c>
    </row>
    <row r="102" spans="1:5" ht="14.25" customHeight="1" x14ac:dyDescent="0.3">
      <c r="A102" s="2" t="s">
        <v>247</v>
      </c>
      <c r="B102" s="2" t="s">
        <v>248</v>
      </c>
      <c r="C102" s="2" t="s">
        <v>177</v>
      </c>
      <c r="D102" s="2">
        <v>32.44</v>
      </c>
      <c r="E102" s="2" t="s">
        <v>244</v>
      </c>
    </row>
    <row r="103" spans="1:5" ht="14.25" customHeight="1" x14ac:dyDescent="0.3">
      <c r="A103" s="2" t="s">
        <v>249</v>
      </c>
      <c r="B103" s="2" t="s">
        <v>250</v>
      </c>
      <c r="C103" s="2" t="s">
        <v>29</v>
      </c>
      <c r="D103" s="2">
        <v>17.66</v>
      </c>
      <c r="E103" s="2" t="s">
        <v>244</v>
      </c>
    </row>
    <row r="104" spans="1:5" ht="14.25" customHeight="1" x14ac:dyDescent="0.3">
      <c r="A104" s="2" t="s">
        <v>251</v>
      </c>
      <c r="B104" s="2" t="s">
        <v>252</v>
      </c>
      <c r="C104" s="2" t="s">
        <v>13</v>
      </c>
      <c r="D104" s="2">
        <v>39.99</v>
      </c>
      <c r="E104" s="2" t="s">
        <v>244</v>
      </c>
    </row>
    <row r="105" spans="1:5" ht="14.25" customHeight="1" x14ac:dyDescent="0.3">
      <c r="A105" s="2" t="s">
        <v>253</v>
      </c>
      <c r="B105" s="2" t="s">
        <v>254</v>
      </c>
      <c r="C105" s="2" t="s">
        <v>49</v>
      </c>
      <c r="D105" s="2">
        <v>44.42</v>
      </c>
      <c r="E105" s="2" t="s">
        <v>244</v>
      </c>
    </row>
    <row r="106" spans="1:5" ht="14.25" customHeight="1" x14ac:dyDescent="0.3">
      <c r="A106" s="2" t="s">
        <v>255</v>
      </c>
      <c r="B106" s="2" t="s">
        <v>256</v>
      </c>
      <c r="C106" s="2" t="s">
        <v>35</v>
      </c>
      <c r="D106" s="2">
        <v>26.98</v>
      </c>
      <c r="E106" s="2" t="s">
        <v>257</v>
      </c>
    </row>
    <row r="107" spans="1:5" ht="14.25" customHeight="1" x14ac:dyDescent="0.3">
      <c r="A107" s="2" t="s">
        <v>258</v>
      </c>
      <c r="B107" s="2" t="s">
        <v>259</v>
      </c>
      <c r="C107" s="2" t="s">
        <v>29</v>
      </c>
      <c r="D107" s="2">
        <v>37.130000000000003</v>
      </c>
      <c r="E107" s="2" t="s">
        <v>257</v>
      </c>
    </row>
    <row r="108" spans="1:5" ht="14.25" customHeight="1" x14ac:dyDescent="0.3">
      <c r="A108" s="2" t="s">
        <v>260</v>
      </c>
      <c r="B108" s="2" t="s">
        <v>261</v>
      </c>
      <c r="C108" s="2" t="s">
        <v>13</v>
      </c>
      <c r="D108" s="2">
        <v>41.73</v>
      </c>
      <c r="E108" s="2" t="s">
        <v>257</v>
      </c>
    </row>
    <row r="109" spans="1:5" ht="14.25" customHeight="1" x14ac:dyDescent="0.3">
      <c r="A109" s="2" t="s">
        <v>262</v>
      </c>
      <c r="B109" s="2" t="s">
        <v>263</v>
      </c>
      <c r="C109" s="2" t="s">
        <v>21</v>
      </c>
      <c r="D109" s="2">
        <v>91.41</v>
      </c>
      <c r="E109" s="2" t="s">
        <v>257</v>
      </c>
    </row>
    <row r="110" spans="1:5" ht="14.25" customHeight="1" x14ac:dyDescent="0.3">
      <c r="A110" s="2" t="s">
        <v>264</v>
      </c>
      <c r="B110" s="2" t="s">
        <v>265</v>
      </c>
      <c r="C110" s="2" t="s">
        <v>81</v>
      </c>
      <c r="D110" s="2">
        <v>13.16</v>
      </c>
      <c r="E110" s="2" t="s">
        <v>257</v>
      </c>
    </row>
    <row r="111" spans="1:5" ht="14.25" customHeight="1" x14ac:dyDescent="0.3">
      <c r="A111" s="2" t="s">
        <v>266</v>
      </c>
      <c r="B111" s="2" t="s">
        <v>267</v>
      </c>
      <c r="C111" s="2" t="s">
        <v>7</v>
      </c>
      <c r="D111" s="2">
        <v>15.99</v>
      </c>
      <c r="E111" s="2" t="s">
        <v>268</v>
      </c>
    </row>
    <row r="112" spans="1:5" ht="14.25" customHeight="1" x14ac:dyDescent="0.3">
      <c r="A112" s="2" t="s">
        <v>269</v>
      </c>
      <c r="B112" s="2" t="s">
        <v>270</v>
      </c>
      <c r="C112" s="2" t="s">
        <v>13</v>
      </c>
      <c r="D112" s="2">
        <v>37.79</v>
      </c>
      <c r="E112" s="2" t="s">
        <v>268</v>
      </c>
    </row>
    <row r="113" spans="1:5" ht="14.25" customHeight="1" x14ac:dyDescent="0.3">
      <c r="A113" s="2" t="s">
        <v>271</v>
      </c>
      <c r="B113" s="2" t="s">
        <v>272</v>
      </c>
      <c r="C113" s="2" t="s">
        <v>21</v>
      </c>
      <c r="D113" s="2">
        <v>84.31</v>
      </c>
      <c r="E113" s="2" t="s">
        <v>268</v>
      </c>
    </row>
    <row r="114" spans="1:5" ht="14.25" customHeight="1" x14ac:dyDescent="0.3">
      <c r="A114" s="2" t="s">
        <v>273</v>
      </c>
      <c r="B114" s="2" t="s">
        <v>274</v>
      </c>
      <c r="C114" s="2" t="s">
        <v>13</v>
      </c>
      <c r="D114" s="2">
        <v>53.5</v>
      </c>
      <c r="E114" s="2" t="s">
        <v>268</v>
      </c>
    </row>
    <row r="115" spans="1:5" ht="14.25" customHeight="1" x14ac:dyDescent="0.3">
      <c r="A115" s="2" t="s">
        <v>275</v>
      </c>
      <c r="B115" s="2" t="s">
        <v>276</v>
      </c>
      <c r="C115" s="2" t="s">
        <v>17</v>
      </c>
      <c r="D115" s="2">
        <v>86.44</v>
      </c>
      <c r="E115" s="2" t="s">
        <v>122</v>
      </c>
    </row>
    <row r="116" spans="1:5" ht="14.25" customHeight="1" x14ac:dyDescent="0.3">
      <c r="A116" s="2" t="s">
        <v>277</v>
      </c>
      <c r="B116" s="2" t="s">
        <v>278</v>
      </c>
      <c r="C116" s="2" t="s">
        <v>17</v>
      </c>
      <c r="D116" s="2">
        <v>112.5</v>
      </c>
      <c r="E116" s="2" t="s">
        <v>122</v>
      </c>
    </row>
    <row r="117" spans="1:5" ht="14.25" customHeight="1" x14ac:dyDescent="0.3">
      <c r="A117" s="2" t="s">
        <v>279</v>
      </c>
      <c r="B117" s="2" t="s">
        <v>280</v>
      </c>
      <c r="C117" s="2" t="s">
        <v>49</v>
      </c>
      <c r="D117" s="2">
        <v>55.56</v>
      </c>
      <c r="E117" s="2" t="s">
        <v>281</v>
      </c>
    </row>
    <row r="118" spans="1:5" ht="14.25" customHeight="1" x14ac:dyDescent="0.3">
      <c r="A118" s="2" t="s">
        <v>282</v>
      </c>
      <c r="B118" s="2" t="s">
        <v>283</v>
      </c>
      <c r="C118" s="2" t="s">
        <v>81</v>
      </c>
      <c r="D118" s="2">
        <v>13.95</v>
      </c>
      <c r="E118" s="2" t="s">
        <v>281</v>
      </c>
    </row>
    <row r="119" spans="1:5" ht="14.25" customHeight="1" x14ac:dyDescent="0.3">
      <c r="A119" s="2" t="s">
        <v>284</v>
      </c>
      <c r="B119" s="2" t="s">
        <v>285</v>
      </c>
      <c r="C119" s="2" t="s">
        <v>13</v>
      </c>
      <c r="D119" s="2">
        <v>53.17</v>
      </c>
      <c r="E119" s="2" t="s">
        <v>281</v>
      </c>
    </row>
    <row r="120" spans="1:5" ht="14.25" customHeight="1" x14ac:dyDescent="0.3">
      <c r="A120" s="2" t="s">
        <v>286</v>
      </c>
      <c r="B120" s="2" t="s">
        <v>287</v>
      </c>
      <c r="C120" s="2" t="s">
        <v>49</v>
      </c>
      <c r="D120" s="2">
        <v>51.49</v>
      </c>
      <c r="E120" s="2" t="s">
        <v>288</v>
      </c>
    </row>
    <row r="121" spans="1:5" ht="14.25" customHeight="1" x14ac:dyDescent="0.3">
      <c r="A121" s="2" t="s">
        <v>289</v>
      </c>
      <c r="B121" s="2" t="s">
        <v>290</v>
      </c>
      <c r="C121" s="2" t="s">
        <v>13</v>
      </c>
      <c r="D121" s="2">
        <v>25.48</v>
      </c>
      <c r="E121" s="2" t="s">
        <v>288</v>
      </c>
    </row>
    <row r="122" spans="1:5" ht="14.25" customHeight="1" x14ac:dyDescent="0.3">
      <c r="A122" s="2" t="s">
        <v>291</v>
      </c>
      <c r="B122" s="2" t="s">
        <v>292</v>
      </c>
      <c r="C122" s="2" t="s">
        <v>21</v>
      </c>
      <c r="D122" s="2">
        <v>16.809999999999999</v>
      </c>
      <c r="E122" s="2" t="s">
        <v>288</v>
      </c>
    </row>
    <row r="123" spans="1:5" ht="14.25" customHeight="1" x14ac:dyDescent="0.3">
      <c r="A123" s="2" t="s">
        <v>293</v>
      </c>
      <c r="B123" s="2" t="s">
        <v>294</v>
      </c>
      <c r="C123" s="2" t="s">
        <v>7</v>
      </c>
      <c r="D123" s="2">
        <v>9.81</v>
      </c>
      <c r="E123" s="2" t="s">
        <v>288</v>
      </c>
    </row>
    <row r="124" spans="1:5" ht="14.25" customHeight="1" x14ac:dyDescent="0.3">
      <c r="A124" s="2" t="s">
        <v>295</v>
      </c>
      <c r="B124" s="2" t="s">
        <v>296</v>
      </c>
      <c r="C124" s="2" t="s">
        <v>13</v>
      </c>
      <c r="D124" s="2">
        <v>42.2</v>
      </c>
      <c r="E124" s="2" t="s">
        <v>288</v>
      </c>
    </row>
    <row r="125" spans="1:5" ht="14.25" customHeight="1" x14ac:dyDescent="0.3">
      <c r="A125" s="2" t="s">
        <v>297</v>
      </c>
      <c r="B125" s="2" t="s">
        <v>298</v>
      </c>
      <c r="C125" s="2" t="s">
        <v>21</v>
      </c>
      <c r="D125" s="2">
        <v>84.85</v>
      </c>
      <c r="E125" s="2" t="s">
        <v>299</v>
      </c>
    </row>
    <row r="126" spans="1:5" ht="14.25" customHeight="1" x14ac:dyDescent="0.3">
      <c r="A126" s="2" t="s">
        <v>300</v>
      </c>
      <c r="B126" s="2" t="s">
        <v>301</v>
      </c>
      <c r="C126" s="2" t="s">
        <v>81</v>
      </c>
      <c r="D126" s="2">
        <v>13.79</v>
      </c>
      <c r="E126" s="2" t="s">
        <v>299</v>
      </c>
    </row>
    <row r="127" spans="1:5" ht="14.25" customHeight="1" x14ac:dyDescent="0.3">
      <c r="A127" s="2" t="s">
        <v>302</v>
      </c>
      <c r="B127" s="2" t="s">
        <v>303</v>
      </c>
      <c r="C127" s="2" t="s">
        <v>25</v>
      </c>
      <c r="D127" s="2">
        <v>5.49</v>
      </c>
      <c r="E127" s="2" t="s">
        <v>299</v>
      </c>
    </row>
    <row r="128" spans="1:5" ht="14.25" customHeight="1" x14ac:dyDescent="0.3">
      <c r="A128" s="2" t="s">
        <v>304</v>
      </c>
      <c r="B128" s="2" t="s">
        <v>305</v>
      </c>
      <c r="C128" s="2" t="s">
        <v>49</v>
      </c>
      <c r="D128" s="2">
        <v>92.15</v>
      </c>
      <c r="E128" s="2" t="s">
        <v>299</v>
      </c>
    </row>
    <row r="129" spans="1:5" ht="14.25" customHeight="1" x14ac:dyDescent="0.3">
      <c r="A129" s="2" t="s">
        <v>306</v>
      </c>
      <c r="B129" s="2" t="s">
        <v>307</v>
      </c>
      <c r="C129" s="2" t="s">
        <v>177</v>
      </c>
      <c r="D129" s="2">
        <v>37.340000000000003</v>
      </c>
      <c r="E129" s="2" t="s">
        <v>299</v>
      </c>
    </row>
    <row r="130" spans="1:5" ht="14.25" customHeight="1" x14ac:dyDescent="0.3">
      <c r="A130" s="2" t="s">
        <v>308</v>
      </c>
      <c r="B130" s="2" t="s">
        <v>309</v>
      </c>
      <c r="C130" s="2" t="s">
        <v>49</v>
      </c>
      <c r="D130" s="2">
        <v>87.86</v>
      </c>
      <c r="E130" s="2" t="s">
        <v>310</v>
      </c>
    </row>
    <row r="131" spans="1:5" ht="14.25" customHeight="1" x14ac:dyDescent="0.3">
      <c r="A131" s="2" t="s">
        <v>311</v>
      </c>
      <c r="B131" s="2" t="s">
        <v>312</v>
      </c>
      <c r="C131" s="2" t="s">
        <v>29</v>
      </c>
      <c r="D131" s="2">
        <v>12.31</v>
      </c>
      <c r="E131" s="2" t="s">
        <v>310</v>
      </c>
    </row>
    <row r="132" spans="1:5" ht="14.25" customHeight="1" x14ac:dyDescent="0.3">
      <c r="A132" s="2" t="s">
        <v>313</v>
      </c>
      <c r="B132" s="2" t="s">
        <v>314</v>
      </c>
      <c r="C132" s="2" t="s">
        <v>29</v>
      </c>
      <c r="D132" s="2">
        <v>37.72</v>
      </c>
      <c r="E132" s="2" t="s">
        <v>310</v>
      </c>
    </row>
    <row r="133" spans="1:5" ht="14.25" customHeight="1" x14ac:dyDescent="0.3">
      <c r="A133" s="2" t="s">
        <v>315</v>
      </c>
      <c r="B133" s="2" t="s">
        <v>316</v>
      </c>
      <c r="C133" s="2" t="s">
        <v>25</v>
      </c>
      <c r="D133" s="2">
        <v>8</v>
      </c>
      <c r="E133" s="2" t="s">
        <v>310</v>
      </c>
    </row>
    <row r="134" spans="1:5" ht="14.25" customHeight="1" x14ac:dyDescent="0.3">
      <c r="A134" s="2" t="s">
        <v>317</v>
      </c>
      <c r="B134" s="2" t="s">
        <v>318</v>
      </c>
      <c r="C134" s="2" t="s">
        <v>29</v>
      </c>
      <c r="D134" s="2">
        <v>35.11</v>
      </c>
      <c r="E134" s="2" t="s">
        <v>310</v>
      </c>
    </row>
    <row r="135" spans="1:5" ht="14.25" customHeight="1" x14ac:dyDescent="0.3">
      <c r="A135" s="2" t="s">
        <v>319</v>
      </c>
      <c r="B135" s="2" t="s">
        <v>320</v>
      </c>
      <c r="C135" s="2" t="s">
        <v>25</v>
      </c>
      <c r="D135" s="2">
        <v>10.76</v>
      </c>
      <c r="E135" s="2" t="s">
        <v>321</v>
      </c>
    </row>
    <row r="136" spans="1:5" ht="14.25" customHeight="1" x14ac:dyDescent="0.3">
      <c r="A136" s="2" t="s">
        <v>322</v>
      </c>
      <c r="B136" s="2" t="s">
        <v>323</v>
      </c>
      <c r="C136" s="2" t="s">
        <v>49</v>
      </c>
      <c r="D136" s="2">
        <v>48.81</v>
      </c>
      <c r="E136" s="2" t="s">
        <v>321</v>
      </c>
    </row>
    <row r="137" spans="1:5" ht="14.25" customHeight="1" x14ac:dyDescent="0.3">
      <c r="A137" s="2" t="s">
        <v>324</v>
      </c>
      <c r="B137" s="2" t="s">
        <v>325</v>
      </c>
      <c r="C137" s="2" t="s">
        <v>29</v>
      </c>
      <c r="D137" s="2">
        <v>20.309999999999999</v>
      </c>
      <c r="E137" s="2" t="s">
        <v>326</v>
      </c>
    </row>
    <row r="138" spans="1:5" ht="14.25" customHeight="1" x14ac:dyDescent="0.3">
      <c r="A138" s="2" t="s">
        <v>327</v>
      </c>
      <c r="B138" s="2" t="s">
        <v>328</v>
      </c>
      <c r="C138" s="2" t="s">
        <v>25</v>
      </c>
      <c r="D138" s="2">
        <v>7.57</v>
      </c>
      <c r="E138" s="2" t="s">
        <v>326</v>
      </c>
    </row>
    <row r="139" spans="1:5" ht="14.25" customHeight="1" x14ac:dyDescent="0.3">
      <c r="A139" s="2" t="s">
        <v>329</v>
      </c>
      <c r="B139" s="2" t="s">
        <v>330</v>
      </c>
      <c r="C139" s="2" t="s">
        <v>25</v>
      </c>
      <c r="D139" s="2">
        <v>8.36</v>
      </c>
      <c r="E139" s="2" t="s">
        <v>326</v>
      </c>
    </row>
    <row r="140" spans="1:5" ht="14.25" customHeight="1" x14ac:dyDescent="0.3">
      <c r="A140" s="2" t="s">
        <v>331</v>
      </c>
      <c r="B140" s="2" t="s">
        <v>332</v>
      </c>
      <c r="C140" s="2" t="s">
        <v>7</v>
      </c>
      <c r="D140" s="2">
        <v>9.6300000000000008</v>
      </c>
      <c r="E140" s="2" t="s">
        <v>326</v>
      </c>
    </row>
    <row r="141" spans="1:5" ht="14.25" customHeight="1" x14ac:dyDescent="0.3">
      <c r="A141" s="2" t="s">
        <v>333</v>
      </c>
      <c r="B141" s="2" t="s">
        <v>334</v>
      </c>
      <c r="C141" s="2" t="s">
        <v>17</v>
      </c>
      <c r="D141" s="2">
        <v>81.81</v>
      </c>
      <c r="E141" s="2" t="s">
        <v>326</v>
      </c>
    </row>
    <row r="142" spans="1:5" ht="14.25" customHeight="1" x14ac:dyDescent="0.3">
      <c r="A142" s="2" t="s">
        <v>335</v>
      </c>
      <c r="B142" s="2" t="s">
        <v>336</v>
      </c>
      <c r="C142" s="2" t="s">
        <v>177</v>
      </c>
      <c r="D142" s="2">
        <v>27.16</v>
      </c>
      <c r="E142" s="2" t="s">
        <v>337</v>
      </c>
    </row>
    <row r="143" spans="1:5" ht="14.25" customHeight="1" x14ac:dyDescent="0.3">
      <c r="A143" s="2" t="s">
        <v>338</v>
      </c>
      <c r="B143" s="2" t="s">
        <v>339</v>
      </c>
      <c r="C143" s="2" t="s">
        <v>17</v>
      </c>
      <c r="D143" s="2">
        <v>62.17</v>
      </c>
      <c r="E143" s="2" t="s">
        <v>340</v>
      </c>
    </row>
    <row r="144" spans="1:5" ht="14.25" customHeight="1" x14ac:dyDescent="0.3">
      <c r="A144" s="2" t="s">
        <v>341</v>
      </c>
      <c r="B144" s="2" t="s">
        <v>342</v>
      </c>
      <c r="C144" s="2" t="s">
        <v>35</v>
      </c>
      <c r="D144" s="2">
        <v>49.21</v>
      </c>
      <c r="E144" s="2" t="s">
        <v>340</v>
      </c>
    </row>
    <row r="145" spans="1:5" ht="14.25" customHeight="1" x14ac:dyDescent="0.3">
      <c r="A145" s="2" t="s">
        <v>343</v>
      </c>
      <c r="B145" s="2" t="s">
        <v>344</v>
      </c>
      <c r="C145" s="2" t="s">
        <v>21</v>
      </c>
      <c r="D145" s="2">
        <v>16.88</v>
      </c>
      <c r="E145" s="2" t="s">
        <v>345</v>
      </c>
    </row>
    <row r="146" spans="1:5" ht="14.25" customHeight="1" x14ac:dyDescent="0.3">
      <c r="A146" s="2" t="s">
        <v>346</v>
      </c>
      <c r="B146" s="2" t="s">
        <v>347</v>
      </c>
      <c r="C146" s="2" t="s">
        <v>21</v>
      </c>
      <c r="D146" s="2">
        <v>96.77</v>
      </c>
      <c r="E146" s="2" t="s">
        <v>345</v>
      </c>
    </row>
    <row r="147" spans="1:5" ht="14.25" customHeight="1" x14ac:dyDescent="0.3">
      <c r="A147" s="2" t="s">
        <v>348</v>
      </c>
      <c r="B147" s="2" t="s">
        <v>349</v>
      </c>
      <c r="C147" s="2" t="s">
        <v>177</v>
      </c>
      <c r="D147" s="2">
        <v>37.340000000000003</v>
      </c>
      <c r="E147" s="2" t="s">
        <v>350</v>
      </c>
    </row>
    <row r="148" spans="1:5" ht="14.25" customHeight="1" x14ac:dyDescent="0.3">
      <c r="A148" s="2" t="s">
        <v>351</v>
      </c>
      <c r="B148" s="2" t="s">
        <v>352</v>
      </c>
      <c r="C148" s="2" t="s">
        <v>49</v>
      </c>
      <c r="D148" s="2">
        <v>88.21</v>
      </c>
      <c r="E148" s="2" t="s">
        <v>350</v>
      </c>
    </row>
    <row r="149" spans="1:5" ht="14.25" customHeight="1" x14ac:dyDescent="0.3">
      <c r="A149" s="2" t="s">
        <v>353</v>
      </c>
      <c r="B149" s="2" t="s">
        <v>354</v>
      </c>
      <c r="C149" s="2" t="s">
        <v>81</v>
      </c>
      <c r="D149" s="2">
        <v>35.020000000000003</v>
      </c>
      <c r="E149" s="2" t="s">
        <v>350</v>
      </c>
    </row>
    <row r="150" spans="1:5" ht="14.25" customHeight="1" x14ac:dyDescent="0.3">
      <c r="A150" s="2" t="s">
        <v>355</v>
      </c>
      <c r="B150" s="2" t="s">
        <v>356</v>
      </c>
      <c r="C150" s="2" t="s">
        <v>177</v>
      </c>
      <c r="D150" s="2">
        <v>14.62</v>
      </c>
      <c r="E150" s="2" t="s">
        <v>350</v>
      </c>
    </row>
    <row r="151" spans="1:5" ht="14.25" customHeight="1" x14ac:dyDescent="0.3">
      <c r="A151" s="2" t="s">
        <v>357</v>
      </c>
      <c r="B151" s="2" t="s">
        <v>358</v>
      </c>
      <c r="C151" s="2" t="s">
        <v>21</v>
      </c>
      <c r="D151" s="2">
        <v>72.36</v>
      </c>
      <c r="E151" s="2" t="s">
        <v>359</v>
      </c>
    </row>
    <row r="152" spans="1:5" ht="14.25" customHeight="1" x14ac:dyDescent="0.3">
      <c r="A152" s="2" t="s">
        <v>360</v>
      </c>
      <c r="B152" s="2" t="s">
        <v>95</v>
      </c>
      <c r="C152" s="2" t="s">
        <v>29</v>
      </c>
      <c r="D152" s="2">
        <v>24.94</v>
      </c>
      <c r="E152" s="2" t="s">
        <v>89</v>
      </c>
    </row>
    <row r="153" spans="1:5" ht="14.25" customHeight="1" x14ac:dyDescent="0.3">
      <c r="A153" s="2" t="s">
        <v>361</v>
      </c>
      <c r="B153" s="2" t="s">
        <v>362</v>
      </c>
      <c r="C153" s="2" t="s">
        <v>13</v>
      </c>
      <c r="D153" s="2">
        <v>42.11</v>
      </c>
      <c r="E153" s="2" t="s">
        <v>359</v>
      </c>
    </row>
    <row r="154" spans="1:5" ht="14.25" customHeight="1" x14ac:dyDescent="0.3">
      <c r="A154" s="2" t="s">
        <v>363</v>
      </c>
      <c r="B154" s="2" t="s">
        <v>364</v>
      </c>
      <c r="C154" s="2" t="s">
        <v>35</v>
      </c>
      <c r="D154" s="2">
        <v>48.8</v>
      </c>
      <c r="E154" s="2" t="s">
        <v>359</v>
      </c>
    </row>
    <row r="155" spans="1:5" ht="14.25" customHeight="1" x14ac:dyDescent="0.3">
      <c r="A155" s="2" t="s">
        <v>365</v>
      </c>
      <c r="B155" s="2" t="s">
        <v>366</v>
      </c>
      <c r="C155" s="2" t="s">
        <v>7</v>
      </c>
      <c r="D155" s="2">
        <v>23.68</v>
      </c>
      <c r="E155" s="2" t="s">
        <v>367</v>
      </c>
    </row>
    <row r="156" spans="1:5" ht="14.25" customHeight="1" x14ac:dyDescent="0.3">
      <c r="A156" s="2" t="s">
        <v>368</v>
      </c>
      <c r="B156" s="2" t="s">
        <v>369</v>
      </c>
      <c r="C156" s="2" t="s">
        <v>29</v>
      </c>
      <c r="D156" s="2">
        <v>16.22</v>
      </c>
      <c r="E156" s="2" t="s">
        <v>367</v>
      </c>
    </row>
    <row r="157" spans="1:5" ht="14.25" customHeight="1" x14ac:dyDescent="0.3">
      <c r="A157" s="2" t="s">
        <v>370</v>
      </c>
      <c r="B157" s="2" t="s">
        <v>371</v>
      </c>
      <c r="C157" s="2" t="s">
        <v>13</v>
      </c>
      <c r="D157" s="2">
        <v>37.99</v>
      </c>
      <c r="E157" s="2" t="s">
        <v>372</v>
      </c>
    </row>
    <row r="158" spans="1:5" ht="14.25" customHeight="1" x14ac:dyDescent="0.3">
      <c r="A158" s="2" t="s">
        <v>373</v>
      </c>
      <c r="B158" s="2" t="s">
        <v>374</v>
      </c>
      <c r="C158" s="2" t="s">
        <v>7</v>
      </c>
      <c r="D158" s="2">
        <v>16.149999999999999</v>
      </c>
      <c r="E158" s="2" t="s">
        <v>375</v>
      </c>
    </row>
    <row r="159" spans="1:5" ht="14.25" customHeight="1" x14ac:dyDescent="0.3">
      <c r="A159" s="2" t="s">
        <v>376</v>
      </c>
      <c r="B159" s="2" t="s">
        <v>377</v>
      </c>
      <c r="C159" s="2" t="s">
        <v>17</v>
      </c>
      <c r="D159" s="2">
        <v>88.29</v>
      </c>
      <c r="E159" s="2" t="s">
        <v>375</v>
      </c>
    </row>
    <row r="160" spans="1:5" ht="14.25" customHeight="1" x14ac:dyDescent="0.3">
      <c r="A160" s="2" t="s">
        <v>378</v>
      </c>
      <c r="B160" s="2" t="s">
        <v>379</v>
      </c>
      <c r="C160" s="2" t="s">
        <v>29</v>
      </c>
      <c r="D160" s="2">
        <v>13.7</v>
      </c>
      <c r="E160" s="2" t="s">
        <v>310</v>
      </c>
    </row>
    <row r="161" spans="1:5" ht="14.25" customHeight="1" x14ac:dyDescent="0.3">
      <c r="A161" s="2" t="s">
        <v>380</v>
      </c>
      <c r="B161" s="2" t="s">
        <v>381</v>
      </c>
      <c r="C161" s="2" t="s">
        <v>29</v>
      </c>
      <c r="D161" s="2">
        <v>13.7</v>
      </c>
      <c r="E161" s="2" t="s">
        <v>310</v>
      </c>
    </row>
    <row r="162" spans="1:5" ht="14.25" customHeight="1" x14ac:dyDescent="0.3">
      <c r="A162" s="2" t="s">
        <v>382</v>
      </c>
      <c r="B162" s="2" t="s">
        <v>383</v>
      </c>
      <c r="C162" s="2" t="s">
        <v>29</v>
      </c>
      <c r="D162" s="2">
        <v>13.7</v>
      </c>
      <c r="E162" s="2" t="s">
        <v>310</v>
      </c>
    </row>
    <row r="163" spans="1:5" ht="14.25" customHeight="1" x14ac:dyDescent="0.3">
      <c r="A163" s="2" t="s">
        <v>384</v>
      </c>
      <c r="B163" s="2" t="s">
        <v>385</v>
      </c>
      <c r="C163" s="2" t="s">
        <v>29</v>
      </c>
      <c r="D163" s="2">
        <v>13.7</v>
      </c>
      <c r="E163" s="2" t="s">
        <v>310</v>
      </c>
    </row>
    <row r="164" spans="1:5" ht="14.25" customHeight="1" x14ac:dyDescent="0.3">
      <c r="A164" s="2" t="s">
        <v>386</v>
      </c>
      <c r="B164" s="2" t="s">
        <v>387</v>
      </c>
      <c r="C164" s="2" t="s">
        <v>29</v>
      </c>
      <c r="D164" s="2">
        <v>13.7</v>
      </c>
      <c r="E164" s="2" t="s">
        <v>310</v>
      </c>
    </row>
    <row r="165" spans="1:5" ht="14.25" customHeight="1" x14ac:dyDescent="0.3">
      <c r="A165" s="2" t="s">
        <v>388</v>
      </c>
      <c r="B165" s="2" t="s">
        <v>389</v>
      </c>
      <c r="C165" s="2" t="s">
        <v>21</v>
      </c>
      <c r="D165" s="2">
        <v>89.07</v>
      </c>
      <c r="E165" s="2" t="s">
        <v>375</v>
      </c>
    </row>
    <row r="166" spans="1:5" ht="14.25" customHeight="1" x14ac:dyDescent="0.3">
      <c r="A166" s="2" t="s">
        <v>390</v>
      </c>
      <c r="B166" s="2" t="s">
        <v>391</v>
      </c>
      <c r="C166" s="2" t="s">
        <v>177</v>
      </c>
      <c r="D166" s="2">
        <v>25.07</v>
      </c>
      <c r="E166" s="2" t="s">
        <v>375</v>
      </c>
    </row>
    <row r="167" spans="1:5" ht="14.25" customHeight="1" x14ac:dyDescent="0.3">
      <c r="A167" s="2" t="s">
        <v>392</v>
      </c>
      <c r="B167" s="2" t="s">
        <v>393</v>
      </c>
      <c r="C167" s="2" t="s">
        <v>81</v>
      </c>
      <c r="D167" s="2">
        <v>25.08</v>
      </c>
      <c r="E167" s="2" t="s">
        <v>375</v>
      </c>
    </row>
    <row r="168" spans="1:5" ht="14.25" customHeight="1" x14ac:dyDescent="0.3">
      <c r="A168" s="2" t="s">
        <v>394</v>
      </c>
      <c r="B168" s="2" t="s">
        <v>395</v>
      </c>
      <c r="C168" s="2" t="s">
        <v>25</v>
      </c>
      <c r="D168" s="2">
        <v>12.82</v>
      </c>
      <c r="E168" s="2" t="s">
        <v>375</v>
      </c>
    </row>
    <row r="169" spans="1:5" ht="14.25" customHeight="1" x14ac:dyDescent="0.3">
      <c r="A169" s="2" t="s">
        <v>396</v>
      </c>
      <c r="B169" s="2" t="s">
        <v>397</v>
      </c>
      <c r="C169" s="2" t="s">
        <v>81</v>
      </c>
      <c r="D169" s="2">
        <v>33.36</v>
      </c>
      <c r="E169" s="2" t="s">
        <v>398</v>
      </c>
    </row>
    <row r="170" spans="1:5" ht="14.25" customHeight="1" x14ac:dyDescent="0.3">
      <c r="A170" s="2" t="s">
        <v>399</v>
      </c>
      <c r="B170" s="2" t="s">
        <v>400</v>
      </c>
      <c r="C170" s="2" t="s">
        <v>81</v>
      </c>
      <c r="D170" s="2">
        <v>31.11</v>
      </c>
      <c r="E170" s="2" t="s">
        <v>398</v>
      </c>
    </row>
    <row r="171" spans="1:5" ht="14.25" customHeight="1" x14ac:dyDescent="0.3">
      <c r="A171" s="2" t="s">
        <v>401</v>
      </c>
      <c r="B171" s="2" t="s">
        <v>402</v>
      </c>
      <c r="C171" s="2" t="s">
        <v>49</v>
      </c>
      <c r="D171" s="2">
        <v>75.239999999999995</v>
      </c>
      <c r="E171" s="2" t="s">
        <v>398</v>
      </c>
    </row>
    <row r="172" spans="1:5" ht="14.25" customHeight="1" x14ac:dyDescent="0.3">
      <c r="A172" s="2" t="s">
        <v>403</v>
      </c>
      <c r="B172" s="2" t="s">
        <v>404</v>
      </c>
      <c r="C172" s="2" t="s">
        <v>13</v>
      </c>
      <c r="D172" s="2">
        <v>40.28</v>
      </c>
      <c r="E172" s="2" t="s">
        <v>398</v>
      </c>
    </row>
    <row r="173" spans="1:5" ht="14.25" customHeight="1" x14ac:dyDescent="0.3">
      <c r="A173" s="2" t="s">
        <v>405</v>
      </c>
      <c r="B173" s="2" t="s">
        <v>406</v>
      </c>
      <c r="C173" s="2" t="s">
        <v>177</v>
      </c>
      <c r="D173" s="2">
        <v>29.98</v>
      </c>
      <c r="E173" s="2" t="s">
        <v>398</v>
      </c>
    </row>
    <row r="174" spans="1:5" ht="14.25" customHeight="1" x14ac:dyDescent="0.3">
      <c r="A174" s="2" t="s">
        <v>407</v>
      </c>
      <c r="B174" s="2" t="s">
        <v>408</v>
      </c>
      <c r="C174" s="2" t="s">
        <v>81</v>
      </c>
      <c r="D174" s="2">
        <v>29</v>
      </c>
      <c r="E174" s="2" t="s">
        <v>409</v>
      </c>
    </row>
    <row r="175" spans="1:5" ht="14.25" customHeight="1" x14ac:dyDescent="0.3">
      <c r="A175" s="2" t="s">
        <v>410</v>
      </c>
      <c r="B175" s="2" t="s">
        <v>411</v>
      </c>
      <c r="C175" s="2" t="s">
        <v>25</v>
      </c>
      <c r="D175" s="2">
        <v>14.03</v>
      </c>
      <c r="E175" s="2" t="s">
        <v>412</v>
      </c>
    </row>
    <row r="176" spans="1:5" ht="14.25" customHeight="1" x14ac:dyDescent="0.3">
      <c r="A176" s="2" t="s">
        <v>413</v>
      </c>
      <c r="B176" s="2" t="s">
        <v>414</v>
      </c>
      <c r="C176" s="2" t="s">
        <v>81</v>
      </c>
      <c r="D176" s="2">
        <v>36.35</v>
      </c>
      <c r="E176" s="2" t="s">
        <v>412</v>
      </c>
    </row>
    <row r="177" spans="1:5" ht="14.25" customHeight="1" x14ac:dyDescent="0.3">
      <c r="A177" s="2" t="s">
        <v>415</v>
      </c>
      <c r="B177" s="2" t="s">
        <v>416</v>
      </c>
      <c r="C177" s="2" t="s">
        <v>49</v>
      </c>
      <c r="D177" s="2">
        <v>34.86</v>
      </c>
      <c r="E177" s="2" t="s">
        <v>412</v>
      </c>
    </row>
    <row r="178" spans="1:5" ht="14.25" customHeight="1" x14ac:dyDescent="0.3">
      <c r="A178" s="2" t="s">
        <v>417</v>
      </c>
      <c r="B178" s="2" t="s">
        <v>418</v>
      </c>
      <c r="C178" s="2" t="s">
        <v>25</v>
      </c>
      <c r="D178" s="2">
        <v>13.61</v>
      </c>
      <c r="E178" s="2" t="s">
        <v>44</v>
      </c>
    </row>
    <row r="179" spans="1:5" ht="14.25" customHeight="1" x14ac:dyDescent="0.3">
      <c r="A179" s="2" t="s">
        <v>419</v>
      </c>
      <c r="B179" s="2" t="s">
        <v>420</v>
      </c>
      <c r="C179" s="2" t="s">
        <v>25</v>
      </c>
      <c r="D179" s="2">
        <v>4.17</v>
      </c>
      <c r="E179" s="2" t="s">
        <v>44</v>
      </c>
    </row>
    <row r="180" spans="1:5" ht="14.25" customHeight="1" x14ac:dyDescent="0.3">
      <c r="A180" s="2" t="s">
        <v>421</v>
      </c>
      <c r="B180" s="2" t="s">
        <v>422</v>
      </c>
      <c r="C180" s="2" t="s">
        <v>25</v>
      </c>
      <c r="D180" s="2">
        <v>10.08</v>
      </c>
      <c r="E180" s="2" t="s">
        <v>44</v>
      </c>
    </row>
    <row r="181" spans="1:5" ht="14.25" customHeight="1" x14ac:dyDescent="0.3">
      <c r="A181" s="2" t="s">
        <v>423</v>
      </c>
      <c r="B181" s="2" t="s">
        <v>424</v>
      </c>
      <c r="C181" s="2" t="s">
        <v>25</v>
      </c>
      <c r="D181" s="2">
        <v>13.61</v>
      </c>
      <c r="E181" s="2" t="s">
        <v>44</v>
      </c>
    </row>
    <row r="182" spans="1:5" ht="14.25" customHeight="1" x14ac:dyDescent="0.3">
      <c r="A182" s="2" t="s">
        <v>425</v>
      </c>
      <c r="B182" s="2" t="s">
        <v>426</v>
      </c>
      <c r="C182" s="2" t="s">
        <v>13</v>
      </c>
      <c r="D182" s="2">
        <v>54.9</v>
      </c>
      <c r="E182" s="2" t="s">
        <v>427</v>
      </c>
    </row>
    <row r="183" spans="1:5" ht="14.25" customHeight="1" x14ac:dyDescent="0.3">
      <c r="A183" s="2" t="s">
        <v>428</v>
      </c>
      <c r="B183" s="2" t="s">
        <v>429</v>
      </c>
      <c r="C183" s="2" t="s">
        <v>13</v>
      </c>
      <c r="D183" s="2">
        <v>39.99</v>
      </c>
      <c r="E183" s="2" t="s">
        <v>427</v>
      </c>
    </row>
    <row r="184" spans="1:5" ht="14.25" customHeight="1" x14ac:dyDescent="0.3">
      <c r="A184" s="2" t="s">
        <v>430</v>
      </c>
      <c r="B184" s="2" t="s">
        <v>431</v>
      </c>
      <c r="C184" s="2" t="s">
        <v>49</v>
      </c>
      <c r="D184" s="2">
        <v>45.15</v>
      </c>
      <c r="E184" s="2" t="s">
        <v>427</v>
      </c>
    </row>
    <row r="185" spans="1:5" ht="14.25" customHeight="1" x14ac:dyDescent="0.3">
      <c r="A185" s="2" t="s">
        <v>432</v>
      </c>
      <c r="B185" s="2" t="s">
        <v>433</v>
      </c>
      <c r="C185" s="2" t="s">
        <v>21</v>
      </c>
      <c r="D185" s="2">
        <v>83.03</v>
      </c>
      <c r="E185" s="2" t="s">
        <v>434</v>
      </c>
    </row>
    <row r="186" spans="1:5" ht="14.25" customHeight="1" x14ac:dyDescent="0.3">
      <c r="A186" s="2" t="s">
        <v>435</v>
      </c>
      <c r="B186" s="2" t="s">
        <v>436</v>
      </c>
      <c r="C186" s="2" t="s">
        <v>13</v>
      </c>
      <c r="D186" s="2">
        <v>59.45</v>
      </c>
      <c r="E186" s="2" t="s">
        <v>434</v>
      </c>
    </row>
    <row r="187" spans="1:5" ht="14.25" customHeight="1" x14ac:dyDescent="0.3">
      <c r="A187" s="2" t="s">
        <v>437</v>
      </c>
      <c r="B187" s="2" t="s">
        <v>438</v>
      </c>
      <c r="C187" s="2" t="s">
        <v>29</v>
      </c>
      <c r="D187" s="2">
        <v>18.989999999999998</v>
      </c>
      <c r="E187" s="2" t="s">
        <v>434</v>
      </c>
    </row>
    <row r="188" spans="1:5" ht="14.25" customHeight="1" x14ac:dyDescent="0.3">
      <c r="A188" s="2" t="s">
        <v>439</v>
      </c>
      <c r="B188" s="2" t="s">
        <v>440</v>
      </c>
      <c r="C188" s="2" t="s">
        <v>81</v>
      </c>
      <c r="D188" s="2">
        <v>24.7</v>
      </c>
      <c r="E188" s="2" t="s">
        <v>434</v>
      </c>
    </row>
    <row r="189" spans="1:5" ht="14.25" customHeight="1" x14ac:dyDescent="0.3">
      <c r="A189" s="2" t="s">
        <v>441</v>
      </c>
      <c r="B189" s="2" t="s">
        <v>442</v>
      </c>
      <c r="C189" s="2" t="s">
        <v>49</v>
      </c>
      <c r="D189" s="2">
        <v>110.01</v>
      </c>
      <c r="E189" s="2" t="s">
        <v>434</v>
      </c>
    </row>
    <row r="190" spans="1:5" ht="14.25" customHeight="1" x14ac:dyDescent="0.3">
      <c r="A190" s="2" t="s">
        <v>443</v>
      </c>
      <c r="B190" s="2" t="s">
        <v>444</v>
      </c>
      <c r="C190" s="2" t="s">
        <v>49</v>
      </c>
      <c r="D190" s="2">
        <v>35.08</v>
      </c>
      <c r="E190" s="2" t="s">
        <v>434</v>
      </c>
    </row>
    <row r="191" spans="1:5" ht="14.25" customHeight="1" x14ac:dyDescent="0.3">
      <c r="A191" s="2" t="s">
        <v>445</v>
      </c>
      <c r="B191" s="2" t="s">
        <v>446</v>
      </c>
      <c r="C191" s="2" t="s">
        <v>81</v>
      </c>
      <c r="D191" s="2">
        <v>48.51</v>
      </c>
      <c r="E191" s="2" t="s">
        <v>434</v>
      </c>
    </row>
    <row r="192" spans="1:5" ht="14.25" customHeight="1" x14ac:dyDescent="0.3">
      <c r="A192" s="2" t="s">
        <v>447</v>
      </c>
      <c r="B192" s="2" t="s">
        <v>448</v>
      </c>
      <c r="C192" s="2" t="s">
        <v>81</v>
      </c>
      <c r="D192" s="2">
        <v>47.32</v>
      </c>
      <c r="E192" s="2" t="s">
        <v>434</v>
      </c>
    </row>
    <row r="193" spans="1:5" ht="14.25" customHeight="1" x14ac:dyDescent="0.3">
      <c r="A193" s="2" t="s">
        <v>449</v>
      </c>
      <c r="B193" s="2" t="s">
        <v>450</v>
      </c>
      <c r="C193" s="2" t="s">
        <v>17</v>
      </c>
      <c r="D193" s="2">
        <v>40.97</v>
      </c>
      <c r="E193" s="2" t="s">
        <v>451</v>
      </c>
    </row>
    <row r="194" spans="1:5" ht="14.25" customHeight="1" x14ac:dyDescent="0.3">
      <c r="A194" s="2" t="s">
        <v>452</v>
      </c>
      <c r="B194" s="2" t="s">
        <v>453</v>
      </c>
      <c r="C194" s="2" t="s">
        <v>13</v>
      </c>
      <c r="D194" s="2">
        <v>21.57</v>
      </c>
      <c r="E194" s="2" t="s">
        <v>451</v>
      </c>
    </row>
    <row r="195" spans="1:5" ht="14.25" customHeight="1" x14ac:dyDescent="0.3">
      <c r="A195" s="2" t="s">
        <v>454</v>
      </c>
      <c r="B195" s="2" t="s">
        <v>455</v>
      </c>
      <c r="C195" s="2" t="s">
        <v>29</v>
      </c>
      <c r="D195" s="2">
        <v>29.09</v>
      </c>
      <c r="E195" s="2" t="s">
        <v>456</v>
      </c>
    </row>
    <row r="196" spans="1:5" ht="14.25" customHeight="1" x14ac:dyDescent="0.3">
      <c r="A196" s="2" t="s">
        <v>457</v>
      </c>
      <c r="B196" s="2" t="s">
        <v>458</v>
      </c>
      <c r="C196" s="2" t="s">
        <v>7</v>
      </c>
      <c r="D196" s="2">
        <v>25.78</v>
      </c>
      <c r="E196" s="2" t="s">
        <v>459</v>
      </c>
    </row>
    <row r="197" spans="1:5" ht="14.25" customHeight="1" x14ac:dyDescent="0.3">
      <c r="A197" s="2" t="s">
        <v>460</v>
      </c>
      <c r="B197" s="2" t="s">
        <v>461</v>
      </c>
      <c r="C197" s="2" t="s">
        <v>29</v>
      </c>
      <c r="D197" s="2">
        <v>37.9</v>
      </c>
      <c r="E197" s="2" t="s">
        <v>459</v>
      </c>
    </row>
    <row r="198" spans="1:5" ht="14.25" customHeight="1" x14ac:dyDescent="0.3">
      <c r="A198" s="2" t="s">
        <v>462</v>
      </c>
      <c r="B198" s="2" t="s">
        <v>463</v>
      </c>
      <c r="C198" s="2" t="s">
        <v>35</v>
      </c>
      <c r="D198" s="2">
        <v>40.75</v>
      </c>
      <c r="E198" s="2" t="s">
        <v>464</v>
      </c>
    </row>
    <row r="199" spans="1:5" ht="14.25" customHeight="1" x14ac:dyDescent="0.3">
      <c r="A199" s="2" t="s">
        <v>465</v>
      </c>
      <c r="B199" s="2" t="s">
        <v>466</v>
      </c>
      <c r="C199" s="2" t="s">
        <v>29</v>
      </c>
      <c r="D199" s="2">
        <v>24.19</v>
      </c>
      <c r="E199" s="2" t="s">
        <v>467</v>
      </c>
    </row>
    <row r="200" spans="1:5" ht="14.25" customHeight="1" x14ac:dyDescent="0.3">
      <c r="A200" s="2" t="s">
        <v>468</v>
      </c>
      <c r="B200" s="2" t="s">
        <v>469</v>
      </c>
      <c r="C200" s="2" t="s">
        <v>13</v>
      </c>
      <c r="D200" s="2">
        <v>32.42</v>
      </c>
      <c r="E200" s="2" t="s">
        <v>467</v>
      </c>
    </row>
    <row r="201" spans="1:5" ht="14.25" customHeight="1" x14ac:dyDescent="0.3">
      <c r="A201" s="2" t="s">
        <v>470</v>
      </c>
      <c r="B201" s="2" t="s">
        <v>471</v>
      </c>
      <c r="C201" s="2" t="s">
        <v>49</v>
      </c>
      <c r="D201" s="2">
        <v>30.95</v>
      </c>
      <c r="E201" s="2" t="s">
        <v>467</v>
      </c>
    </row>
    <row r="202" spans="1:5" ht="14.25" customHeight="1" x14ac:dyDescent="0.3">
      <c r="A202" s="2" t="s">
        <v>472</v>
      </c>
      <c r="B202" s="2" t="s">
        <v>473</v>
      </c>
      <c r="C202" s="2" t="s">
        <v>49</v>
      </c>
      <c r="D202" s="2">
        <v>72.790000000000006</v>
      </c>
      <c r="E202" s="2" t="s">
        <v>467</v>
      </c>
    </row>
    <row r="203" spans="1:5" ht="14.25" customHeight="1" x14ac:dyDescent="0.3">
      <c r="A203" s="2" t="s">
        <v>474</v>
      </c>
      <c r="B203" s="2" t="s">
        <v>475</v>
      </c>
      <c r="C203" s="2" t="s">
        <v>7</v>
      </c>
      <c r="D203" s="2">
        <v>27.55</v>
      </c>
      <c r="E203" s="2" t="s">
        <v>467</v>
      </c>
    </row>
    <row r="204" spans="1:5" ht="14.25" customHeight="1" x14ac:dyDescent="0.3">
      <c r="A204" s="2" t="s">
        <v>476</v>
      </c>
      <c r="B204" s="2" t="s">
        <v>477</v>
      </c>
      <c r="C204" s="2" t="s">
        <v>17</v>
      </c>
      <c r="D204" s="2">
        <v>61.93</v>
      </c>
      <c r="E204" s="2" t="s">
        <v>467</v>
      </c>
    </row>
    <row r="205" spans="1:5" ht="14.25" customHeight="1" x14ac:dyDescent="0.3">
      <c r="A205" s="2" t="s">
        <v>478</v>
      </c>
      <c r="B205" s="2" t="s">
        <v>479</v>
      </c>
      <c r="C205" s="2" t="s">
        <v>17</v>
      </c>
      <c r="D205" s="2">
        <v>38.56</v>
      </c>
      <c r="E205" s="2" t="s">
        <v>467</v>
      </c>
    </row>
    <row r="206" spans="1:5" ht="14.25" customHeight="1" x14ac:dyDescent="0.3">
      <c r="A206" s="2" t="s">
        <v>480</v>
      </c>
      <c r="B206" s="2" t="s">
        <v>481</v>
      </c>
      <c r="C206" s="2" t="s">
        <v>13</v>
      </c>
      <c r="D206" s="2">
        <v>52.53</v>
      </c>
      <c r="E206" s="2" t="s">
        <v>482</v>
      </c>
    </row>
    <row r="207" spans="1:5" ht="14.25" customHeight="1" x14ac:dyDescent="0.3">
      <c r="A207" s="2" t="s">
        <v>483</v>
      </c>
      <c r="B207" s="2" t="s">
        <v>484</v>
      </c>
      <c r="C207" s="2" t="s">
        <v>13</v>
      </c>
      <c r="D207" s="2">
        <v>24.29</v>
      </c>
      <c r="E207" s="2" t="s">
        <v>482</v>
      </c>
    </row>
    <row r="208" spans="1:5" ht="14.25" customHeight="1" x14ac:dyDescent="0.3">
      <c r="A208" s="2" t="s">
        <v>485</v>
      </c>
      <c r="B208" s="2" t="s">
        <v>486</v>
      </c>
      <c r="C208" s="2" t="s">
        <v>7</v>
      </c>
      <c r="D208" s="2">
        <v>32.01</v>
      </c>
      <c r="E208" s="2" t="s">
        <v>487</v>
      </c>
    </row>
    <row r="209" spans="1:5" ht="14.25" customHeight="1" x14ac:dyDescent="0.3">
      <c r="A209" s="2" t="s">
        <v>488</v>
      </c>
      <c r="B209" s="2" t="s">
        <v>489</v>
      </c>
      <c r="C209" s="2" t="s">
        <v>21</v>
      </c>
      <c r="D209" s="2">
        <v>57.2</v>
      </c>
      <c r="E209" s="2" t="s">
        <v>487</v>
      </c>
    </row>
    <row r="210" spans="1:5" ht="14.25" customHeight="1" x14ac:dyDescent="0.3">
      <c r="A210" s="2" t="s">
        <v>490</v>
      </c>
      <c r="B210" s="2" t="s">
        <v>491</v>
      </c>
      <c r="C210" s="2" t="s">
        <v>49</v>
      </c>
      <c r="D210" s="2">
        <v>50.7</v>
      </c>
      <c r="E210" s="2" t="s">
        <v>487</v>
      </c>
    </row>
    <row r="211" spans="1:5" ht="14.25" customHeight="1" x14ac:dyDescent="0.3">
      <c r="A211" s="2" t="s">
        <v>492</v>
      </c>
      <c r="B211" s="2" t="s">
        <v>493</v>
      </c>
      <c r="C211" s="2" t="s">
        <v>13</v>
      </c>
      <c r="D211" s="2">
        <v>53.17</v>
      </c>
      <c r="E211" s="2" t="s">
        <v>494</v>
      </c>
    </row>
    <row r="212" spans="1:5" ht="14.25" customHeight="1" x14ac:dyDescent="0.3">
      <c r="A212" s="2" t="s">
        <v>495</v>
      </c>
      <c r="B212" s="2" t="s">
        <v>496</v>
      </c>
      <c r="C212" s="2" t="s">
        <v>21</v>
      </c>
      <c r="D212" s="2">
        <v>14.98</v>
      </c>
      <c r="E212" s="2" t="s">
        <v>494</v>
      </c>
    </row>
    <row r="213" spans="1:5" ht="14.25" customHeight="1" x14ac:dyDescent="0.3">
      <c r="A213" s="2" t="s">
        <v>497</v>
      </c>
      <c r="B213" s="2" t="s">
        <v>498</v>
      </c>
      <c r="C213" s="2" t="s">
        <v>29</v>
      </c>
      <c r="D213" s="2">
        <v>32.44</v>
      </c>
      <c r="E213" s="2" t="s">
        <v>494</v>
      </c>
    </row>
    <row r="214" spans="1:5" ht="14.25" customHeight="1" x14ac:dyDescent="0.3">
      <c r="A214" s="2" t="s">
        <v>499</v>
      </c>
      <c r="B214" s="2" t="s">
        <v>500</v>
      </c>
      <c r="C214" s="2" t="s">
        <v>81</v>
      </c>
      <c r="D214" s="2">
        <v>52.35</v>
      </c>
      <c r="E214" s="2" t="s">
        <v>451</v>
      </c>
    </row>
    <row r="215" spans="1:5" ht="14.25" customHeight="1" x14ac:dyDescent="0.3">
      <c r="A215" s="2" t="s">
        <v>501</v>
      </c>
      <c r="B215" s="2" t="s">
        <v>502</v>
      </c>
      <c r="C215" s="2" t="s">
        <v>49</v>
      </c>
      <c r="D215" s="2">
        <v>32.67</v>
      </c>
      <c r="E215" s="2" t="s">
        <v>494</v>
      </c>
    </row>
    <row r="216" spans="1:5" ht="14.25" customHeight="1" x14ac:dyDescent="0.3">
      <c r="A216" s="2" t="s">
        <v>503</v>
      </c>
      <c r="B216" s="2" t="s">
        <v>504</v>
      </c>
      <c r="C216" s="2" t="s">
        <v>21</v>
      </c>
      <c r="D216" s="2">
        <v>19.989999999999998</v>
      </c>
      <c r="E216" s="2" t="s">
        <v>494</v>
      </c>
    </row>
    <row r="217" spans="1:5" ht="14.25" customHeight="1" x14ac:dyDescent="0.3">
      <c r="A217" s="2" t="s">
        <v>505</v>
      </c>
      <c r="B217" s="2" t="s">
        <v>506</v>
      </c>
      <c r="C217" s="2" t="s">
        <v>49</v>
      </c>
      <c r="D217" s="2">
        <v>48.11</v>
      </c>
      <c r="E217" s="2" t="s">
        <v>494</v>
      </c>
    </row>
    <row r="218" spans="1:5" ht="14.25" customHeight="1" x14ac:dyDescent="0.3">
      <c r="A218" s="2" t="s">
        <v>507</v>
      </c>
      <c r="B218" s="2" t="s">
        <v>508</v>
      </c>
      <c r="C218" s="2" t="s">
        <v>81</v>
      </c>
      <c r="D218" s="2">
        <v>54.03</v>
      </c>
      <c r="E218" s="2" t="s">
        <v>494</v>
      </c>
    </row>
    <row r="219" spans="1:5" ht="14.25" customHeight="1" x14ac:dyDescent="0.3">
      <c r="A219" s="2" t="s">
        <v>509</v>
      </c>
      <c r="B219" s="2" t="s">
        <v>510</v>
      </c>
      <c r="C219" s="2" t="s">
        <v>7</v>
      </c>
      <c r="D219" s="2">
        <v>22.23</v>
      </c>
      <c r="E219" s="2" t="s">
        <v>511</v>
      </c>
    </row>
    <row r="220" spans="1:5" ht="14.25" customHeight="1" x14ac:dyDescent="0.3">
      <c r="A220" s="2" t="s">
        <v>512</v>
      </c>
      <c r="B220" s="2" t="s">
        <v>513</v>
      </c>
      <c r="C220" s="2" t="s">
        <v>49</v>
      </c>
      <c r="D220" s="2">
        <v>74.39</v>
      </c>
      <c r="E220" s="2" t="s">
        <v>514</v>
      </c>
    </row>
    <row r="221" spans="1:5" ht="14.25" customHeight="1" x14ac:dyDescent="0.3">
      <c r="A221" s="2" t="s">
        <v>515</v>
      </c>
      <c r="B221" s="2" t="s">
        <v>516</v>
      </c>
      <c r="C221" s="2" t="s">
        <v>49</v>
      </c>
      <c r="D221" s="2">
        <v>45.46</v>
      </c>
      <c r="E221" s="2" t="s">
        <v>514</v>
      </c>
    </row>
    <row r="222" spans="1:5" ht="14.25" customHeight="1" x14ac:dyDescent="0.3">
      <c r="A222" s="2" t="s">
        <v>517</v>
      </c>
      <c r="B222" s="2" t="s">
        <v>518</v>
      </c>
      <c r="C222" s="2" t="s">
        <v>29</v>
      </c>
      <c r="D222" s="2">
        <v>26.26</v>
      </c>
      <c r="E222" s="2" t="s">
        <v>514</v>
      </c>
    </row>
    <row r="223" spans="1:5" ht="14.25" customHeight="1" x14ac:dyDescent="0.3">
      <c r="A223" s="2" t="s">
        <v>519</v>
      </c>
      <c r="B223" s="2" t="s">
        <v>520</v>
      </c>
      <c r="C223" s="2" t="s">
        <v>49</v>
      </c>
      <c r="D223" s="2">
        <v>93.44</v>
      </c>
      <c r="E223" s="2" t="s">
        <v>514</v>
      </c>
    </row>
    <row r="224" spans="1:5" ht="14.25" customHeight="1" x14ac:dyDescent="0.3">
      <c r="A224" s="2" t="s">
        <v>521</v>
      </c>
      <c r="B224" s="2" t="s">
        <v>522</v>
      </c>
      <c r="C224" s="2" t="s">
        <v>29</v>
      </c>
      <c r="D224" s="2">
        <v>24.65</v>
      </c>
      <c r="E224" s="2" t="s">
        <v>514</v>
      </c>
    </row>
    <row r="225" spans="1:5" ht="14.25" customHeight="1" x14ac:dyDescent="0.3">
      <c r="A225" s="2" t="s">
        <v>523</v>
      </c>
      <c r="B225" s="2" t="s">
        <v>524</v>
      </c>
      <c r="C225" s="2" t="s">
        <v>49</v>
      </c>
      <c r="D225" s="2">
        <v>26.98</v>
      </c>
      <c r="E225" s="2" t="s">
        <v>525</v>
      </c>
    </row>
    <row r="226" spans="1:5" ht="14.25" customHeight="1" x14ac:dyDescent="0.3">
      <c r="A226" s="2" t="s">
        <v>526</v>
      </c>
      <c r="B226" s="2" t="s">
        <v>527</v>
      </c>
      <c r="C226" s="2" t="s">
        <v>17</v>
      </c>
      <c r="D226" s="2">
        <v>23.36</v>
      </c>
      <c r="E226" s="2" t="s">
        <v>525</v>
      </c>
    </row>
    <row r="227" spans="1:5" ht="14.25" customHeight="1" x14ac:dyDescent="0.3">
      <c r="A227" s="2" t="s">
        <v>528</v>
      </c>
      <c r="B227" s="2" t="s">
        <v>529</v>
      </c>
      <c r="C227" s="2" t="s">
        <v>81</v>
      </c>
      <c r="D227" s="2">
        <v>32.86</v>
      </c>
      <c r="E227" s="2" t="s">
        <v>525</v>
      </c>
    </row>
    <row r="228" spans="1:5" ht="14.25" customHeight="1" x14ac:dyDescent="0.3">
      <c r="A228" s="2" t="s">
        <v>530</v>
      </c>
      <c r="B228" s="2" t="s">
        <v>531</v>
      </c>
      <c r="C228" s="2" t="s">
        <v>177</v>
      </c>
      <c r="D228" s="2">
        <v>19.03</v>
      </c>
      <c r="E228" s="2" t="s">
        <v>525</v>
      </c>
    </row>
    <row r="229" spans="1:5" ht="14.25" customHeight="1" x14ac:dyDescent="0.3">
      <c r="A229" s="2" t="s">
        <v>532</v>
      </c>
      <c r="B229" s="2" t="s">
        <v>533</v>
      </c>
      <c r="C229" s="2" t="s">
        <v>21</v>
      </c>
      <c r="D229" s="2">
        <v>64.55</v>
      </c>
      <c r="E229" s="2" t="s">
        <v>534</v>
      </c>
    </row>
    <row r="230" spans="1:5" ht="14.25" customHeight="1" x14ac:dyDescent="0.3">
      <c r="A230" s="2" t="s">
        <v>535</v>
      </c>
      <c r="B230" s="2" t="s">
        <v>536</v>
      </c>
      <c r="C230" s="2" t="s">
        <v>7</v>
      </c>
      <c r="D230" s="2">
        <v>32.19</v>
      </c>
      <c r="E230" s="2" t="s">
        <v>534</v>
      </c>
    </row>
    <row r="231" spans="1:5" ht="14.25" customHeight="1" x14ac:dyDescent="0.3">
      <c r="A231" s="2" t="s">
        <v>537</v>
      </c>
      <c r="B231" s="2" t="s">
        <v>538</v>
      </c>
      <c r="C231" s="2" t="s">
        <v>7</v>
      </c>
      <c r="D231" s="2">
        <v>25</v>
      </c>
      <c r="E231" s="2" t="s">
        <v>539</v>
      </c>
    </row>
    <row r="232" spans="1:5" ht="14.25" customHeight="1" x14ac:dyDescent="0.3">
      <c r="A232" s="2" t="s">
        <v>540</v>
      </c>
      <c r="B232" s="2" t="s">
        <v>541</v>
      </c>
      <c r="C232" s="2" t="s">
        <v>81</v>
      </c>
      <c r="D232" s="2">
        <v>59.4</v>
      </c>
      <c r="E232" s="2" t="s">
        <v>539</v>
      </c>
    </row>
    <row r="233" spans="1:5" ht="14.25" customHeight="1" x14ac:dyDescent="0.3">
      <c r="A233" s="2" t="s">
        <v>542</v>
      </c>
      <c r="B233" s="2" t="s">
        <v>543</v>
      </c>
      <c r="C233" s="2" t="s">
        <v>49</v>
      </c>
      <c r="D233" s="2">
        <v>75.099999999999994</v>
      </c>
      <c r="E233" s="2" t="s">
        <v>539</v>
      </c>
    </row>
    <row r="234" spans="1:5" ht="14.25" customHeight="1" x14ac:dyDescent="0.3">
      <c r="A234" s="2" t="s">
        <v>544</v>
      </c>
      <c r="B234" s="2" t="s">
        <v>545</v>
      </c>
      <c r="C234" s="2" t="s">
        <v>29</v>
      </c>
      <c r="D234" s="2">
        <v>36.58</v>
      </c>
      <c r="E234" s="2" t="s">
        <v>539</v>
      </c>
    </row>
    <row r="235" spans="1:5" ht="14.25" customHeight="1" x14ac:dyDescent="0.3">
      <c r="A235" s="2" t="s">
        <v>546</v>
      </c>
      <c r="B235" s="2" t="s">
        <v>547</v>
      </c>
      <c r="C235" s="2" t="s">
        <v>13</v>
      </c>
      <c r="D235" s="2">
        <v>20.75</v>
      </c>
      <c r="E235" s="2" t="s">
        <v>221</v>
      </c>
    </row>
    <row r="236" spans="1:5" ht="14.25" customHeight="1" x14ac:dyDescent="0.3">
      <c r="A236" s="2" t="s">
        <v>548</v>
      </c>
      <c r="B236" s="2" t="s">
        <v>549</v>
      </c>
      <c r="C236" s="2" t="s">
        <v>13</v>
      </c>
      <c r="D236" s="2">
        <v>20.75</v>
      </c>
      <c r="E236" s="2" t="s">
        <v>221</v>
      </c>
    </row>
    <row r="237" spans="1:5" ht="14.25" customHeight="1" x14ac:dyDescent="0.3">
      <c r="A237" s="2" t="s">
        <v>550</v>
      </c>
      <c r="B237" s="2" t="s">
        <v>551</v>
      </c>
      <c r="C237" s="2" t="s">
        <v>13</v>
      </c>
      <c r="D237" s="2">
        <v>34.22</v>
      </c>
      <c r="E237" s="2" t="s">
        <v>221</v>
      </c>
    </row>
    <row r="238" spans="1:5" ht="14.25" customHeight="1" x14ac:dyDescent="0.3">
      <c r="A238" s="2" t="s">
        <v>552</v>
      </c>
      <c r="B238" s="2" t="s">
        <v>553</v>
      </c>
      <c r="C238" s="2" t="s">
        <v>25</v>
      </c>
      <c r="D238" s="2">
        <v>2.1800000000000002</v>
      </c>
      <c r="E238" s="2" t="s">
        <v>554</v>
      </c>
    </row>
    <row r="239" spans="1:5" ht="14.25" customHeight="1" x14ac:dyDescent="0.3">
      <c r="A239" s="2" t="s">
        <v>555</v>
      </c>
      <c r="B239" s="2" t="s">
        <v>556</v>
      </c>
      <c r="C239" s="2" t="s">
        <v>29</v>
      </c>
      <c r="D239" s="2">
        <v>26.73</v>
      </c>
      <c r="E239" s="2" t="s">
        <v>554</v>
      </c>
    </row>
    <row r="240" spans="1:5" ht="14.25" customHeight="1" x14ac:dyDescent="0.3">
      <c r="A240" s="2" t="s">
        <v>557</v>
      </c>
      <c r="B240" s="2" t="s">
        <v>558</v>
      </c>
      <c r="C240" s="2" t="s">
        <v>35</v>
      </c>
      <c r="D240" s="2">
        <v>79.16</v>
      </c>
      <c r="E240" s="2" t="s">
        <v>554</v>
      </c>
    </row>
    <row r="241" spans="1:7" ht="14.25" customHeight="1" x14ac:dyDescent="0.3">
      <c r="A241" s="2" t="s">
        <v>559</v>
      </c>
      <c r="B241" s="2" t="s">
        <v>560</v>
      </c>
      <c r="C241" s="2" t="s">
        <v>49</v>
      </c>
      <c r="D241" s="2">
        <v>51.74</v>
      </c>
      <c r="E241" s="2" t="s">
        <v>561</v>
      </c>
    </row>
    <row r="242" spans="1:7" ht="14.25" customHeight="1" x14ac:dyDescent="0.3">
      <c r="A242" s="2" t="s">
        <v>562</v>
      </c>
      <c r="B242" s="2" t="s">
        <v>563</v>
      </c>
      <c r="C242" s="2" t="s">
        <v>25</v>
      </c>
      <c r="D242" s="2">
        <v>5.6</v>
      </c>
      <c r="E242" s="2" t="s">
        <v>564</v>
      </c>
    </row>
    <row r="243" spans="1:7" ht="14.25" customHeight="1" x14ac:dyDescent="0.3">
      <c r="A243" s="2" t="s">
        <v>565</v>
      </c>
      <c r="B243" s="2" t="s">
        <v>566</v>
      </c>
      <c r="C243" s="2" t="s">
        <v>81</v>
      </c>
      <c r="D243" s="2">
        <v>16.899999999999999</v>
      </c>
      <c r="E243" s="2" t="s">
        <v>564</v>
      </c>
    </row>
    <row r="244" spans="1:7" ht="14.25" customHeight="1" x14ac:dyDescent="0.3">
      <c r="A244" s="2" t="s">
        <v>567</v>
      </c>
      <c r="B244" s="2" t="s">
        <v>568</v>
      </c>
      <c r="C244" s="2" t="s">
        <v>25</v>
      </c>
      <c r="D244" s="2">
        <v>6.22</v>
      </c>
      <c r="E244" s="2" t="s">
        <v>59</v>
      </c>
    </row>
    <row r="245" spans="1:7" ht="14.25" customHeight="1" x14ac:dyDescent="0.3">
      <c r="A245" s="2" t="s">
        <v>569</v>
      </c>
      <c r="B245" s="2" t="s">
        <v>570</v>
      </c>
      <c r="C245" s="2" t="s">
        <v>177</v>
      </c>
      <c r="D245" s="2">
        <v>34.36</v>
      </c>
      <c r="E245" s="2" t="s">
        <v>564</v>
      </c>
    </row>
    <row r="246" spans="1:7" ht="14.25" customHeight="1" x14ac:dyDescent="0.3">
      <c r="A246" s="2" t="s">
        <v>571</v>
      </c>
      <c r="B246" s="2" t="s">
        <v>572</v>
      </c>
      <c r="C246" s="2" t="s">
        <v>17</v>
      </c>
      <c r="D246" s="2">
        <v>28.03</v>
      </c>
      <c r="E246" s="2" t="s">
        <v>564</v>
      </c>
    </row>
    <row r="247" spans="1:7" ht="14.25" customHeight="1" x14ac:dyDescent="0.3">
      <c r="A247" s="2" t="s">
        <v>573</v>
      </c>
      <c r="B247" s="2" t="s">
        <v>574</v>
      </c>
      <c r="C247" s="2" t="s">
        <v>81</v>
      </c>
      <c r="D247" s="2">
        <v>32.15</v>
      </c>
      <c r="E247" s="2" t="s">
        <v>564</v>
      </c>
    </row>
    <row r="248" spans="1:7" ht="14.25" customHeight="1" x14ac:dyDescent="0.3">
      <c r="A248" s="2" t="s">
        <v>575</v>
      </c>
      <c r="B248" s="2" t="s">
        <v>576</v>
      </c>
      <c r="C248" s="2" t="s">
        <v>29</v>
      </c>
      <c r="D248" s="2">
        <v>37.130000000000003</v>
      </c>
      <c r="E248" s="2" t="s">
        <v>577</v>
      </c>
    </row>
    <row r="249" spans="1:7" ht="14.25" customHeight="1" x14ac:dyDescent="0.3">
      <c r="A249" s="2" t="s">
        <v>578</v>
      </c>
      <c r="B249" s="2" t="s">
        <v>579</v>
      </c>
      <c r="C249" s="2" t="s">
        <v>7</v>
      </c>
      <c r="D249" s="2">
        <v>22.31</v>
      </c>
      <c r="E249" s="2" t="s">
        <v>577</v>
      </c>
    </row>
    <row r="250" spans="1:7" ht="14.25" customHeight="1" x14ac:dyDescent="0.3">
      <c r="A250" s="2" t="s">
        <v>580</v>
      </c>
      <c r="B250" s="2" t="s">
        <v>581</v>
      </c>
      <c r="C250" s="2" t="s">
        <v>177</v>
      </c>
      <c r="D250" s="2">
        <v>24.03</v>
      </c>
      <c r="E250" s="2" t="s">
        <v>582</v>
      </c>
    </row>
    <row r="251" spans="1:7" ht="14.25" customHeight="1" x14ac:dyDescent="0.3">
      <c r="A251" s="2" t="s">
        <v>583</v>
      </c>
      <c r="B251" s="2" t="s">
        <v>584</v>
      </c>
      <c r="C251" s="2" t="s">
        <v>25</v>
      </c>
      <c r="D251" s="2">
        <v>6.18</v>
      </c>
      <c r="E251" s="2" t="s">
        <v>582</v>
      </c>
    </row>
    <row r="252" spans="1:7" ht="14.25" customHeight="1" x14ac:dyDescent="0.3">
      <c r="A252" s="2" t="s">
        <v>585</v>
      </c>
      <c r="B252" s="2" t="s">
        <v>586</v>
      </c>
      <c r="C252" s="2" t="s">
        <v>49</v>
      </c>
      <c r="D252" s="2">
        <v>70.39</v>
      </c>
      <c r="E252" s="2" t="s">
        <v>587</v>
      </c>
      <c r="G252">
        <f>SUM(D15:D462)</f>
        <v>19141.159999999971</v>
      </c>
    </row>
    <row r="253" spans="1:7" ht="14.25" customHeight="1" x14ac:dyDescent="0.3">
      <c r="A253" s="2" t="s">
        <v>588</v>
      </c>
      <c r="B253" s="2" t="s">
        <v>589</v>
      </c>
      <c r="C253" s="2" t="s">
        <v>13</v>
      </c>
      <c r="D253" s="2">
        <v>56.67</v>
      </c>
      <c r="E253" s="2" t="s">
        <v>587</v>
      </c>
    </row>
    <row r="254" spans="1:7" ht="14.25" customHeight="1" x14ac:dyDescent="0.3">
      <c r="A254" s="2" t="s">
        <v>590</v>
      </c>
      <c r="B254" s="2" t="s">
        <v>591</v>
      </c>
      <c r="C254" s="2" t="s">
        <v>177</v>
      </c>
      <c r="D254" s="2">
        <v>19.09</v>
      </c>
      <c r="E254" s="2" t="s">
        <v>587</v>
      </c>
    </row>
    <row r="255" spans="1:7" ht="14.25" customHeight="1" x14ac:dyDescent="0.3">
      <c r="A255" s="2" t="s">
        <v>592</v>
      </c>
      <c r="B255" s="2" t="s">
        <v>593</v>
      </c>
      <c r="C255" s="2" t="s">
        <v>81</v>
      </c>
      <c r="D255" s="2">
        <v>56.43</v>
      </c>
      <c r="E255" s="2" t="s">
        <v>587</v>
      </c>
    </row>
    <row r="256" spans="1:7" ht="14.25" customHeight="1" x14ac:dyDescent="0.3">
      <c r="A256" s="2" t="s">
        <v>594</v>
      </c>
      <c r="B256" s="2" t="s">
        <v>595</v>
      </c>
      <c r="C256" s="2" t="s">
        <v>49</v>
      </c>
      <c r="D256" s="2">
        <v>31.66</v>
      </c>
      <c r="E256" s="2" t="s">
        <v>587</v>
      </c>
    </row>
    <row r="257" spans="1:5" ht="14.25" customHeight="1" x14ac:dyDescent="0.3">
      <c r="A257" s="2" t="s">
        <v>596</v>
      </c>
      <c r="B257" s="2" t="s">
        <v>597</v>
      </c>
      <c r="C257" s="2" t="s">
        <v>49</v>
      </c>
      <c r="D257" s="2">
        <v>48.14</v>
      </c>
      <c r="E257" s="2" t="s">
        <v>587</v>
      </c>
    </row>
    <row r="258" spans="1:5" ht="14.25" customHeight="1" x14ac:dyDescent="0.3">
      <c r="A258" s="2" t="s">
        <v>598</v>
      </c>
      <c r="B258" s="2" t="s">
        <v>599</v>
      </c>
      <c r="C258" s="2" t="s">
        <v>7</v>
      </c>
      <c r="D258" s="2">
        <v>17.28</v>
      </c>
      <c r="E258" s="2" t="s">
        <v>600</v>
      </c>
    </row>
    <row r="259" spans="1:5" ht="14.25" customHeight="1" x14ac:dyDescent="0.3">
      <c r="A259" s="2" t="s">
        <v>601</v>
      </c>
      <c r="B259" s="2" t="s">
        <v>602</v>
      </c>
      <c r="C259" s="2" t="s">
        <v>7</v>
      </c>
      <c r="D259" s="2">
        <v>31.59</v>
      </c>
      <c r="E259" s="2" t="s">
        <v>600</v>
      </c>
    </row>
    <row r="260" spans="1:5" ht="14.25" customHeight="1" x14ac:dyDescent="0.3">
      <c r="A260" s="2" t="s">
        <v>603</v>
      </c>
      <c r="B260" s="2" t="s">
        <v>604</v>
      </c>
      <c r="C260" s="2" t="s">
        <v>7</v>
      </c>
      <c r="D260" s="2">
        <v>22.28</v>
      </c>
      <c r="E260" s="2" t="s">
        <v>600</v>
      </c>
    </row>
    <row r="261" spans="1:5" ht="14.25" customHeight="1" x14ac:dyDescent="0.3">
      <c r="A261" s="2" t="s">
        <v>605</v>
      </c>
      <c r="B261" s="2" t="s">
        <v>606</v>
      </c>
      <c r="C261" s="2" t="s">
        <v>7</v>
      </c>
      <c r="D261" s="2">
        <v>11.75</v>
      </c>
      <c r="E261" s="2" t="s">
        <v>607</v>
      </c>
    </row>
    <row r="262" spans="1:5" ht="14.25" customHeight="1" x14ac:dyDescent="0.3">
      <c r="A262" s="2" t="s">
        <v>608</v>
      </c>
      <c r="B262" s="2" t="s">
        <v>609</v>
      </c>
      <c r="C262" s="2" t="s">
        <v>7</v>
      </c>
      <c r="D262" s="2">
        <v>6.91</v>
      </c>
      <c r="E262" s="2" t="s">
        <v>607</v>
      </c>
    </row>
    <row r="263" spans="1:5" ht="14.25" customHeight="1" x14ac:dyDescent="0.3">
      <c r="A263" s="2" t="s">
        <v>610</v>
      </c>
      <c r="B263" s="2" t="s">
        <v>611</v>
      </c>
      <c r="C263" s="2" t="s">
        <v>7</v>
      </c>
      <c r="D263" s="2">
        <v>15.09</v>
      </c>
      <c r="E263" s="2" t="s">
        <v>8</v>
      </c>
    </row>
    <row r="264" spans="1:5" ht="14.25" customHeight="1" x14ac:dyDescent="0.3">
      <c r="A264" s="2" t="s">
        <v>612</v>
      </c>
      <c r="B264" s="2" t="s">
        <v>613</v>
      </c>
      <c r="C264" s="2" t="s">
        <v>21</v>
      </c>
      <c r="D264" s="2">
        <v>119.3</v>
      </c>
      <c r="E264" s="2" t="s">
        <v>564</v>
      </c>
    </row>
    <row r="265" spans="1:5" ht="14.25" customHeight="1" x14ac:dyDescent="0.3">
      <c r="A265" s="2" t="s">
        <v>614</v>
      </c>
      <c r="B265" s="2" t="s">
        <v>611</v>
      </c>
      <c r="C265" s="2" t="s">
        <v>7</v>
      </c>
      <c r="D265" s="2">
        <v>32.26</v>
      </c>
      <c r="E265" s="2" t="s">
        <v>615</v>
      </c>
    </row>
    <row r="266" spans="1:5" ht="14.25" customHeight="1" x14ac:dyDescent="0.3">
      <c r="A266" s="2" t="s">
        <v>616</v>
      </c>
      <c r="B266" s="2" t="s">
        <v>617</v>
      </c>
      <c r="C266" s="2" t="s">
        <v>7</v>
      </c>
      <c r="D266" s="2">
        <v>22.24</v>
      </c>
      <c r="E266" s="2" t="s">
        <v>615</v>
      </c>
    </row>
    <row r="267" spans="1:5" ht="14.25" customHeight="1" x14ac:dyDescent="0.3">
      <c r="A267" s="2" t="s">
        <v>618</v>
      </c>
      <c r="B267" s="2" t="s">
        <v>619</v>
      </c>
      <c r="C267" s="2" t="s">
        <v>7</v>
      </c>
      <c r="D267" s="2">
        <v>14.85</v>
      </c>
      <c r="E267" s="2" t="s">
        <v>600</v>
      </c>
    </row>
    <row r="268" spans="1:5" ht="14.25" customHeight="1" x14ac:dyDescent="0.3">
      <c r="A268" s="2" t="s">
        <v>620</v>
      </c>
      <c r="B268" s="2" t="s">
        <v>611</v>
      </c>
      <c r="C268" s="2" t="s">
        <v>7</v>
      </c>
      <c r="D268" s="2">
        <v>15.49</v>
      </c>
      <c r="E268" s="2" t="s">
        <v>615</v>
      </c>
    </row>
    <row r="269" spans="1:5" ht="14.25" customHeight="1" x14ac:dyDescent="0.3">
      <c r="A269" s="2" t="s">
        <v>621</v>
      </c>
      <c r="B269" s="2" t="s">
        <v>622</v>
      </c>
      <c r="C269" s="2" t="s">
        <v>7</v>
      </c>
      <c r="D269" s="2">
        <v>16.11</v>
      </c>
      <c r="E269" s="2" t="s">
        <v>623</v>
      </c>
    </row>
    <row r="270" spans="1:5" ht="14.25" customHeight="1" x14ac:dyDescent="0.3">
      <c r="A270" s="2" t="s">
        <v>624</v>
      </c>
      <c r="B270" s="2" t="s">
        <v>611</v>
      </c>
      <c r="C270" s="2" t="s">
        <v>7</v>
      </c>
      <c r="D270" s="2">
        <v>26.2</v>
      </c>
      <c r="E270" s="2" t="s">
        <v>8</v>
      </c>
    </row>
    <row r="271" spans="1:5" ht="14.25" customHeight="1" x14ac:dyDescent="0.3">
      <c r="A271" s="2" t="s">
        <v>625</v>
      </c>
      <c r="B271" s="2" t="s">
        <v>626</v>
      </c>
      <c r="C271" s="2" t="s">
        <v>7</v>
      </c>
      <c r="D271" s="2">
        <v>18.22</v>
      </c>
      <c r="E271" s="2" t="s">
        <v>627</v>
      </c>
    </row>
    <row r="272" spans="1:5" ht="14.25" customHeight="1" x14ac:dyDescent="0.3">
      <c r="A272" s="2" t="s">
        <v>628</v>
      </c>
      <c r="B272" s="2" t="s">
        <v>629</v>
      </c>
      <c r="C272" s="2" t="s">
        <v>7</v>
      </c>
      <c r="D272" s="2">
        <v>19.37</v>
      </c>
      <c r="E272" s="2" t="s">
        <v>627</v>
      </c>
    </row>
    <row r="273" spans="1:5" ht="14.25" customHeight="1" x14ac:dyDescent="0.3">
      <c r="A273" s="2" t="s">
        <v>630</v>
      </c>
      <c r="B273" s="2" t="s">
        <v>631</v>
      </c>
      <c r="C273" s="2" t="s">
        <v>7</v>
      </c>
      <c r="D273" s="2">
        <v>13.25</v>
      </c>
      <c r="E273" s="2" t="s">
        <v>627</v>
      </c>
    </row>
    <row r="274" spans="1:5" ht="14.25" customHeight="1" x14ac:dyDescent="0.3">
      <c r="A274" s="2" t="s">
        <v>632</v>
      </c>
      <c r="B274" s="2" t="s">
        <v>633</v>
      </c>
      <c r="C274" s="2" t="s">
        <v>13</v>
      </c>
      <c r="D274" s="2">
        <v>47.71</v>
      </c>
      <c r="E274" s="2" t="s">
        <v>627</v>
      </c>
    </row>
    <row r="275" spans="1:5" ht="14.25" customHeight="1" x14ac:dyDescent="0.3">
      <c r="A275" s="2" t="s">
        <v>634</v>
      </c>
      <c r="B275" s="2" t="s">
        <v>635</v>
      </c>
      <c r="C275" s="2" t="s">
        <v>13</v>
      </c>
      <c r="D275" s="2">
        <v>36.49</v>
      </c>
      <c r="E275" s="2" t="s">
        <v>627</v>
      </c>
    </row>
    <row r="276" spans="1:5" ht="14.25" customHeight="1" x14ac:dyDescent="0.3">
      <c r="A276" s="2" t="s">
        <v>636</v>
      </c>
      <c r="B276" s="2" t="s">
        <v>637</v>
      </c>
      <c r="C276" s="2" t="s">
        <v>13</v>
      </c>
      <c r="D276" s="2">
        <v>27.32</v>
      </c>
      <c r="E276" s="2" t="s">
        <v>627</v>
      </c>
    </row>
    <row r="277" spans="1:5" ht="14.25" customHeight="1" x14ac:dyDescent="0.3">
      <c r="A277" s="2" t="s">
        <v>638</v>
      </c>
      <c r="B277" s="2" t="s">
        <v>639</v>
      </c>
      <c r="C277" s="2" t="s">
        <v>13</v>
      </c>
      <c r="D277" s="2">
        <v>44.13</v>
      </c>
      <c r="E277" s="2" t="s">
        <v>627</v>
      </c>
    </row>
    <row r="278" spans="1:5" ht="14.25" customHeight="1" x14ac:dyDescent="0.3">
      <c r="A278" s="2" t="s">
        <v>640</v>
      </c>
      <c r="B278" s="2" t="s">
        <v>641</v>
      </c>
      <c r="C278" s="2" t="s">
        <v>13</v>
      </c>
      <c r="D278" s="2">
        <v>37.99</v>
      </c>
      <c r="E278" s="2" t="s">
        <v>627</v>
      </c>
    </row>
    <row r="279" spans="1:5" ht="14.25" customHeight="1" x14ac:dyDescent="0.3">
      <c r="A279" s="2" t="s">
        <v>642</v>
      </c>
      <c r="B279" s="2" t="s">
        <v>643</v>
      </c>
      <c r="C279" s="2" t="s">
        <v>13</v>
      </c>
      <c r="D279" s="2">
        <v>54.17</v>
      </c>
      <c r="E279" s="2" t="s">
        <v>627</v>
      </c>
    </row>
    <row r="280" spans="1:5" ht="14.25" customHeight="1" x14ac:dyDescent="0.3">
      <c r="A280" s="2" t="s">
        <v>644</v>
      </c>
      <c r="B280" s="2" t="s">
        <v>645</v>
      </c>
      <c r="C280" s="2" t="s">
        <v>13</v>
      </c>
      <c r="D280" s="2">
        <v>18.5</v>
      </c>
      <c r="E280" s="2" t="s">
        <v>221</v>
      </c>
    </row>
    <row r="281" spans="1:5" ht="14.25" customHeight="1" x14ac:dyDescent="0.3">
      <c r="A281" s="2" t="s">
        <v>646</v>
      </c>
      <c r="B281" s="2" t="s">
        <v>647</v>
      </c>
      <c r="C281" s="2" t="s">
        <v>13</v>
      </c>
      <c r="D281" s="2">
        <v>20.75</v>
      </c>
      <c r="E281" s="2" t="s">
        <v>221</v>
      </c>
    </row>
    <row r="282" spans="1:5" ht="14.25" customHeight="1" x14ac:dyDescent="0.3">
      <c r="A282" s="2" t="s">
        <v>648</v>
      </c>
      <c r="B282" s="2" t="s">
        <v>649</v>
      </c>
      <c r="C282" s="2" t="s">
        <v>13</v>
      </c>
      <c r="D282" s="2">
        <v>42.21</v>
      </c>
      <c r="E282" s="2" t="s">
        <v>627</v>
      </c>
    </row>
    <row r="283" spans="1:5" ht="14.25" customHeight="1" x14ac:dyDescent="0.3">
      <c r="A283" s="2" t="s">
        <v>650</v>
      </c>
      <c r="B283" s="2" t="s">
        <v>651</v>
      </c>
      <c r="C283" s="2" t="s">
        <v>13</v>
      </c>
      <c r="D283" s="2">
        <v>32.76</v>
      </c>
      <c r="E283" s="2" t="s">
        <v>627</v>
      </c>
    </row>
    <row r="284" spans="1:5" ht="14.25" customHeight="1" x14ac:dyDescent="0.3">
      <c r="A284" s="2" t="s">
        <v>652</v>
      </c>
      <c r="B284" s="2" t="s">
        <v>653</v>
      </c>
      <c r="C284" s="2" t="s">
        <v>13</v>
      </c>
      <c r="D284" s="2">
        <v>32.76</v>
      </c>
      <c r="E284" s="2" t="s">
        <v>627</v>
      </c>
    </row>
    <row r="285" spans="1:5" ht="14.25" customHeight="1" x14ac:dyDescent="0.3">
      <c r="A285" s="2" t="s">
        <v>654</v>
      </c>
      <c r="B285" s="2" t="s">
        <v>655</v>
      </c>
      <c r="C285" s="2" t="s">
        <v>13</v>
      </c>
      <c r="D285" s="2">
        <v>33.89</v>
      </c>
      <c r="E285" s="2" t="s">
        <v>627</v>
      </c>
    </row>
    <row r="286" spans="1:5" ht="14.25" customHeight="1" x14ac:dyDescent="0.3">
      <c r="A286" s="2" t="s">
        <v>656</v>
      </c>
      <c r="B286" s="2" t="s">
        <v>657</v>
      </c>
      <c r="C286" s="2" t="s">
        <v>13</v>
      </c>
      <c r="D286" s="2">
        <v>43.67</v>
      </c>
      <c r="E286" s="2" t="s">
        <v>627</v>
      </c>
    </row>
    <row r="287" spans="1:5" ht="14.25" customHeight="1" x14ac:dyDescent="0.3">
      <c r="A287" s="2" t="s">
        <v>658</v>
      </c>
      <c r="B287" s="2" t="s">
        <v>659</v>
      </c>
      <c r="C287" s="2" t="s">
        <v>13</v>
      </c>
      <c r="D287" s="2">
        <v>54.51</v>
      </c>
      <c r="E287" s="2" t="s">
        <v>627</v>
      </c>
    </row>
    <row r="288" spans="1:5" ht="14.25" customHeight="1" x14ac:dyDescent="0.3">
      <c r="A288" s="2" t="s">
        <v>660</v>
      </c>
      <c r="B288" s="2" t="s">
        <v>661</v>
      </c>
      <c r="C288" s="2" t="s">
        <v>13</v>
      </c>
      <c r="D288" s="2">
        <v>43.67</v>
      </c>
      <c r="E288" s="2" t="s">
        <v>627</v>
      </c>
    </row>
    <row r="289" spans="1:5" ht="14.25" customHeight="1" x14ac:dyDescent="0.3">
      <c r="A289" s="2" t="s">
        <v>662</v>
      </c>
      <c r="B289" s="2" t="s">
        <v>663</v>
      </c>
      <c r="C289" s="2" t="s">
        <v>13</v>
      </c>
      <c r="D289" s="2">
        <v>54.12</v>
      </c>
      <c r="E289" s="2" t="s">
        <v>627</v>
      </c>
    </row>
    <row r="290" spans="1:5" ht="14.25" customHeight="1" x14ac:dyDescent="0.3">
      <c r="A290" s="2" t="s">
        <v>664</v>
      </c>
      <c r="B290" s="2" t="s">
        <v>665</v>
      </c>
      <c r="C290" s="2" t="s">
        <v>13</v>
      </c>
      <c r="D290" s="2">
        <v>53.17</v>
      </c>
      <c r="E290" s="2" t="s">
        <v>221</v>
      </c>
    </row>
    <row r="291" spans="1:5" ht="14.25" customHeight="1" x14ac:dyDescent="0.3">
      <c r="A291" s="2" t="s">
        <v>666</v>
      </c>
      <c r="B291" s="2" t="s">
        <v>667</v>
      </c>
      <c r="C291" s="2" t="s">
        <v>13</v>
      </c>
      <c r="D291" s="2">
        <v>53.17</v>
      </c>
      <c r="E291" s="2" t="s">
        <v>221</v>
      </c>
    </row>
    <row r="292" spans="1:5" ht="14.25" customHeight="1" x14ac:dyDescent="0.3">
      <c r="A292" s="2" t="s">
        <v>668</v>
      </c>
      <c r="B292" s="2" t="s">
        <v>669</v>
      </c>
      <c r="C292" s="2" t="s">
        <v>17</v>
      </c>
      <c r="D292" s="2">
        <v>94.59</v>
      </c>
      <c r="E292" s="2" t="s">
        <v>670</v>
      </c>
    </row>
    <row r="293" spans="1:5" ht="14.25" customHeight="1" x14ac:dyDescent="0.3">
      <c r="A293" s="2" t="s">
        <v>671</v>
      </c>
      <c r="B293" s="2" t="s">
        <v>672</v>
      </c>
      <c r="C293" s="2" t="s">
        <v>17</v>
      </c>
      <c r="D293" s="2">
        <v>47.75</v>
      </c>
      <c r="E293" s="2" t="s">
        <v>122</v>
      </c>
    </row>
    <row r="294" spans="1:5" ht="14.25" customHeight="1" x14ac:dyDescent="0.3">
      <c r="A294" s="2" t="s">
        <v>673</v>
      </c>
      <c r="B294" s="2" t="s">
        <v>674</v>
      </c>
      <c r="C294" s="2" t="s">
        <v>17</v>
      </c>
      <c r="D294" s="2">
        <v>32.54</v>
      </c>
      <c r="E294" s="2" t="s">
        <v>670</v>
      </c>
    </row>
    <row r="295" spans="1:5" ht="14.25" customHeight="1" x14ac:dyDescent="0.3">
      <c r="A295" s="2" t="s">
        <v>675</v>
      </c>
      <c r="B295" s="2" t="s">
        <v>676</v>
      </c>
      <c r="C295" s="2" t="s">
        <v>17</v>
      </c>
      <c r="D295" s="2">
        <v>110.9</v>
      </c>
      <c r="E295" s="2" t="s">
        <v>670</v>
      </c>
    </row>
    <row r="296" spans="1:5" ht="14.25" customHeight="1" x14ac:dyDescent="0.3">
      <c r="A296" s="2" t="s">
        <v>677</v>
      </c>
      <c r="B296" s="2" t="s">
        <v>678</v>
      </c>
      <c r="C296" s="2" t="s">
        <v>17</v>
      </c>
      <c r="D296" s="2">
        <v>63.5</v>
      </c>
      <c r="E296" s="2" t="s">
        <v>122</v>
      </c>
    </row>
    <row r="297" spans="1:5" ht="14.25" customHeight="1" x14ac:dyDescent="0.3">
      <c r="A297" s="2" t="s">
        <v>679</v>
      </c>
      <c r="B297" s="2" t="s">
        <v>680</v>
      </c>
      <c r="C297" s="2" t="s">
        <v>17</v>
      </c>
      <c r="D297" s="2">
        <v>49.85</v>
      </c>
      <c r="E297" s="2" t="s">
        <v>122</v>
      </c>
    </row>
    <row r="298" spans="1:5" ht="14.25" customHeight="1" x14ac:dyDescent="0.3">
      <c r="A298" s="2" t="s">
        <v>681</v>
      </c>
      <c r="B298" s="2" t="s">
        <v>680</v>
      </c>
      <c r="C298" s="2" t="s">
        <v>17</v>
      </c>
      <c r="D298" s="2">
        <v>97.88</v>
      </c>
      <c r="E298" s="2" t="s">
        <v>122</v>
      </c>
    </row>
    <row r="299" spans="1:5" ht="14.25" customHeight="1" x14ac:dyDescent="0.3">
      <c r="A299" s="2" t="s">
        <v>682</v>
      </c>
      <c r="B299" s="2" t="s">
        <v>683</v>
      </c>
      <c r="C299" s="2" t="s">
        <v>17</v>
      </c>
      <c r="D299" s="2">
        <v>63.55</v>
      </c>
      <c r="E299" s="2" t="s">
        <v>122</v>
      </c>
    </row>
    <row r="300" spans="1:5" ht="14.25" customHeight="1" x14ac:dyDescent="0.3">
      <c r="A300" s="2" t="s">
        <v>684</v>
      </c>
      <c r="B300" s="2" t="s">
        <v>680</v>
      </c>
      <c r="C300" s="2" t="s">
        <v>17</v>
      </c>
      <c r="D300" s="2">
        <v>101</v>
      </c>
      <c r="E300" s="2" t="s">
        <v>670</v>
      </c>
    </row>
    <row r="301" spans="1:5" ht="14.25" customHeight="1" x14ac:dyDescent="0.3">
      <c r="A301" s="2" t="s">
        <v>685</v>
      </c>
      <c r="B301" s="2" t="s">
        <v>686</v>
      </c>
      <c r="C301" s="2" t="s">
        <v>17</v>
      </c>
      <c r="D301" s="2">
        <v>62.26</v>
      </c>
      <c r="E301" s="2" t="s">
        <v>670</v>
      </c>
    </row>
    <row r="302" spans="1:5" ht="14.25" customHeight="1" x14ac:dyDescent="0.3">
      <c r="A302" s="2" t="s">
        <v>687</v>
      </c>
      <c r="B302" s="2" t="s">
        <v>665</v>
      </c>
      <c r="C302" s="2" t="s">
        <v>13</v>
      </c>
      <c r="D302" s="2">
        <v>53.17</v>
      </c>
      <c r="E302" s="2" t="s">
        <v>221</v>
      </c>
    </row>
    <row r="303" spans="1:5" ht="14.25" customHeight="1" x14ac:dyDescent="0.3">
      <c r="A303" s="2" t="s">
        <v>688</v>
      </c>
      <c r="B303" s="2" t="s">
        <v>667</v>
      </c>
      <c r="C303" s="2" t="s">
        <v>13</v>
      </c>
      <c r="D303" s="2">
        <v>53.17</v>
      </c>
      <c r="E303" s="2" t="s">
        <v>221</v>
      </c>
    </row>
    <row r="304" spans="1:5" ht="14.25" customHeight="1" x14ac:dyDescent="0.3">
      <c r="A304" s="2" t="s">
        <v>689</v>
      </c>
      <c r="B304" s="2" t="s">
        <v>690</v>
      </c>
      <c r="C304" s="2" t="s">
        <v>17</v>
      </c>
      <c r="D304" s="2">
        <v>66.33</v>
      </c>
      <c r="E304" s="2" t="s">
        <v>122</v>
      </c>
    </row>
    <row r="305" spans="1:5" ht="14.25" customHeight="1" x14ac:dyDescent="0.3">
      <c r="A305" s="2" t="s">
        <v>691</v>
      </c>
      <c r="B305" s="2" t="s">
        <v>686</v>
      </c>
      <c r="C305" s="2" t="s">
        <v>17</v>
      </c>
      <c r="D305" s="2">
        <v>115.55</v>
      </c>
      <c r="E305" s="2" t="s">
        <v>670</v>
      </c>
    </row>
    <row r="306" spans="1:5" ht="14.25" customHeight="1" x14ac:dyDescent="0.3">
      <c r="A306" s="2" t="s">
        <v>692</v>
      </c>
      <c r="B306" s="2" t="s">
        <v>693</v>
      </c>
      <c r="C306" s="2" t="s">
        <v>17</v>
      </c>
      <c r="D306" s="2">
        <v>29.36</v>
      </c>
      <c r="E306" s="2" t="s">
        <v>122</v>
      </c>
    </row>
    <row r="307" spans="1:5" ht="14.25" customHeight="1" x14ac:dyDescent="0.3">
      <c r="A307" s="2" t="s">
        <v>694</v>
      </c>
      <c r="B307" s="2" t="s">
        <v>686</v>
      </c>
      <c r="C307" s="2" t="s">
        <v>17</v>
      </c>
      <c r="D307" s="2">
        <v>92.77</v>
      </c>
      <c r="E307" s="2" t="s">
        <v>670</v>
      </c>
    </row>
    <row r="308" spans="1:5" ht="14.25" customHeight="1" x14ac:dyDescent="0.3">
      <c r="A308" s="2" t="s">
        <v>695</v>
      </c>
      <c r="B308" s="2" t="s">
        <v>696</v>
      </c>
      <c r="C308" s="2" t="s">
        <v>17</v>
      </c>
      <c r="D308" s="2">
        <v>63.84</v>
      </c>
      <c r="E308" s="2" t="s">
        <v>697</v>
      </c>
    </row>
    <row r="309" spans="1:5" ht="14.25" customHeight="1" x14ac:dyDescent="0.3">
      <c r="A309" s="2" t="s">
        <v>698</v>
      </c>
      <c r="B309" s="2" t="s">
        <v>699</v>
      </c>
      <c r="C309" s="2" t="s">
        <v>17</v>
      </c>
      <c r="D309" s="2">
        <v>63.84</v>
      </c>
      <c r="E309" s="2" t="s">
        <v>697</v>
      </c>
    </row>
    <row r="310" spans="1:5" ht="14.25" customHeight="1" x14ac:dyDescent="0.3">
      <c r="A310" s="2" t="s">
        <v>700</v>
      </c>
      <c r="B310" s="2" t="s">
        <v>701</v>
      </c>
      <c r="C310" s="2" t="s">
        <v>17</v>
      </c>
      <c r="D310" s="2">
        <v>63.84</v>
      </c>
      <c r="E310" s="2" t="s">
        <v>697</v>
      </c>
    </row>
    <row r="311" spans="1:5" ht="14.25" customHeight="1" x14ac:dyDescent="0.3">
      <c r="A311" s="2" t="s">
        <v>702</v>
      </c>
      <c r="B311" s="2" t="s">
        <v>703</v>
      </c>
      <c r="C311" s="2" t="s">
        <v>17</v>
      </c>
      <c r="D311" s="2">
        <v>63.84</v>
      </c>
      <c r="E311" s="2" t="s">
        <v>697</v>
      </c>
    </row>
    <row r="312" spans="1:5" ht="14.25" customHeight="1" x14ac:dyDescent="0.3">
      <c r="A312" s="2" t="s">
        <v>704</v>
      </c>
      <c r="B312" s="2" t="s">
        <v>705</v>
      </c>
      <c r="C312" s="2" t="s">
        <v>17</v>
      </c>
      <c r="D312" s="2">
        <v>113.45</v>
      </c>
      <c r="E312" s="2" t="s">
        <v>697</v>
      </c>
    </row>
    <row r="313" spans="1:5" ht="14.25" customHeight="1" x14ac:dyDescent="0.3">
      <c r="A313" s="2" t="s">
        <v>706</v>
      </c>
      <c r="B313" s="2" t="s">
        <v>703</v>
      </c>
      <c r="C313" s="2" t="s">
        <v>17</v>
      </c>
      <c r="D313" s="2">
        <v>63.84</v>
      </c>
      <c r="E313" s="2" t="s">
        <v>697</v>
      </c>
    </row>
    <row r="314" spans="1:5" ht="14.25" customHeight="1" x14ac:dyDescent="0.3">
      <c r="A314" s="2" t="s">
        <v>707</v>
      </c>
      <c r="B314" s="2" t="s">
        <v>708</v>
      </c>
      <c r="C314" s="2" t="s">
        <v>17</v>
      </c>
      <c r="D314" s="2">
        <v>63.84</v>
      </c>
      <c r="E314" s="2" t="s">
        <v>697</v>
      </c>
    </row>
    <row r="315" spans="1:5" ht="14.25" customHeight="1" x14ac:dyDescent="0.3">
      <c r="A315" s="2" t="s">
        <v>709</v>
      </c>
      <c r="B315" s="2" t="s">
        <v>699</v>
      </c>
      <c r="C315" s="2" t="s">
        <v>17</v>
      </c>
      <c r="D315" s="2">
        <v>63.84</v>
      </c>
      <c r="E315" s="2" t="s">
        <v>697</v>
      </c>
    </row>
    <row r="316" spans="1:5" ht="14.25" customHeight="1" x14ac:dyDescent="0.3">
      <c r="A316" s="2" t="s">
        <v>710</v>
      </c>
      <c r="B316" s="2" t="s">
        <v>711</v>
      </c>
      <c r="C316" s="2" t="s">
        <v>17</v>
      </c>
      <c r="D316" s="2">
        <v>36.57</v>
      </c>
      <c r="E316" s="2" t="s">
        <v>697</v>
      </c>
    </row>
    <row r="317" spans="1:5" ht="14.25" customHeight="1" x14ac:dyDescent="0.3">
      <c r="A317" s="2" t="s">
        <v>712</v>
      </c>
      <c r="B317" s="2" t="s">
        <v>713</v>
      </c>
      <c r="C317" s="2" t="s">
        <v>17</v>
      </c>
      <c r="D317" s="2">
        <v>36.57</v>
      </c>
      <c r="E317" s="2" t="s">
        <v>697</v>
      </c>
    </row>
    <row r="318" spans="1:5" ht="14.25" customHeight="1" x14ac:dyDescent="0.3">
      <c r="A318" s="2" t="s">
        <v>714</v>
      </c>
      <c r="B318" s="2" t="s">
        <v>715</v>
      </c>
      <c r="C318" s="2" t="s">
        <v>177</v>
      </c>
      <c r="D318" s="2">
        <v>19.89</v>
      </c>
      <c r="E318" s="2" t="s">
        <v>697</v>
      </c>
    </row>
    <row r="319" spans="1:5" ht="14.25" customHeight="1" x14ac:dyDescent="0.3">
      <c r="A319" s="2" t="s">
        <v>716</v>
      </c>
      <c r="B319" s="2" t="s">
        <v>717</v>
      </c>
      <c r="C319" s="2" t="s">
        <v>177</v>
      </c>
      <c r="D319" s="2">
        <v>27.01</v>
      </c>
      <c r="E319" s="2" t="s">
        <v>697</v>
      </c>
    </row>
    <row r="320" spans="1:5" ht="14.25" customHeight="1" x14ac:dyDescent="0.3">
      <c r="A320" s="2" t="s">
        <v>718</v>
      </c>
      <c r="B320" s="2" t="s">
        <v>719</v>
      </c>
      <c r="C320" s="2" t="s">
        <v>177</v>
      </c>
      <c r="D320" s="2">
        <v>24.92</v>
      </c>
      <c r="E320" s="2" t="s">
        <v>697</v>
      </c>
    </row>
    <row r="321" spans="1:5" ht="14.25" customHeight="1" x14ac:dyDescent="0.3">
      <c r="A321" s="2" t="s">
        <v>720</v>
      </c>
      <c r="B321" s="2" t="s">
        <v>721</v>
      </c>
      <c r="C321" s="2" t="s">
        <v>177</v>
      </c>
      <c r="D321" s="2">
        <v>33.89</v>
      </c>
      <c r="E321" s="2" t="s">
        <v>697</v>
      </c>
    </row>
    <row r="322" spans="1:5" ht="14.25" customHeight="1" x14ac:dyDescent="0.3">
      <c r="A322" s="2" t="s">
        <v>722</v>
      </c>
      <c r="B322" s="2" t="s">
        <v>723</v>
      </c>
      <c r="C322" s="2" t="s">
        <v>177</v>
      </c>
      <c r="D322" s="2">
        <v>32.33</v>
      </c>
      <c r="E322" s="2" t="s">
        <v>697</v>
      </c>
    </row>
    <row r="323" spans="1:5" ht="14.25" customHeight="1" x14ac:dyDescent="0.3">
      <c r="A323" s="2" t="s">
        <v>724</v>
      </c>
      <c r="B323" s="2" t="s">
        <v>725</v>
      </c>
      <c r="C323" s="2" t="s">
        <v>177</v>
      </c>
      <c r="D323" s="2">
        <v>13.54</v>
      </c>
      <c r="E323" s="2" t="s">
        <v>697</v>
      </c>
    </row>
    <row r="324" spans="1:5" ht="14.25" customHeight="1" x14ac:dyDescent="0.3">
      <c r="A324" s="2" t="s">
        <v>726</v>
      </c>
      <c r="B324" s="2" t="s">
        <v>727</v>
      </c>
      <c r="C324" s="2" t="s">
        <v>177</v>
      </c>
      <c r="D324" s="2">
        <v>21.81</v>
      </c>
      <c r="E324" s="2" t="s">
        <v>697</v>
      </c>
    </row>
    <row r="325" spans="1:5" ht="14.25" customHeight="1" x14ac:dyDescent="0.3">
      <c r="A325" s="2" t="s">
        <v>728</v>
      </c>
      <c r="B325" s="2" t="s">
        <v>729</v>
      </c>
      <c r="C325" s="2" t="s">
        <v>177</v>
      </c>
      <c r="D325" s="2">
        <v>33.89</v>
      </c>
      <c r="E325" s="2" t="s">
        <v>697</v>
      </c>
    </row>
    <row r="326" spans="1:5" ht="14.25" customHeight="1" x14ac:dyDescent="0.3">
      <c r="A326" s="2" t="s">
        <v>730</v>
      </c>
      <c r="B326" s="2" t="s">
        <v>731</v>
      </c>
      <c r="C326" s="2" t="s">
        <v>177</v>
      </c>
      <c r="D326" s="2">
        <v>21.49</v>
      </c>
      <c r="E326" s="2" t="s">
        <v>697</v>
      </c>
    </row>
    <row r="327" spans="1:5" ht="14.25" customHeight="1" x14ac:dyDescent="0.3">
      <c r="A327" s="2" t="s">
        <v>732</v>
      </c>
      <c r="B327" s="2" t="s">
        <v>733</v>
      </c>
      <c r="C327" s="2" t="s">
        <v>177</v>
      </c>
      <c r="D327" s="2">
        <v>32.71</v>
      </c>
      <c r="E327" s="2" t="s">
        <v>697</v>
      </c>
    </row>
    <row r="328" spans="1:5" ht="14.25" customHeight="1" x14ac:dyDescent="0.3">
      <c r="A328" s="2" t="s">
        <v>734</v>
      </c>
      <c r="B328" s="2" t="s">
        <v>735</v>
      </c>
      <c r="C328" s="2" t="s">
        <v>177</v>
      </c>
      <c r="D328" s="2">
        <v>24.26</v>
      </c>
      <c r="E328" s="2" t="s">
        <v>697</v>
      </c>
    </row>
    <row r="329" spans="1:5" ht="14.25" customHeight="1" x14ac:dyDescent="0.3">
      <c r="A329" s="2" t="s">
        <v>736</v>
      </c>
      <c r="B329" s="2" t="s">
        <v>737</v>
      </c>
      <c r="C329" s="2" t="s">
        <v>177</v>
      </c>
      <c r="D329" s="2">
        <v>32.89</v>
      </c>
      <c r="E329" s="2" t="s">
        <v>697</v>
      </c>
    </row>
    <row r="330" spans="1:5" ht="14.25" customHeight="1" x14ac:dyDescent="0.3">
      <c r="A330" s="2" t="s">
        <v>738</v>
      </c>
      <c r="B330" s="2" t="s">
        <v>739</v>
      </c>
      <c r="C330" s="2" t="s">
        <v>21</v>
      </c>
      <c r="D330" s="2">
        <v>34.35</v>
      </c>
      <c r="E330" s="2" t="s">
        <v>133</v>
      </c>
    </row>
    <row r="331" spans="1:5" ht="14.25" customHeight="1" x14ac:dyDescent="0.3">
      <c r="A331" s="2" t="s">
        <v>740</v>
      </c>
      <c r="B331" s="2" t="s">
        <v>741</v>
      </c>
      <c r="C331" s="2" t="s">
        <v>21</v>
      </c>
      <c r="D331" s="2">
        <v>49.8</v>
      </c>
      <c r="E331" s="2" t="s">
        <v>133</v>
      </c>
    </row>
    <row r="332" spans="1:5" ht="14.25" customHeight="1" x14ac:dyDescent="0.3">
      <c r="A332" s="2" t="s">
        <v>742</v>
      </c>
      <c r="B332" s="2" t="s">
        <v>743</v>
      </c>
      <c r="C332" s="2" t="s">
        <v>177</v>
      </c>
      <c r="D332" s="2">
        <v>32.89</v>
      </c>
      <c r="E332" s="2" t="s">
        <v>697</v>
      </c>
    </row>
    <row r="333" spans="1:5" ht="14.25" customHeight="1" x14ac:dyDescent="0.3">
      <c r="A333" s="2" t="s">
        <v>744</v>
      </c>
      <c r="B333" s="2" t="s">
        <v>745</v>
      </c>
      <c r="C333" s="2" t="s">
        <v>177</v>
      </c>
      <c r="D333" s="2">
        <v>32.99</v>
      </c>
      <c r="E333" s="2" t="s">
        <v>697</v>
      </c>
    </row>
    <row r="334" spans="1:5" ht="14.25" customHeight="1" x14ac:dyDescent="0.3">
      <c r="A334" s="2" t="s">
        <v>746</v>
      </c>
      <c r="B334" s="2" t="s">
        <v>747</v>
      </c>
      <c r="C334" s="2" t="s">
        <v>177</v>
      </c>
      <c r="D334" s="2">
        <v>32.299999999999997</v>
      </c>
      <c r="E334" s="2" t="s">
        <v>697</v>
      </c>
    </row>
    <row r="335" spans="1:5" ht="14.25" customHeight="1" x14ac:dyDescent="0.3">
      <c r="A335" s="2" t="s">
        <v>748</v>
      </c>
      <c r="B335" s="2" t="s">
        <v>749</v>
      </c>
      <c r="C335" s="2" t="s">
        <v>35</v>
      </c>
      <c r="D335" s="2">
        <v>75.05</v>
      </c>
      <c r="E335" s="2" t="s">
        <v>750</v>
      </c>
    </row>
    <row r="336" spans="1:5" ht="14.25" customHeight="1" x14ac:dyDescent="0.3">
      <c r="A336" s="2" t="s">
        <v>751</v>
      </c>
      <c r="B336" s="2" t="s">
        <v>752</v>
      </c>
      <c r="C336" s="2" t="s">
        <v>35</v>
      </c>
      <c r="D336" s="2">
        <v>27.99</v>
      </c>
      <c r="E336" s="2" t="s">
        <v>750</v>
      </c>
    </row>
    <row r="337" spans="1:5" ht="14.25" customHeight="1" x14ac:dyDescent="0.3">
      <c r="A337" s="2" t="s">
        <v>753</v>
      </c>
      <c r="B337" s="2" t="s">
        <v>754</v>
      </c>
      <c r="C337" s="2" t="s">
        <v>35</v>
      </c>
      <c r="D337" s="2">
        <v>70.97</v>
      </c>
      <c r="E337" s="2" t="s">
        <v>750</v>
      </c>
    </row>
    <row r="338" spans="1:5" ht="14.25" customHeight="1" x14ac:dyDescent="0.3">
      <c r="A338" s="2" t="s">
        <v>755</v>
      </c>
      <c r="B338" s="2" t="s">
        <v>756</v>
      </c>
      <c r="C338" s="2" t="s">
        <v>35</v>
      </c>
      <c r="D338" s="2">
        <v>72.819999999999993</v>
      </c>
      <c r="E338" s="2" t="s">
        <v>750</v>
      </c>
    </row>
    <row r="339" spans="1:5" ht="14.25" customHeight="1" x14ac:dyDescent="0.3">
      <c r="A339" s="2" t="s">
        <v>757</v>
      </c>
      <c r="B339" s="2" t="s">
        <v>758</v>
      </c>
      <c r="C339" s="2" t="s">
        <v>35</v>
      </c>
      <c r="D339" s="2">
        <v>77.989999999999995</v>
      </c>
      <c r="E339" s="2" t="s">
        <v>750</v>
      </c>
    </row>
    <row r="340" spans="1:5" ht="14.25" customHeight="1" x14ac:dyDescent="0.3">
      <c r="A340" s="2" t="s">
        <v>759</v>
      </c>
      <c r="B340" s="2" t="s">
        <v>756</v>
      </c>
      <c r="C340" s="2" t="s">
        <v>35</v>
      </c>
      <c r="D340" s="2">
        <v>77.56</v>
      </c>
      <c r="E340" s="2" t="s">
        <v>750</v>
      </c>
    </row>
    <row r="341" spans="1:5" ht="14.25" customHeight="1" x14ac:dyDescent="0.3">
      <c r="A341" s="2" t="s">
        <v>760</v>
      </c>
      <c r="B341" s="2" t="s">
        <v>761</v>
      </c>
      <c r="C341" s="2" t="s">
        <v>35</v>
      </c>
      <c r="D341" s="2">
        <v>23.35</v>
      </c>
      <c r="E341" s="2" t="s">
        <v>340</v>
      </c>
    </row>
    <row r="342" spans="1:5" ht="14.25" customHeight="1" x14ac:dyDescent="0.3">
      <c r="A342" s="2" t="s">
        <v>762</v>
      </c>
      <c r="B342" s="2" t="s">
        <v>763</v>
      </c>
      <c r="C342" s="2" t="s">
        <v>35</v>
      </c>
      <c r="D342" s="2">
        <v>42.08</v>
      </c>
      <c r="E342" s="2" t="s">
        <v>340</v>
      </c>
    </row>
    <row r="343" spans="1:5" ht="14.25" customHeight="1" x14ac:dyDescent="0.3">
      <c r="A343" s="2" t="s">
        <v>764</v>
      </c>
      <c r="B343" s="2" t="s">
        <v>765</v>
      </c>
      <c r="C343" s="2" t="s">
        <v>35</v>
      </c>
      <c r="D343" s="2">
        <v>60.86</v>
      </c>
      <c r="E343" s="2" t="s">
        <v>340</v>
      </c>
    </row>
    <row r="344" spans="1:5" ht="14.25" customHeight="1" x14ac:dyDescent="0.3">
      <c r="A344" s="2" t="s">
        <v>766</v>
      </c>
      <c r="B344" s="2" t="s">
        <v>767</v>
      </c>
      <c r="C344" s="2" t="s">
        <v>35</v>
      </c>
      <c r="D344" s="2">
        <v>77.97</v>
      </c>
      <c r="E344" s="2" t="s">
        <v>340</v>
      </c>
    </row>
    <row r="345" spans="1:5" ht="14.25" customHeight="1" x14ac:dyDescent="0.3">
      <c r="A345" s="2" t="s">
        <v>768</v>
      </c>
      <c r="B345" s="2" t="s">
        <v>769</v>
      </c>
      <c r="C345" s="2" t="s">
        <v>35</v>
      </c>
      <c r="D345" s="2">
        <v>60.93</v>
      </c>
      <c r="E345" s="2" t="s">
        <v>340</v>
      </c>
    </row>
    <row r="346" spans="1:5" ht="14.25" customHeight="1" x14ac:dyDescent="0.3">
      <c r="A346" s="2" t="s">
        <v>770</v>
      </c>
      <c r="B346" s="2" t="s">
        <v>771</v>
      </c>
      <c r="C346" s="2" t="s">
        <v>35</v>
      </c>
      <c r="D346" s="2">
        <v>32.81</v>
      </c>
      <c r="E346" s="2" t="s">
        <v>340</v>
      </c>
    </row>
    <row r="347" spans="1:5" ht="14.25" customHeight="1" x14ac:dyDescent="0.3">
      <c r="A347" s="2" t="s">
        <v>772</v>
      </c>
      <c r="B347" s="2" t="s">
        <v>773</v>
      </c>
      <c r="C347" s="2" t="s">
        <v>35</v>
      </c>
      <c r="D347" s="2">
        <v>32.93</v>
      </c>
      <c r="E347" s="2" t="s">
        <v>340</v>
      </c>
    </row>
    <row r="348" spans="1:5" ht="14.25" customHeight="1" x14ac:dyDescent="0.3">
      <c r="A348" s="2" t="s">
        <v>774</v>
      </c>
      <c r="B348" s="2" t="s">
        <v>775</v>
      </c>
      <c r="C348" s="2" t="s">
        <v>35</v>
      </c>
      <c r="D348" s="2">
        <v>48.39</v>
      </c>
      <c r="E348" s="2" t="s">
        <v>750</v>
      </c>
    </row>
    <row r="349" spans="1:5" ht="14.25" customHeight="1" x14ac:dyDescent="0.3">
      <c r="A349" s="2" t="s">
        <v>776</v>
      </c>
      <c r="B349" s="2" t="s">
        <v>771</v>
      </c>
      <c r="C349" s="2" t="s">
        <v>35</v>
      </c>
      <c r="D349" s="2">
        <v>34.46</v>
      </c>
      <c r="E349" s="2" t="s">
        <v>464</v>
      </c>
    </row>
    <row r="350" spans="1:5" ht="14.25" customHeight="1" x14ac:dyDescent="0.3">
      <c r="A350" s="2" t="s">
        <v>777</v>
      </c>
      <c r="B350" s="2" t="s">
        <v>778</v>
      </c>
      <c r="C350" s="2" t="s">
        <v>7</v>
      </c>
      <c r="D350" s="2">
        <v>15.83</v>
      </c>
      <c r="E350" s="2" t="s">
        <v>607</v>
      </c>
    </row>
    <row r="351" spans="1:5" ht="14.25" customHeight="1" x14ac:dyDescent="0.3">
      <c r="A351" s="2" t="s">
        <v>779</v>
      </c>
      <c r="B351" s="2" t="s">
        <v>780</v>
      </c>
      <c r="C351" s="2" t="s">
        <v>7</v>
      </c>
      <c r="D351" s="2">
        <v>13.58</v>
      </c>
      <c r="E351" s="2" t="s">
        <v>607</v>
      </c>
    </row>
    <row r="352" spans="1:5" ht="14.25" customHeight="1" x14ac:dyDescent="0.3">
      <c r="A352" s="2" t="s">
        <v>781</v>
      </c>
      <c r="B352" s="2" t="s">
        <v>782</v>
      </c>
      <c r="C352" s="2" t="s">
        <v>7</v>
      </c>
      <c r="D352" s="2">
        <v>17.829999999999998</v>
      </c>
      <c r="E352" s="2" t="s">
        <v>607</v>
      </c>
    </row>
    <row r="353" spans="1:5" ht="14.25" customHeight="1" x14ac:dyDescent="0.3">
      <c r="A353" s="2" t="s">
        <v>783</v>
      </c>
      <c r="B353" s="2" t="s">
        <v>784</v>
      </c>
      <c r="C353" s="2" t="s">
        <v>35</v>
      </c>
      <c r="D353" s="2">
        <v>39.67</v>
      </c>
      <c r="E353" s="2" t="s">
        <v>464</v>
      </c>
    </row>
    <row r="354" spans="1:5" ht="14.25" customHeight="1" x14ac:dyDescent="0.3">
      <c r="A354" s="2" t="s">
        <v>785</v>
      </c>
      <c r="B354" s="2" t="s">
        <v>786</v>
      </c>
      <c r="C354" s="2" t="s">
        <v>35</v>
      </c>
      <c r="D354" s="2">
        <v>27.17</v>
      </c>
      <c r="E354" s="2" t="s">
        <v>787</v>
      </c>
    </row>
    <row r="355" spans="1:5" ht="14.25" customHeight="1" x14ac:dyDescent="0.3">
      <c r="A355" s="2" t="s">
        <v>788</v>
      </c>
      <c r="B355" s="2" t="s">
        <v>789</v>
      </c>
      <c r="C355" s="2" t="s">
        <v>35</v>
      </c>
      <c r="D355" s="2">
        <v>43.01</v>
      </c>
      <c r="E355" s="2" t="s">
        <v>787</v>
      </c>
    </row>
    <row r="356" spans="1:5" ht="14.25" customHeight="1" x14ac:dyDescent="0.3">
      <c r="A356" s="2" t="s">
        <v>790</v>
      </c>
      <c r="B356" s="2" t="s">
        <v>791</v>
      </c>
      <c r="C356" s="2" t="s">
        <v>35</v>
      </c>
      <c r="D356" s="2">
        <v>48.39</v>
      </c>
      <c r="E356" s="2" t="s">
        <v>787</v>
      </c>
    </row>
    <row r="357" spans="1:5" ht="14.25" customHeight="1" x14ac:dyDescent="0.3">
      <c r="A357" s="2" t="s">
        <v>792</v>
      </c>
      <c r="B357" s="2" t="s">
        <v>793</v>
      </c>
      <c r="C357" s="2" t="s">
        <v>35</v>
      </c>
      <c r="D357" s="2">
        <v>48.39</v>
      </c>
      <c r="E357" s="2" t="s">
        <v>787</v>
      </c>
    </row>
    <row r="358" spans="1:5" ht="14.25" customHeight="1" x14ac:dyDescent="0.3">
      <c r="A358" s="2" t="s">
        <v>794</v>
      </c>
      <c r="B358" s="2" t="s">
        <v>795</v>
      </c>
      <c r="C358" s="2" t="s">
        <v>35</v>
      </c>
      <c r="D358" s="2">
        <v>22.5</v>
      </c>
      <c r="E358" s="2" t="s">
        <v>787</v>
      </c>
    </row>
    <row r="359" spans="1:5" ht="14.25" customHeight="1" x14ac:dyDescent="0.3">
      <c r="A359" s="2" t="s">
        <v>796</v>
      </c>
      <c r="B359" s="2" t="s">
        <v>626</v>
      </c>
      <c r="C359" s="2" t="s">
        <v>35</v>
      </c>
      <c r="D359" s="2">
        <v>29.59</v>
      </c>
      <c r="E359" s="2" t="s">
        <v>787</v>
      </c>
    </row>
    <row r="360" spans="1:5" ht="14.25" customHeight="1" x14ac:dyDescent="0.3">
      <c r="A360" s="2" t="s">
        <v>797</v>
      </c>
      <c r="B360" s="2" t="s">
        <v>798</v>
      </c>
      <c r="C360" s="2" t="s">
        <v>21</v>
      </c>
      <c r="D360" s="2">
        <v>86.5</v>
      </c>
      <c r="E360" s="2" t="s">
        <v>133</v>
      </c>
    </row>
    <row r="361" spans="1:5" ht="14.25" customHeight="1" x14ac:dyDescent="0.3">
      <c r="A361" s="2" t="s">
        <v>799</v>
      </c>
      <c r="B361" s="2" t="s">
        <v>800</v>
      </c>
      <c r="C361" s="2" t="s">
        <v>21</v>
      </c>
      <c r="D361" s="2">
        <v>20.79</v>
      </c>
      <c r="E361" s="2" t="s">
        <v>133</v>
      </c>
    </row>
    <row r="362" spans="1:5" ht="14.25" customHeight="1" x14ac:dyDescent="0.3">
      <c r="A362" s="2" t="s">
        <v>801</v>
      </c>
      <c r="B362" s="2" t="s">
        <v>802</v>
      </c>
      <c r="C362" s="2" t="s">
        <v>21</v>
      </c>
      <c r="D362" s="2">
        <v>47.29</v>
      </c>
      <c r="E362" s="2" t="s">
        <v>133</v>
      </c>
    </row>
    <row r="363" spans="1:5" ht="14.25" customHeight="1" x14ac:dyDescent="0.3">
      <c r="A363" s="2" t="s">
        <v>803</v>
      </c>
      <c r="B363" s="2" t="s">
        <v>804</v>
      </c>
      <c r="C363" s="2" t="s">
        <v>21</v>
      </c>
      <c r="D363" s="2">
        <v>115.49</v>
      </c>
      <c r="E363" s="2" t="s">
        <v>133</v>
      </c>
    </row>
    <row r="364" spans="1:5" ht="14.25" customHeight="1" x14ac:dyDescent="0.3">
      <c r="A364" s="2" t="s">
        <v>805</v>
      </c>
      <c r="B364" s="2" t="s">
        <v>806</v>
      </c>
      <c r="C364" s="2" t="s">
        <v>21</v>
      </c>
      <c r="D364" s="2">
        <v>46.25</v>
      </c>
      <c r="E364" s="2" t="s">
        <v>133</v>
      </c>
    </row>
    <row r="365" spans="1:5" ht="14.25" customHeight="1" x14ac:dyDescent="0.3">
      <c r="A365" s="2" t="s">
        <v>807</v>
      </c>
      <c r="B365" s="2" t="s">
        <v>808</v>
      </c>
      <c r="C365" s="2" t="s">
        <v>21</v>
      </c>
      <c r="D365" s="2">
        <v>34.11</v>
      </c>
      <c r="E365" s="2" t="s">
        <v>133</v>
      </c>
    </row>
    <row r="366" spans="1:5" ht="14.25" customHeight="1" x14ac:dyDescent="0.3">
      <c r="A366" s="2" t="s">
        <v>809</v>
      </c>
      <c r="B366" s="2" t="s">
        <v>810</v>
      </c>
      <c r="C366" s="2" t="s">
        <v>21</v>
      </c>
      <c r="D366" s="2">
        <v>29.46</v>
      </c>
      <c r="E366" s="2" t="s">
        <v>787</v>
      </c>
    </row>
    <row r="367" spans="1:5" ht="14.25" customHeight="1" x14ac:dyDescent="0.3">
      <c r="A367" s="2" t="s">
        <v>811</v>
      </c>
      <c r="B367" s="2" t="s">
        <v>812</v>
      </c>
      <c r="C367" s="2" t="s">
        <v>21</v>
      </c>
      <c r="D367" s="2">
        <v>28.94</v>
      </c>
      <c r="E367" s="2" t="s">
        <v>787</v>
      </c>
    </row>
    <row r="368" spans="1:5" ht="14.25" customHeight="1" x14ac:dyDescent="0.3">
      <c r="A368" s="2" t="s">
        <v>813</v>
      </c>
      <c r="B368" s="2" t="s">
        <v>814</v>
      </c>
      <c r="C368" s="2" t="s">
        <v>21</v>
      </c>
      <c r="D368" s="2">
        <v>29.92</v>
      </c>
      <c r="E368" s="2" t="s">
        <v>787</v>
      </c>
    </row>
    <row r="369" spans="1:5" ht="14.25" customHeight="1" x14ac:dyDescent="0.3">
      <c r="A369" s="2" t="s">
        <v>815</v>
      </c>
      <c r="B369" s="2" t="s">
        <v>816</v>
      </c>
      <c r="C369" s="2" t="s">
        <v>21</v>
      </c>
      <c r="D369" s="2">
        <v>101.55</v>
      </c>
      <c r="E369" s="2" t="s">
        <v>787</v>
      </c>
    </row>
    <row r="370" spans="1:5" ht="14.25" customHeight="1" x14ac:dyDescent="0.3">
      <c r="A370" s="2" t="s">
        <v>817</v>
      </c>
      <c r="B370" s="2" t="s">
        <v>818</v>
      </c>
      <c r="C370" s="2" t="s">
        <v>21</v>
      </c>
      <c r="D370" s="2">
        <v>107.11</v>
      </c>
      <c r="E370" s="2" t="s">
        <v>133</v>
      </c>
    </row>
    <row r="371" spans="1:5" ht="14.25" customHeight="1" x14ac:dyDescent="0.3">
      <c r="A371" s="2" t="s">
        <v>819</v>
      </c>
      <c r="B371" s="2" t="s">
        <v>820</v>
      </c>
      <c r="C371" s="2" t="s">
        <v>21</v>
      </c>
      <c r="D371" s="2">
        <v>24.23</v>
      </c>
      <c r="E371" s="2" t="s">
        <v>133</v>
      </c>
    </row>
    <row r="372" spans="1:5" ht="14.25" customHeight="1" x14ac:dyDescent="0.3">
      <c r="A372" s="2" t="s">
        <v>821</v>
      </c>
      <c r="B372" s="2" t="s">
        <v>822</v>
      </c>
      <c r="C372" s="2" t="s">
        <v>21</v>
      </c>
      <c r="D372" s="2">
        <v>28.83</v>
      </c>
      <c r="E372" s="2" t="s">
        <v>133</v>
      </c>
    </row>
    <row r="373" spans="1:5" ht="14.25" customHeight="1" x14ac:dyDescent="0.3">
      <c r="A373" s="2" t="s">
        <v>823</v>
      </c>
      <c r="B373" s="2" t="s">
        <v>824</v>
      </c>
      <c r="C373" s="2" t="s">
        <v>21</v>
      </c>
      <c r="D373" s="2">
        <v>119.75</v>
      </c>
      <c r="E373" s="2" t="s">
        <v>133</v>
      </c>
    </row>
    <row r="374" spans="1:5" ht="14.25" customHeight="1" x14ac:dyDescent="0.3">
      <c r="A374" s="2" t="s">
        <v>825</v>
      </c>
      <c r="B374" s="2" t="s">
        <v>826</v>
      </c>
      <c r="C374" s="2" t="s">
        <v>21</v>
      </c>
      <c r="D374" s="2">
        <v>115.35</v>
      </c>
      <c r="E374" s="2" t="s">
        <v>133</v>
      </c>
    </row>
    <row r="375" spans="1:5" ht="14.25" customHeight="1" x14ac:dyDescent="0.3">
      <c r="A375" s="2" t="s">
        <v>827</v>
      </c>
      <c r="B375" s="2" t="s">
        <v>828</v>
      </c>
      <c r="C375" s="2" t="s">
        <v>21</v>
      </c>
      <c r="D375" s="2">
        <v>100.7</v>
      </c>
      <c r="E375" s="2" t="s">
        <v>133</v>
      </c>
    </row>
    <row r="376" spans="1:5" ht="14.25" customHeight="1" x14ac:dyDescent="0.3">
      <c r="A376" s="2" t="s">
        <v>829</v>
      </c>
      <c r="B376" s="2" t="s">
        <v>830</v>
      </c>
      <c r="C376" s="2" t="s">
        <v>21</v>
      </c>
      <c r="D376" s="2">
        <v>16.88</v>
      </c>
      <c r="E376" s="2" t="s">
        <v>133</v>
      </c>
    </row>
    <row r="377" spans="1:5" ht="14.25" customHeight="1" x14ac:dyDescent="0.3">
      <c r="A377" s="2" t="s">
        <v>831</v>
      </c>
      <c r="B377" s="2" t="s">
        <v>763</v>
      </c>
      <c r="C377" s="2" t="s">
        <v>21</v>
      </c>
      <c r="D377" s="2">
        <v>75.400000000000006</v>
      </c>
      <c r="E377" s="2" t="s">
        <v>787</v>
      </c>
    </row>
    <row r="378" spans="1:5" ht="14.25" customHeight="1" x14ac:dyDescent="0.3">
      <c r="A378" s="2" t="s">
        <v>832</v>
      </c>
      <c r="B378" s="2" t="s">
        <v>833</v>
      </c>
      <c r="C378" s="2" t="s">
        <v>21</v>
      </c>
      <c r="D378" s="2">
        <v>85.94</v>
      </c>
      <c r="E378" s="2" t="s">
        <v>787</v>
      </c>
    </row>
    <row r="379" spans="1:5" ht="14.25" customHeight="1" x14ac:dyDescent="0.3">
      <c r="A379" s="2" t="s">
        <v>834</v>
      </c>
      <c r="B379" s="2" t="s">
        <v>835</v>
      </c>
      <c r="C379" s="2" t="s">
        <v>21</v>
      </c>
      <c r="D379" s="2">
        <v>15.21</v>
      </c>
      <c r="E379" s="2" t="s">
        <v>787</v>
      </c>
    </row>
    <row r="380" spans="1:5" ht="14.25" customHeight="1" x14ac:dyDescent="0.3">
      <c r="A380" s="2" t="s">
        <v>836</v>
      </c>
      <c r="B380" s="2" t="s">
        <v>611</v>
      </c>
      <c r="C380" s="2" t="s">
        <v>21</v>
      </c>
      <c r="D380" s="2">
        <v>22.63</v>
      </c>
      <c r="E380" s="2" t="s">
        <v>837</v>
      </c>
    </row>
    <row r="381" spans="1:5" ht="14.25" customHeight="1" x14ac:dyDescent="0.3">
      <c r="A381" s="2" t="s">
        <v>838</v>
      </c>
      <c r="B381" s="2" t="s">
        <v>835</v>
      </c>
      <c r="C381" s="2" t="s">
        <v>21</v>
      </c>
      <c r="D381" s="2">
        <v>18.559999999999999</v>
      </c>
      <c r="E381" s="2" t="s">
        <v>837</v>
      </c>
    </row>
    <row r="382" spans="1:5" ht="14.25" customHeight="1" x14ac:dyDescent="0.3">
      <c r="A382" s="2" t="s">
        <v>839</v>
      </c>
      <c r="B382" s="2" t="s">
        <v>835</v>
      </c>
      <c r="C382" s="2" t="s">
        <v>21</v>
      </c>
      <c r="D382" s="2">
        <v>71.349999999999994</v>
      </c>
      <c r="E382" s="2" t="s">
        <v>837</v>
      </c>
    </row>
    <row r="383" spans="1:5" ht="14.25" customHeight="1" x14ac:dyDescent="0.3">
      <c r="A383" s="2" t="s">
        <v>840</v>
      </c>
      <c r="B383" s="2" t="s">
        <v>835</v>
      </c>
      <c r="C383" s="2" t="s">
        <v>21</v>
      </c>
      <c r="D383" s="2">
        <v>85.1</v>
      </c>
      <c r="E383" s="2" t="s">
        <v>837</v>
      </c>
    </row>
    <row r="384" spans="1:5" ht="14.25" customHeight="1" x14ac:dyDescent="0.3">
      <c r="A384" s="2" t="s">
        <v>841</v>
      </c>
      <c r="B384" s="2" t="s">
        <v>842</v>
      </c>
      <c r="C384" s="2" t="s">
        <v>21</v>
      </c>
      <c r="D384" s="2">
        <v>75.010000000000005</v>
      </c>
      <c r="E384" s="2" t="s">
        <v>837</v>
      </c>
    </row>
    <row r="385" spans="1:5" ht="14.25" customHeight="1" x14ac:dyDescent="0.3">
      <c r="A385" s="2" t="s">
        <v>843</v>
      </c>
      <c r="B385" s="2" t="s">
        <v>844</v>
      </c>
      <c r="C385" s="2" t="s">
        <v>21</v>
      </c>
      <c r="D385" s="2">
        <v>116.81</v>
      </c>
      <c r="E385" s="2" t="s">
        <v>837</v>
      </c>
    </row>
    <row r="386" spans="1:5" ht="14.25" customHeight="1" x14ac:dyDescent="0.3">
      <c r="A386" s="2" t="s">
        <v>845</v>
      </c>
      <c r="B386" s="2" t="s">
        <v>846</v>
      </c>
      <c r="C386" s="2" t="s">
        <v>21</v>
      </c>
      <c r="D386" s="2">
        <v>64.709999999999994</v>
      </c>
      <c r="E386" s="2" t="s">
        <v>837</v>
      </c>
    </row>
    <row r="387" spans="1:5" ht="14.25" customHeight="1" x14ac:dyDescent="0.3">
      <c r="A387" s="2" t="s">
        <v>847</v>
      </c>
      <c r="B387" s="2" t="s">
        <v>848</v>
      </c>
      <c r="C387" s="2" t="s">
        <v>21</v>
      </c>
      <c r="D387" s="2">
        <v>65.459999999999994</v>
      </c>
      <c r="E387" s="2" t="s">
        <v>837</v>
      </c>
    </row>
    <row r="388" spans="1:5" ht="14.25" customHeight="1" x14ac:dyDescent="0.3">
      <c r="A388" s="2" t="s">
        <v>849</v>
      </c>
      <c r="B388" s="2" t="s">
        <v>850</v>
      </c>
      <c r="C388" s="2" t="s">
        <v>21</v>
      </c>
      <c r="D388" s="2">
        <v>21.89</v>
      </c>
      <c r="E388" s="2" t="s">
        <v>837</v>
      </c>
    </row>
    <row r="389" spans="1:5" ht="14.25" customHeight="1" x14ac:dyDescent="0.3">
      <c r="A389" s="2" t="s">
        <v>851</v>
      </c>
      <c r="B389" s="2" t="s">
        <v>852</v>
      </c>
      <c r="C389" s="2" t="s">
        <v>21</v>
      </c>
      <c r="D389" s="2">
        <v>110.1</v>
      </c>
      <c r="E389" s="2" t="s">
        <v>837</v>
      </c>
    </row>
    <row r="390" spans="1:5" ht="14.25" customHeight="1" x14ac:dyDescent="0.3">
      <c r="A390" s="2" t="s">
        <v>853</v>
      </c>
      <c r="B390" s="2" t="s">
        <v>854</v>
      </c>
      <c r="C390" s="2" t="s">
        <v>21</v>
      </c>
      <c r="D390" s="2">
        <v>21.89</v>
      </c>
      <c r="E390" s="2" t="s">
        <v>837</v>
      </c>
    </row>
    <row r="391" spans="1:5" ht="14.25" customHeight="1" x14ac:dyDescent="0.3">
      <c r="A391" s="2" t="s">
        <v>855</v>
      </c>
      <c r="B391" s="2" t="s">
        <v>20</v>
      </c>
      <c r="C391" s="2" t="s">
        <v>21</v>
      </c>
      <c r="D391" s="2">
        <v>66.88</v>
      </c>
      <c r="E391" s="2" t="s">
        <v>837</v>
      </c>
    </row>
    <row r="392" spans="1:5" ht="14.25" customHeight="1" x14ac:dyDescent="0.3">
      <c r="A392" s="2" t="s">
        <v>856</v>
      </c>
      <c r="B392" s="2" t="s">
        <v>857</v>
      </c>
      <c r="C392" s="2" t="s">
        <v>21</v>
      </c>
      <c r="D392" s="2">
        <v>48.51</v>
      </c>
      <c r="E392" s="2" t="s">
        <v>837</v>
      </c>
    </row>
    <row r="393" spans="1:5" ht="14.25" customHeight="1" x14ac:dyDescent="0.3">
      <c r="A393" s="2" t="s">
        <v>858</v>
      </c>
      <c r="B393" s="2" t="s">
        <v>859</v>
      </c>
      <c r="C393" s="2" t="s">
        <v>81</v>
      </c>
      <c r="D393" s="2">
        <v>59.61</v>
      </c>
      <c r="E393" s="2" t="s">
        <v>837</v>
      </c>
    </row>
    <row r="394" spans="1:5" ht="14.25" customHeight="1" x14ac:dyDescent="0.3">
      <c r="A394" s="2" t="s">
        <v>860</v>
      </c>
      <c r="B394" s="2" t="s">
        <v>861</v>
      </c>
      <c r="C394" s="2" t="s">
        <v>81</v>
      </c>
      <c r="D394" s="2">
        <v>49.13</v>
      </c>
      <c r="E394" s="2" t="s">
        <v>862</v>
      </c>
    </row>
    <row r="395" spans="1:5" ht="14.25" customHeight="1" x14ac:dyDescent="0.3">
      <c r="A395" s="2" t="s">
        <v>863</v>
      </c>
      <c r="B395" s="2" t="s">
        <v>864</v>
      </c>
      <c r="C395" s="2" t="s">
        <v>81</v>
      </c>
      <c r="D395" s="2">
        <v>32.96</v>
      </c>
      <c r="E395" s="2" t="s">
        <v>862</v>
      </c>
    </row>
    <row r="396" spans="1:5" ht="14.25" customHeight="1" x14ac:dyDescent="0.3">
      <c r="A396" s="2" t="s">
        <v>865</v>
      </c>
      <c r="B396" s="2" t="s">
        <v>866</v>
      </c>
      <c r="C396" s="2" t="s">
        <v>81</v>
      </c>
      <c r="D396" s="2">
        <v>18.41</v>
      </c>
      <c r="E396" s="2" t="s">
        <v>862</v>
      </c>
    </row>
    <row r="397" spans="1:5" ht="14.25" customHeight="1" x14ac:dyDescent="0.3">
      <c r="A397" s="2" t="s">
        <v>867</v>
      </c>
      <c r="B397" s="2" t="s">
        <v>868</v>
      </c>
      <c r="C397" s="2" t="s">
        <v>81</v>
      </c>
      <c r="D397" s="2">
        <v>33.75</v>
      </c>
      <c r="E397" s="2" t="s">
        <v>862</v>
      </c>
    </row>
    <row r="398" spans="1:5" ht="14.25" customHeight="1" x14ac:dyDescent="0.3">
      <c r="A398" s="2" t="s">
        <v>869</v>
      </c>
      <c r="B398" s="2" t="s">
        <v>870</v>
      </c>
      <c r="C398" s="2" t="s">
        <v>81</v>
      </c>
      <c r="D398" s="2">
        <v>37.76</v>
      </c>
      <c r="E398" s="2" t="s">
        <v>862</v>
      </c>
    </row>
    <row r="399" spans="1:5" ht="14.25" customHeight="1" x14ac:dyDescent="0.3">
      <c r="A399" s="2" t="s">
        <v>871</v>
      </c>
      <c r="B399" s="2" t="s">
        <v>872</v>
      </c>
      <c r="C399" s="2" t="s">
        <v>81</v>
      </c>
      <c r="D399" s="2">
        <v>35.5</v>
      </c>
      <c r="E399" s="2" t="s">
        <v>862</v>
      </c>
    </row>
    <row r="400" spans="1:5" ht="14.25" customHeight="1" x14ac:dyDescent="0.3">
      <c r="A400" s="2" t="s">
        <v>873</v>
      </c>
      <c r="B400" s="2" t="s">
        <v>874</v>
      </c>
      <c r="C400" s="2" t="s">
        <v>81</v>
      </c>
      <c r="D400" s="2">
        <v>22.22</v>
      </c>
      <c r="E400" s="2" t="s">
        <v>862</v>
      </c>
    </row>
    <row r="401" spans="1:5" ht="14.25" customHeight="1" x14ac:dyDescent="0.3">
      <c r="A401" s="2" t="s">
        <v>875</v>
      </c>
      <c r="B401" s="2" t="s">
        <v>876</v>
      </c>
      <c r="C401" s="2" t="s">
        <v>81</v>
      </c>
      <c r="D401" s="2">
        <v>41.73</v>
      </c>
      <c r="E401" s="2" t="s">
        <v>862</v>
      </c>
    </row>
    <row r="402" spans="1:5" ht="14.25" customHeight="1" x14ac:dyDescent="0.3">
      <c r="A402" s="2" t="s">
        <v>877</v>
      </c>
      <c r="B402" s="2" t="s">
        <v>878</v>
      </c>
      <c r="C402" s="2" t="s">
        <v>81</v>
      </c>
      <c r="D402" s="2">
        <v>39.04</v>
      </c>
      <c r="E402" s="2" t="s">
        <v>862</v>
      </c>
    </row>
    <row r="403" spans="1:5" ht="14.25" customHeight="1" x14ac:dyDescent="0.3">
      <c r="A403" s="2" t="s">
        <v>879</v>
      </c>
      <c r="B403" s="2" t="s">
        <v>880</v>
      </c>
      <c r="C403" s="2" t="s">
        <v>81</v>
      </c>
      <c r="D403" s="2">
        <v>21.1</v>
      </c>
      <c r="E403" s="2" t="s">
        <v>862</v>
      </c>
    </row>
    <row r="404" spans="1:5" ht="14.25" customHeight="1" x14ac:dyDescent="0.3">
      <c r="A404" s="2" t="s">
        <v>881</v>
      </c>
      <c r="B404" s="2" t="s">
        <v>882</v>
      </c>
      <c r="C404" s="2" t="s">
        <v>49</v>
      </c>
      <c r="D404" s="2">
        <v>48.82</v>
      </c>
      <c r="E404" s="2" t="s">
        <v>862</v>
      </c>
    </row>
    <row r="405" spans="1:5" ht="14.25" customHeight="1" x14ac:dyDescent="0.3">
      <c r="A405" s="2" t="s">
        <v>883</v>
      </c>
      <c r="B405" s="2" t="s">
        <v>884</v>
      </c>
      <c r="C405" s="2" t="s">
        <v>49</v>
      </c>
      <c r="D405" s="2">
        <v>81.02</v>
      </c>
      <c r="E405" s="2" t="s">
        <v>862</v>
      </c>
    </row>
    <row r="406" spans="1:5" ht="14.25" customHeight="1" x14ac:dyDescent="0.3">
      <c r="A406" s="2" t="s">
        <v>885</v>
      </c>
      <c r="B406" s="2" t="s">
        <v>886</v>
      </c>
      <c r="C406" s="2" t="s">
        <v>49</v>
      </c>
      <c r="D406" s="2">
        <v>99.85</v>
      </c>
      <c r="E406" s="2" t="s">
        <v>862</v>
      </c>
    </row>
    <row r="407" spans="1:5" ht="14.25" customHeight="1" x14ac:dyDescent="0.3">
      <c r="A407" s="2" t="s">
        <v>887</v>
      </c>
      <c r="B407" s="2" t="s">
        <v>888</v>
      </c>
      <c r="C407" s="2" t="s">
        <v>49</v>
      </c>
      <c r="D407" s="2">
        <v>23.33</v>
      </c>
      <c r="E407" s="2" t="s">
        <v>862</v>
      </c>
    </row>
    <row r="408" spans="1:5" ht="14.25" customHeight="1" x14ac:dyDescent="0.3">
      <c r="A408" s="2" t="s">
        <v>889</v>
      </c>
      <c r="B408" s="2" t="s">
        <v>890</v>
      </c>
      <c r="C408" s="2" t="s">
        <v>49</v>
      </c>
      <c r="D408" s="2">
        <v>10.07</v>
      </c>
      <c r="E408" s="2" t="s">
        <v>862</v>
      </c>
    </row>
    <row r="409" spans="1:5" ht="14.25" customHeight="1" x14ac:dyDescent="0.3">
      <c r="A409" s="2" t="s">
        <v>891</v>
      </c>
      <c r="B409" s="2" t="s">
        <v>892</v>
      </c>
      <c r="C409" s="2" t="s">
        <v>49</v>
      </c>
      <c r="D409" s="2">
        <v>73.400000000000006</v>
      </c>
      <c r="E409" s="2" t="s">
        <v>862</v>
      </c>
    </row>
    <row r="410" spans="1:5" ht="14.25" customHeight="1" x14ac:dyDescent="0.3">
      <c r="A410" s="2" t="s">
        <v>893</v>
      </c>
      <c r="B410" s="2" t="s">
        <v>894</v>
      </c>
      <c r="C410" s="2" t="s">
        <v>13</v>
      </c>
      <c r="D410" s="2">
        <v>64.84</v>
      </c>
      <c r="E410" s="2" t="s">
        <v>862</v>
      </c>
    </row>
    <row r="411" spans="1:5" ht="14.25" customHeight="1" x14ac:dyDescent="0.3">
      <c r="A411" s="2" t="s">
        <v>895</v>
      </c>
      <c r="B411" s="2" t="s">
        <v>828</v>
      </c>
      <c r="C411" s="2" t="s">
        <v>49</v>
      </c>
      <c r="D411" s="2">
        <v>97.96</v>
      </c>
      <c r="E411" s="2" t="s">
        <v>862</v>
      </c>
    </row>
    <row r="412" spans="1:5" ht="14.25" customHeight="1" x14ac:dyDescent="0.3">
      <c r="A412" s="2" t="s">
        <v>896</v>
      </c>
      <c r="B412" s="2" t="s">
        <v>897</v>
      </c>
      <c r="C412" s="2" t="s">
        <v>49</v>
      </c>
      <c r="D412" s="2">
        <v>97.96</v>
      </c>
      <c r="E412" s="2" t="s">
        <v>898</v>
      </c>
    </row>
    <row r="413" spans="1:5" ht="14.25" customHeight="1" x14ac:dyDescent="0.3">
      <c r="A413" s="2" t="s">
        <v>899</v>
      </c>
      <c r="B413" s="2" t="s">
        <v>900</v>
      </c>
      <c r="C413" s="2" t="s">
        <v>49</v>
      </c>
      <c r="D413" s="2">
        <v>97.96</v>
      </c>
      <c r="E413" s="2" t="s">
        <v>898</v>
      </c>
    </row>
    <row r="414" spans="1:5" ht="14.25" customHeight="1" x14ac:dyDescent="0.3">
      <c r="A414" s="2" t="s">
        <v>901</v>
      </c>
      <c r="B414" s="2" t="s">
        <v>902</v>
      </c>
      <c r="C414" s="2" t="s">
        <v>49</v>
      </c>
      <c r="D414" s="2">
        <v>67.33</v>
      </c>
      <c r="E414" s="2" t="s">
        <v>898</v>
      </c>
    </row>
    <row r="415" spans="1:5" ht="14.25" customHeight="1" x14ac:dyDescent="0.3">
      <c r="A415" s="2" t="s">
        <v>903</v>
      </c>
      <c r="B415" s="2" t="s">
        <v>904</v>
      </c>
      <c r="C415" s="2" t="s">
        <v>49</v>
      </c>
      <c r="D415" s="2">
        <v>67.33</v>
      </c>
      <c r="E415" s="2" t="s">
        <v>898</v>
      </c>
    </row>
    <row r="416" spans="1:5" ht="14.25" customHeight="1" x14ac:dyDescent="0.3">
      <c r="A416" s="2" t="s">
        <v>905</v>
      </c>
      <c r="B416" s="2" t="s">
        <v>906</v>
      </c>
      <c r="C416" s="2" t="s">
        <v>49</v>
      </c>
      <c r="D416" s="2">
        <v>67.33</v>
      </c>
      <c r="E416" s="2" t="s">
        <v>898</v>
      </c>
    </row>
    <row r="417" spans="1:5" ht="14.25" customHeight="1" x14ac:dyDescent="0.3">
      <c r="A417" s="2" t="s">
        <v>907</v>
      </c>
      <c r="B417" s="2" t="s">
        <v>908</v>
      </c>
      <c r="C417" s="2" t="s">
        <v>49</v>
      </c>
      <c r="D417" s="2">
        <v>63.89</v>
      </c>
      <c r="E417" s="2" t="s">
        <v>898</v>
      </c>
    </row>
    <row r="418" spans="1:5" ht="14.25" customHeight="1" x14ac:dyDescent="0.3">
      <c r="A418" s="2" t="s">
        <v>909</v>
      </c>
      <c r="B418" s="2" t="s">
        <v>910</v>
      </c>
      <c r="C418" s="2" t="s">
        <v>49</v>
      </c>
      <c r="D418" s="2">
        <v>67.33</v>
      </c>
      <c r="E418" s="2" t="s">
        <v>898</v>
      </c>
    </row>
    <row r="419" spans="1:5" ht="14.25" customHeight="1" x14ac:dyDescent="0.3">
      <c r="A419" s="2" t="s">
        <v>911</v>
      </c>
      <c r="B419" s="2" t="s">
        <v>912</v>
      </c>
      <c r="C419" s="2" t="s">
        <v>29</v>
      </c>
      <c r="D419" s="2">
        <v>28.3</v>
      </c>
      <c r="E419" s="2" t="s">
        <v>310</v>
      </c>
    </row>
    <row r="420" spans="1:5" ht="14.25" customHeight="1" x14ac:dyDescent="0.3">
      <c r="A420" s="2" t="s">
        <v>913</v>
      </c>
      <c r="B420" s="2" t="s">
        <v>914</v>
      </c>
      <c r="C420" s="2" t="s">
        <v>29</v>
      </c>
      <c r="D420" s="2">
        <v>26.9</v>
      </c>
      <c r="E420" s="2" t="s">
        <v>310</v>
      </c>
    </row>
    <row r="421" spans="1:5" ht="14.25" customHeight="1" x14ac:dyDescent="0.3">
      <c r="A421" s="2" t="s">
        <v>915</v>
      </c>
      <c r="B421" s="2" t="s">
        <v>916</v>
      </c>
      <c r="C421" s="2" t="s">
        <v>49</v>
      </c>
      <c r="D421" s="2">
        <v>80.069999999999993</v>
      </c>
      <c r="E421" s="2" t="s">
        <v>898</v>
      </c>
    </row>
    <row r="422" spans="1:5" ht="14.25" customHeight="1" x14ac:dyDescent="0.3">
      <c r="A422" s="2" t="s">
        <v>917</v>
      </c>
      <c r="B422" s="2" t="s">
        <v>918</v>
      </c>
      <c r="C422" s="2" t="s">
        <v>49</v>
      </c>
      <c r="D422" s="2">
        <v>66.94</v>
      </c>
      <c r="E422" s="2" t="s">
        <v>862</v>
      </c>
    </row>
    <row r="423" spans="1:5" ht="14.25" customHeight="1" x14ac:dyDescent="0.3">
      <c r="A423" s="2" t="s">
        <v>919</v>
      </c>
      <c r="B423" s="2" t="s">
        <v>920</v>
      </c>
      <c r="C423" s="2" t="s">
        <v>49</v>
      </c>
      <c r="D423" s="2">
        <v>50.15</v>
      </c>
      <c r="E423" s="2" t="s">
        <v>862</v>
      </c>
    </row>
    <row r="424" spans="1:5" ht="14.25" customHeight="1" x14ac:dyDescent="0.3">
      <c r="A424" s="2" t="s">
        <v>921</v>
      </c>
      <c r="B424" s="2" t="s">
        <v>922</v>
      </c>
      <c r="C424" s="2" t="s">
        <v>49</v>
      </c>
      <c r="D424" s="2">
        <v>97.17</v>
      </c>
      <c r="E424" s="2" t="s">
        <v>898</v>
      </c>
    </row>
    <row r="425" spans="1:5" ht="14.25" customHeight="1" x14ac:dyDescent="0.3">
      <c r="A425" s="2" t="s">
        <v>923</v>
      </c>
      <c r="B425" s="2" t="s">
        <v>924</v>
      </c>
      <c r="C425" s="2" t="s">
        <v>49</v>
      </c>
      <c r="D425" s="2">
        <v>25.41</v>
      </c>
      <c r="E425" s="2" t="s">
        <v>898</v>
      </c>
    </row>
    <row r="426" spans="1:5" ht="14.25" customHeight="1" x14ac:dyDescent="0.3">
      <c r="A426" s="2" t="s">
        <v>925</v>
      </c>
      <c r="B426" s="2" t="s">
        <v>926</v>
      </c>
      <c r="C426" s="2" t="s">
        <v>49</v>
      </c>
      <c r="D426" s="2">
        <v>26.98</v>
      </c>
      <c r="E426" s="2" t="s">
        <v>898</v>
      </c>
    </row>
    <row r="427" spans="1:5" ht="14.25" customHeight="1" x14ac:dyDescent="0.3">
      <c r="A427" s="2" t="s">
        <v>927</v>
      </c>
      <c r="B427" s="2" t="s">
        <v>928</v>
      </c>
      <c r="C427" s="2" t="s">
        <v>49</v>
      </c>
      <c r="D427" s="2">
        <v>27.32</v>
      </c>
      <c r="E427" s="2" t="s">
        <v>898</v>
      </c>
    </row>
    <row r="428" spans="1:5" ht="14.25" customHeight="1" x14ac:dyDescent="0.3">
      <c r="A428" s="2" t="s">
        <v>929</v>
      </c>
      <c r="B428" s="2" t="s">
        <v>930</v>
      </c>
      <c r="C428" s="2" t="s">
        <v>49</v>
      </c>
      <c r="D428" s="2">
        <v>114.87</v>
      </c>
      <c r="E428" s="2" t="s">
        <v>898</v>
      </c>
    </row>
    <row r="429" spans="1:5" ht="14.25" customHeight="1" x14ac:dyDescent="0.3">
      <c r="A429" s="2" t="s">
        <v>931</v>
      </c>
      <c r="B429" s="2" t="s">
        <v>932</v>
      </c>
      <c r="C429" s="2" t="s">
        <v>49</v>
      </c>
      <c r="D429" s="2">
        <v>114.11</v>
      </c>
      <c r="E429" s="2" t="s">
        <v>898</v>
      </c>
    </row>
    <row r="430" spans="1:5" ht="14.25" customHeight="1" x14ac:dyDescent="0.3">
      <c r="A430" s="2" t="s">
        <v>933</v>
      </c>
      <c r="B430" s="2" t="s">
        <v>934</v>
      </c>
      <c r="C430" s="2" t="s">
        <v>49</v>
      </c>
      <c r="D430" s="2">
        <v>87.51</v>
      </c>
      <c r="E430" s="2" t="s">
        <v>898</v>
      </c>
    </row>
    <row r="431" spans="1:5" ht="14.25" customHeight="1" x14ac:dyDescent="0.3">
      <c r="A431" s="2" t="s">
        <v>935</v>
      </c>
      <c r="B431" s="2" t="s">
        <v>936</v>
      </c>
      <c r="C431" s="2" t="s">
        <v>49</v>
      </c>
      <c r="D431" s="2">
        <v>96.77</v>
      </c>
      <c r="E431" s="2" t="s">
        <v>898</v>
      </c>
    </row>
    <row r="432" spans="1:5" ht="14.25" customHeight="1" x14ac:dyDescent="0.3">
      <c r="A432" s="2" t="s">
        <v>937</v>
      </c>
      <c r="B432" s="2" t="s">
        <v>938</v>
      </c>
      <c r="C432" s="2" t="s">
        <v>49</v>
      </c>
      <c r="D432" s="2">
        <v>55.99</v>
      </c>
      <c r="E432" s="2" t="s">
        <v>898</v>
      </c>
    </row>
    <row r="433" spans="1:5" ht="14.25" customHeight="1" x14ac:dyDescent="0.3">
      <c r="A433" s="2" t="s">
        <v>939</v>
      </c>
      <c r="B433" s="2" t="s">
        <v>940</v>
      </c>
      <c r="C433" s="2" t="s">
        <v>49</v>
      </c>
      <c r="D433" s="2">
        <v>57.98</v>
      </c>
      <c r="E433" s="2" t="s">
        <v>898</v>
      </c>
    </row>
    <row r="434" spans="1:5" ht="14.25" customHeight="1" x14ac:dyDescent="0.3">
      <c r="A434" s="2" t="s">
        <v>941</v>
      </c>
      <c r="B434" s="2" t="s">
        <v>942</v>
      </c>
      <c r="C434" s="2" t="s">
        <v>35</v>
      </c>
      <c r="D434" s="2">
        <v>23.43</v>
      </c>
      <c r="E434" s="2" t="s">
        <v>340</v>
      </c>
    </row>
    <row r="435" spans="1:5" ht="14.25" customHeight="1" x14ac:dyDescent="0.3">
      <c r="A435" s="2" t="s">
        <v>943</v>
      </c>
      <c r="B435" s="2" t="s">
        <v>944</v>
      </c>
      <c r="C435" s="2" t="s">
        <v>35</v>
      </c>
      <c r="D435" s="2">
        <v>24.44</v>
      </c>
      <c r="E435" s="2" t="s">
        <v>340</v>
      </c>
    </row>
    <row r="436" spans="1:5" ht="14.25" customHeight="1" x14ac:dyDescent="0.3">
      <c r="A436" s="2" t="s">
        <v>945</v>
      </c>
      <c r="B436" s="2" t="s">
        <v>946</v>
      </c>
      <c r="C436" s="2" t="s">
        <v>35</v>
      </c>
      <c r="D436" s="2">
        <v>28.76</v>
      </c>
      <c r="E436" s="2" t="s">
        <v>340</v>
      </c>
    </row>
    <row r="437" spans="1:5" ht="14.25" customHeight="1" x14ac:dyDescent="0.3">
      <c r="A437" s="2" t="s">
        <v>947</v>
      </c>
      <c r="B437" s="2" t="s">
        <v>948</v>
      </c>
      <c r="C437" s="2" t="s">
        <v>35</v>
      </c>
      <c r="D437" s="2">
        <v>20.39</v>
      </c>
      <c r="E437" s="2" t="s">
        <v>340</v>
      </c>
    </row>
    <row r="438" spans="1:5" ht="14.25" customHeight="1" x14ac:dyDescent="0.3">
      <c r="A438" s="2" t="s">
        <v>949</v>
      </c>
      <c r="B438" s="2" t="s">
        <v>950</v>
      </c>
      <c r="C438" s="2" t="s">
        <v>49</v>
      </c>
      <c r="D438" s="2">
        <v>63.6</v>
      </c>
      <c r="E438" s="2" t="s">
        <v>898</v>
      </c>
    </row>
    <row r="439" spans="1:5" ht="14.25" customHeight="1" x14ac:dyDescent="0.3">
      <c r="A439" s="2" t="s">
        <v>951</v>
      </c>
      <c r="B439" s="2" t="s">
        <v>952</v>
      </c>
      <c r="C439" s="2" t="s">
        <v>49</v>
      </c>
      <c r="D439" s="2">
        <v>54.41</v>
      </c>
      <c r="E439" s="2" t="s">
        <v>898</v>
      </c>
    </row>
    <row r="440" spans="1:5" ht="14.25" customHeight="1" x14ac:dyDescent="0.3">
      <c r="A440" s="2" t="s">
        <v>953</v>
      </c>
      <c r="B440" s="2" t="s">
        <v>954</v>
      </c>
      <c r="C440" s="2" t="s">
        <v>49</v>
      </c>
      <c r="D440" s="2">
        <v>60.6</v>
      </c>
      <c r="E440" s="2" t="s">
        <v>898</v>
      </c>
    </row>
    <row r="441" spans="1:5" ht="14.25" customHeight="1" x14ac:dyDescent="0.3">
      <c r="A441" s="2" t="s">
        <v>955</v>
      </c>
      <c r="B441" s="2" t="s">
        <v>956</v>
      </c>
      <c r="C441" s="2" t="s">
        <v>49</v>
      </c>
      <c r="D441" s="2">
        <v>57.46</v>
      </c>
      <c r="E441" s="2" t="s">
        <v>957</v>
      </c>
    </row>
    <row r="442" spans="1:5" ht="14.25" customHeight="1" x14ac:dyDescent="0.3">
      <c r="A442" s="2" t="s">
        <v>958</v>
      </c>
      <c r="B442" s="2" t="s">
        <v>959</v>
      </c>
      <c r="C442" s="2" t="s">
        <v>49</v>
      </c>
      <c r="D442" s="2">
        <v>26.7</v>
      </c>
      <c r="E442" s="2" t="s">
        <v>957</v>
      </c>
    </row>
    <row r="443" spans="1:5" ht="14.25" customHeight="1" x14ac:dyDescent="0.3">
      <c r="A443" s="2" t="s">
        <v>960</v>
      </c>
      <c r="B443" s="2" t="s">
        <v>959</v>
      </c>
      <c r="C443" s="2" t="s">
        <v>49</v>
      </c>
      <c r="D443" s="2">
        <v>44.92</v>
      </c>
      <c r="E443" s="2" t="s">
        <v>957</v>
      </c>
    </row>
    <row r="444" spans="1:5" ht="14.25" customHeight="1" x14ac:dyDescent="0.3">
      <c r="A444" s="2" t="s">
        <v>961</v>
      </c>
      <c r="B444" s="2" t="s">
        <v>962</v>
      </c>
      <c r="C444" s="2" t="s">
        <v>49</v>
      </c>
      <c r="D444" s="2">
        <v>80.069999999999993</v>
      </c>
      <c r="E444" s="2" t="s">
        <v>957</v>
      </c>
    </row>
    <row r="445" spans="1:5" ht="14.25" customHeight="1" x14ac:dyDescent="0.3">
      <c r="A445" s="2" t="s">
        <v>963</v>
      </c>
      <c r="B445" s="2" t="s">
        <v>964</v>
      </c>
      <c r="C445" s="2" t="s">
        <v>49</v>
      </c>
      <c r="D445" s="2">
        <v>20.55</v>
      </c>
      <c r="E445" s="2" t="s">
        <v>957</v>
      </c>
    </row>
    <row r="446" spans="1:5" ht="14.25" customHeight="1" x14ac:dyDescent="0.3">
      <c r="A446" s="2" t="s">
        <v>965</v>
      </c>
      <c r="B446" s="2" t="s">
        <v>964</v>
      </c>
      <c r="C446" s="2" t="s">
        <v>49</v>
      </c>
      <c r="D446" s="2">
        <v>73.94</v>
      </c>
      <c r="E446" s="2" t="s">
        <v>957</v>
      </c>
    </row>
    <row r="447" spans="1:5" ht="14.25" customHeight="1" x14ac:dyDescent="0.3">
      <c r="A447" s="2" t="s">
        <v>966</v>
      </c>
      <c r="B447" s="2" t="s">
        <v>967</v>
      </c>
      <c r="C447" s="2" t="s">
        <v>25</v>
      </c>
      <c r="D447" s="2">
        <v>14.46</v>
      </c>
      <c r="E447" s="2" t="s">
        <v>957</v>
      </c>
    </row>
    <row r="448" spans="1:5" ht="14.25" customHeight="1" x14ac:dyDescent="0.3">
      <c r="A448" s="2" t="s">
        <v>968</v>
      </c>
      <c r="B448" s="2" t="s">
        <v>969</v>
      </c>
      <c r="C448" s="2" t="s">
        <v>25</v>
      </c>
      <c r="D448" s="2">
        <v>3.23</v>
      </c>
      <c r="E448" s="2" t="s">
        <v>44</v>
      </c>
    </row>
    <row r="449" spans="1:5" ht="14.25" customHeight="1" x14ac:dyDescent="0.3">
      <c r="A449" s="2" t="s">
        <v>970</v>
      </c>
      <c r="B449" s="2" t="s">
        <v>971</v>
      </c>
      <c r="C449" s="2" t="s">
        <v>25</v>
      </c>
      <c r="D449" s="2">
        <v>5.1100000000000003</v>
      </c>
      <c r="E449" s="2" t="s">
        <v>957</v>
      </c>
    </row>
    <row r="450" spans="1:5" ht="14.25" customHeight="1" x14ac:dyDescent="0.3">
      <c r="A450" s="2" t="s">
        <v>972</v>
      </c>
      <c r="B450" s="2" t="s">
        <v>973</v>
      </c>
      <c r="C450" s="2" t="s">
        <v>25</v>
      </c>
      <c r="D450" s="2">
        <v>11.1</v>
      </c>
      <c r="E450" s="2" t="s">
        <v>44</v>
      </c>
    </row>
    <row r="451" spans="1:5" ht="14.25" customHeight="1" x14ac:dyDescent="0.3">
      <c r="A451" s="2" t="s">
        <v>974</v>
      </c>
      <c r="B451" s="2" t="s">
        <v>975</v>
      </c>
      <c r="C451" s="2" t="s">
        <v>25</v>
      </c>
      <c r="D451" s="2">
        <v>6.85</v>
      </c>
      <c r="E451" s="2" t="s">
        <v>44</v>
      </c>
    </row>
    <row r="452" spans="1:5" ht="14.25" customHeight="1" x14ac:dyDescent="0.3">
      <c r="A452" s="2" t="s">
        <v>976</v>
      </c>
      <c r="B452" s="2" t="s">
        <v>977</v>
      </c>
      <c r="C452" s="2" t="s">
        <v>25</v>
      </c>
      <c r="D452" s="2">
        <v>6.81</v>
      </c>
      <c r="E452" s="2" t="s">
        <v>44</v>
      </c>
    </row>
    <row r="453" spans="1:5" ht="14.25" customHeight="1" x14ac:dyDescent="0.3">
      <c r="A453" s="2" t="s">
        <v>978</v>
      </c>
      <c r="B453" s="2" t="s">
        <v>979</v>
      </c>
      <c r="C453" s="2" t="s">
        <v>25</v>
      </c>
      <c r="D453" s="2">
        <v>7.32</v>
      </c>
      <c r="E453" s="2" t="s">
        <v>44</v>
      </c>
    </row>
    <row r="454" spans="1:5" ht="14.25" customHeight="1" x14ac:dyDescent="0.3">
      <c r="A454" s="2" t="s">
        <v>980</v>
      </c>
      <c r="B454" s="2" t="s">
        <v>981</v>
      </c>
      <c r="C454" s="2" t="s">
        <v>25</v>
      </c>
      <c r="D454" s="2">
        <v>14.36</v>
      </c>
      <c r="E454" s="2" t="s">
        <v>982</v>
      </c>
    </row>
    <row r="455" spans="1:5" ht="14.25" customHeight="1" x14ac:dyDescent="0.3">
      <c r="A455" s="2" t="s">
        <v>983</v>
      </c>
      <c r="B455" s="2" t="s">
        <v>984</v>
      </c>
      <c r="C455" s="2" t="s">
        <v>25</v>
      </c>
      <c r="D455" s="2">
        <v>2.5499999999999998</v>
      </c>
      <c r="E455" s="2" t="s">
        <v>982</v>
      </c>
    </row>
    <row r="456" spans="1:5" ht="14.25" customHeight="1" x14ac:dyDescent="0.3">
      <c r="A456" s="2" t="s">
        <v>985</v>
      </c>
      <c r="B456" s="2" t="s">
        <v>986</v>
      </c>
      <c r="C456" s="2" t="s">
        <v>29</v>
      </c>
      <c r="D456" s="2">
        <v>38.72</v>
      </c>
      <c r="E456" s="2" t="s">
        <v>982</v>
      </c>
    </row>
    <row r="457" spans="1:5" ht="14.25" customHeight="1" x14ac:dyDescent="0.3">
      <c r="A457" s="2" t="s">
        <v>987</v>
      </c>
      <c r="B457" s="2" t="s">
        <v>988</v>
      </c>
      <c r="C457" s="2" t="s">
        <v>29</v>
      </c>
      <c r="D457" s="2">
        <v>17.5</v>
      </c>
      <c r="E457" s="2" t="s">
        <v>982</v>
      </c>
    </row>
    <row r="458" spans="1:5" ht="14.25" customHeight="1" x14ac:dyDescent="0.3">
      <c r="A458" s="2" t="s">
        <v>989</v>
      </c>
      <c r="B458" s="2" t="s">
        <v>990</v>
      </c>
      <c r="C458" s="2" t="s">
        <v>29</v>
      </c>
      <c r="D458" s="2">
        <v>24.92</v>
      </c>
      <c r="E458" s="2" t="s">
        <v>982</v>
      </c>
    </row>
    <row r="459" spans="1:5" ht="14.25" customHeight="1" x14ac:dyDescent="0.3">
      <c r="A459" s="2" t="s">
        <v>991</v>
      </c>
      <c r="B459" s="2" t="s">
        <v>992</v>
      </c>
      <c r="C459" s="2" t="s">
        <v>29</v>
      </c>
      <c r="D459" s="2">
        <v>21.04</v>
      </c>
      <c r="E459" s="2" t="s">
        <v>982</v>
      </c>
    </row>
    <row r="460" spans="1:5" ht="14.25" customHeight="1" x14ac:dyDescent="0.3">
      <c r="A460" s="2" t="s">
        <v>993</v>
      </c>
      <c r="B460" s="2" t="s">
        <v>518</v>
      </c>
      <c r="C460" s="2" t="s">
        <v>29</v>
      </c>
      <c r="D460" s="2">
        <v>26.48</v>
      </c>
      <c r="E460" s="2" t="s">
        <v>982</v>
      </c>
    </row>
    <row r="461" spans="1:5" ht="14.25" customHeight="1" x14ac:dyDescent="0.3">
      <c r="A461" s="2" t="s">
        <v>994</v>
      </c>
      <c r="B461" s="2" t="s">
        <v>995</v>
      </c>
      <c r="C461" s="2" t="s">
        <v>29</v>
      </c>
      <c r="D461" s="2">
        <v>13.7</v>
      </c>
      <c r="E461" s="2" t="s">
        <v>982</v>
      </c>
    </row>
    <row r="462" spans="1:5" ht="14.25" customHeight="1" x14ac:dyDescent="0.3">
      <c r="A462" s="2" t="s">
        <v>996</v>
      </c>
      <c r="B462" s="2" t="s">
        <v>518</v>
      </c>
      <c r="C462" s="2" t="s">
        <v>49</v>
      </c>
      <c r="D462" s="2">
        <v>21</v>
      </c>
      <c r="E462" s="2" t="s">
        <v>310</v>
      </c>
    </row>
    <row r="463" spans="1:5" ht="14.25" customHeight="1" x14ac:dyDescent="0.3">
      <c r="A463" s="2" t="s">
        <v>997</v>
      </c>
      <c r="B463" s="2" t="s">
        <v>518</v>
      </c>
      <c r="C463" s="2" t="s">
        <v>29</v>
      </c>
      <c r="D463" s="2">
        <v>37.229999999999997</v>
      </c>
      <c r="E463" s="2" t="s">
        <v>982</v>
      </c>
    </row>
    <row r="464" spans="1:5" ht="14.25" customHeight="1" x14ac:dyDescent="0.3">
      <c r="A464" s="15"/>
      <c r="B464" s="15"/>
      <c r="C464" s="15"/>
      <c r="D464" s="15"/>
      <c r="E464" s="15"/>
    </row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5" right="0.75" top="1" bottom="1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F0E2C-0E17-4281-850D-6297F59F1EC2}">
  <dimension ref="A1:I808"/>
  <sheetViews>
    <sheetView topLeftCell="A4" workbookViewId="0"/>
  </sheetViews>
  <sheetFormatPr defaultRowHeight="15" customHeight="1" x14ac:dyDescent="0.3"/>
  <cols>
    <col min="1" max="1" width="19" customWidth="1"/>
    <col min="2" max="2" width="16.6640625" customWidth="1"/>
    <col min="3" max="3" width="18" customWidth="1"/>
    <col min="4" max="4" width="41.5546875" customWidth="1"/>
    <col min="5" max="5" width="15.88671875" customWidth="1"/>
    <col min="6" max="6" width="21.109375" customWidth="1"/>
    <col min="7" max="7" width="18.6640625" customWidth="1"/>
    <col min="8" max="8" width="18.5546875" customWidth="1"/>
    <col min="9" max="9" width="16.44140625" bestFit="1" customWidth="1"/>
  </cols>
  <sheetData>
    <row r="1" spans="1:9" x14ac:dyDescent="0.3">
      <c r="A1" s="4" t="s">
        <v>2</v>
      </c>
      <c r="B1" s="4" t="s">
        <v>0</v>
      </c>
      <c r="C1" s="4" t="s">
        <v>998</v>
      </c>
      <c r="D1" s="4" t="s">
        <v>1</v>
      </c>
      <c r="E1" s="4" t="s">
        <v>4</v>
      </c>
      <c r="F1" s="4" t="s">
        <v>999</v>
      </c>
      <c r="G1" s="4" t="s">
        <v>1000</v>
      </c>
      <c r="H1" s="4" t="s">
        <v>1001</v>
      </c>
      <c r="I1" s="1"/>
    </row>
    <row r="2" spans="1:9" x14ac:dyDescent="0.3">
      <c r="A2" t="str">
        <f>VLOOKUP(B2,Table3[[#Headers],[#Data]],3,FALSE)</f>
        <v>Beauty</v>
      </c>
      <c r="B2" t="s">
        <v>5</v>
      </c>
      <c r="C2">
        <f>VLOOKUP(B2,Table3[[#Headers],[#Data]],4, FALSE)</f>
        <v>33.08</v>
      </c>
      <c r="D2" t="str">
        <f>VLOOKUP('Rough data'!B2,Table3[[#Headers],[#Data]],2,FALSE)</f>
        <v>Hair Strengthening Mask shea butter 4 pack</v>
      </c>
      <c r="E2" t="str">
        <f>VLOOKUP(B2,Table3[[#Headers],[#Data]],5,FALSE)</f>
        <v>SELL0001</v>
      </c>
      <c r="F2" t="str">
        <f>VLOOKUP(E2,Table2[[#Headers],[#Data],[seller_id]:[seller_user]],2,FALSE)</f>
        <v>beauty4everyone</v>
      </c>
      <c r="G2">
        <v>1</v>
      </c>
      <c r="H2">
        <f t="shared" ref="H2:H65" si="0">G2*C2</f>
        <v>33.08</v>
      </c>
    </row>
    <row r="3" spans="1:9" x14ac:dyDescent="0.3">
      <c r="A3" t="str">
        <f>VLOOKUP(B3,Table3[[#Headers],[#Data]],3,FALSE)</f>
        <v>Stationery</v>
      </c>
      <c r="B3" t="s">
        <v>23</v>
      </c>
      <c r="C3">
        <f>VLOOKUP(B3,Table3[[#Headers],[#Data]],4, FALSE)</f>
        <v>4.47</v>
      </c>
      <c r="D3" t="str">
        <f>VLOOKUP('Rough data'!B3,Table3[[#Headers],[#Data]],2,FALSE)</f>
        <v>Highlighter Set Bright 4 pen</v>
      </c>
      <c r="E3" t="str">
        <f>VLOOKUP(B3,Table3[[#Headers],[#Data]],5,FALSE)</f>
        <v>SELL0005</v>
      </c>
      <c r="F3" t="str">
        <f>VLOOKUP(E3,Table2[[#Headers],[#Data],[seller_id]:[seller_user]],2,FALSE)</f>
        <v>pensandthings</v>
      </c>
      <c r="G3">
        <v>2</v>
      </c>
      <c r="H3">
        <f t="shared" si="0"/>
        <v>8.94</v>
      </c>
    </row>
    <row r="4" spans="1:9" x14ac:dyDescent="0.3">
      <c r="A4" t="str">
        <f>VLOOKUP(B4,Table3[[#Headers],[#Data]],3,FALSE)</f>
        <v>Stationery</v>
      </c>
      <c r="B4" t="s">
        <v>23</v>
      </c>
      <c r="C4">
        <f>VLOOKUP(B4,Table3[[#Headers],[#Data]],4, FALSE)</f>
        <v>4.47</v>
      </c>
      <c r="D4" t="str">
        <f>VLOOKUP('Rough data'!B4,Table3[[#Headers],[#Data]],2,FALSE)</f>
        <v>Highlighter Set Bright 4 pen</v>
      </c>
      <c r="E4" t="str">
        <f>VLOOKUP(B4,Table3[[#Headers],[#Data]],5,FALSE)</f>
        <v>SELL0005</v>
      </c>
      <c r="F4" t="str">
        <f>VLOOKUP(E4,Table2[[#Headers],[#Data],[seller_id]:[seller_user]],2,FALSE)</f>
        <v>pensandthings</v>
      </c>
      <c r="G4">
        <v>1</v>
      </c>
      <c r="H4">
        <f t="shared" si="0"/>
        <v>4.47</v>
      </c>
    </row>
    <row r="5" spans="1:9" x14ac:dyDescent="0.3">
      <c r="A5" t="str">
        <f>VLOOKUP(B5,Table3[[#Headers],[#Data]],3,FALSE)</f>
        <v>Toys</v>
      </c>
      <c r="B5" t="s">
        <v>27</v>
      </c>
      <c r="C5">
        <f>VLOOKUP(B5,Table3[[#Headers],[#Data]],4, FALSE)</f>
        <v>38.25</v>
      </c>
      <c r="D5" t="str">
        <f>VLOOKUP('Rough data'!B5,Table3[[#Headers],[#Data]],2,FALSE)</f>
        <v>Slime Lab Blue 8pc</v>
      </c>
      <c r="E5" t="str">
        <f>VLOOKUP(B5,Table3[[#Headers],[#Data]],5,FALSE)</f>
        <v>SELL0006</v>
      </c>
      <c r="F5" t="str">
        <f>VLOOKUP(E5,Table2[[#Headers],[#Data],[seller_id]:[seller_user]],2,FALSE)</f>
        <v>toysyay</v>
      </c>
      <c r="G5">
        <v>1</v>
      </c>
      <c r="H5">
        <f t="shared" si="0"/>
        <v>38.25</v>
      </c>
    </row>
    <row r="6" spans="1:9" x14ac:dyDescent="0.3">
      <c r="A6" t="str">
        <f>VLOOKUP(B6,Table3[[#Headers],[#Data]],3,FALSE)</f>
        <v>Toys</v>
      </c>
      <c r="B6" t="s">
        <v>31</v>
      </c>
      <c r="C6">
        <f>VLOOKUP(B6,Table3[[#Headers],[#Data]],4, FALSE)</f>
        <v>38.25</v>
      </c>
      <c r="D6" t="str">
        <f>VLOOKUP('Rough data'!B6,Table3[[#Headers],[#Data]],2,FALSE)</f>
        <v>Slime Lab Green 8pc</v>
      </c>
      <c r="E6" t="str">
        <f>VLOOKUP(B6,Table3[[#Headers],[#Data]],5,FALSE)</f>
        <v>SELL0006</v>
      </c>
      <c r="F6" t="str">
        <f>VLOOKUP(E6,Table2[[#Headers],[#Data],[seller_id]:[seller_user]],2,FALSE)</f>
        <v>toysyay</v>
      </c>
      <c r="G6">
        <v>1</v>
      </c>
      <c r="H6">
        <f t="shared" si="0"/>
        <v>38.25</v>
      </c>
    </row>
    <row r="7" spans="1:9" x14ac:dyDescent="0.3">
      <c r="A7" t="str">
        <f>VLOOKUP(B7,Table3[[#Headers],[#Data]],3,FALSE)</f>
        <v>Toys</v>
      </c>
      <c r="B7" t="s">
        <v>31</v>
      </c>
      <c r="C7">
        <f>VLOOKUP(B7,Table3[[#Headers],[#Data]],4, FALSE)</f>
        <v>38.25</v>
      </c>
      <c r="D7" t="str">
        <f>VLOOKUP('Rough data'!B7,Table3[[#Headers],[#Data]],2,FALSE)</f>
        <v>Slime Lab Green 8pc</v>
      </c>
      <c r="E7" t="str">
        <f>VLOOKUP(B7,Table3[[#Headers],[#Data]],5,FALSE)</f>
        <v>SELL0006</v>
      </c>
      <c r="F7" t="str">
        <f>VLOOKUP(E7,Table2[[#Headers],[#Data],[seller_id]:[seller_user]],2,FALSE)</f>
        <v>toysyay</v>
      </c>
      <c r="G7">
        <v>1</v>
      </c>
      <c r="H7">
        <f t="shared" si="0"/>
        <v>38.25</v>
      </c>
    </row>
    <row r="8" spans="1:9" x14ac:dyDescent="0.3">
      <c r="A8" t="str">
        <f>VLOOKUP(B8,Table3[[#Headers],[#Data]],3,FALSE)</f>
        <v>Clothes</v>
      </c>
      <c r="B8" t="s">
        <v>37</v>
      </c>
      <c r="C8">
        <f>VLOOKUP(B8,Table3[[#Headers],[#Data]],4, FALSE)</f>
        <v>30.71</v>
      </c>
      <c r="D8" t="str">
        <f>VLOOKUP('Rough data'!B8,Table3[[#Headers],[#Data]],2,FALSE)</f>
        <v>Summer Dress - Floral</v>
      </c>
      <c r="E8" t="str">
        <f>VLOOKUP(B8,Table3[[#Headers],[#Data]],5,FALSE)</f>
        <v>SELL0008</v>
      </c>
      <c r="F8" t="str">
        <f>VLOOKUP(E8,Table2[[#Headers],[#Data],[seller_id]:[seller_user]],2,FALSE)</f>
        <v>peterpiper</v>
      </c>
      <c r="G8">
        <v>1</v>
      </c>
      <c r="H8">
        <f t="shared" si="0"/>
        <v>30.71</v>
      </c>
    </row>
    <row r="9" spans="1:9" x14ac:dyDescent="0.3">
      <c r="A9" t="str">
        <f>VLOOKUP(B9,Table3[[#Headers],[#Data]],3,FALSE)</f>
        <v>Clothes</v>
      </c>
      <c r="B9" t="s">
        <v>37</v>
      </c>
      <c r="C9">
        <f>VLOOKUP(B9,Table3[[#Headers],[#Data]],4, FALSE)</f>
        <v>30.71</v>
      </c>
      <c r="D9" t="str">
        <f>VLOOKUP('Rough data'!B9,Table3[[#Headers],[#Data]],2,FALSE)</f>
        <v>Summer Dress - Floral</v>
      </c>
      <c r="E9" t="str">
        <f>VLOOKUP(B9,Table3[[#Headers],[#Data]],5,FALSE)</f>
        <v>SELL0008</v>
      </c>
      <c r="F9" t="str">
        <f>VLOOKUP(E9,Table2[[#Headers],[#Data],[seller_id]:[seller_user]],2,FALSE)</f>
        <v>peterpiper</v>
      </c>
      <c r="G9">
        <v>1</v>
      </c>
      <c r="H9">
        <f t="shared" si="0"/>
        <v>30.71</v>
      </c>
    </row>
    <row r="10" spans="1:9" x14ac:dyDescent="0.3">
      <c r="A10" t="str">
        <f>VLOOKUP(B10,Table3[[#Headers],[#Data]],3,FALSE)</f>
        <v>Stationery</v>
      </c>
      <c r="B10" t="s">
        <v>42</v>
      </c>
      <c r="C10">
        <f>VLOOKUP(B10,Table3[[#Headers],[#Data]],4, FALSE)</f>
        <v>7.06</v>
      </c>
      <c r="D10" t="str">
        <f>VLOOKUP('Rough data'!B10,Table3[[#Headers],[#Data]],2,FALSE)</f>
        <v>Whiteboard Markers - 6 pack</v>
      </c>
      <c r="E10" t="str">
        <f>VLOOKUP(B10,Table3[[#Headers],[#Data]],5,FALSE)</f>
        <v>SELL0010</v>
      </c>
      <c r="F10" t="str">
        <f>VLOOKUP(E10,Table2[[#Headers],[#Data],[seller_id]:[seller_user]],2,FALSE)</f>
        <v>hobbylobby</v>
      </c>
      <c r="G10">
        <v>2</v>
      </c>
      <c r="H10">
        <f t="shared" si="0"/>
        <v>14.12</v>
      </c>
    </row>
    <row r="11" spans="1:9" x14ac:dyDescent="0.3">
      <c r="A11" t="str">
        <f>VLOOKUP(B11,Table3[[#Headers],[#Data]],3,FALSE)</f>
        <v>Stationery</v>
      </c>
      <c r="B11" t="s">
        <v>42</v>
      </c>
      <c r="C11">
        <f>VLOOKUP(B11,Table3[[#Headers],[#Data]],4, FALSE)</f>
        <v>7.06</v>
      </c>
      <c r="D11" t="str">
        <f>VLOOKUP('Rough data'!B11,Table3[[#Headers],[#Data]],2,FALSE)</f>
        <v>Whiteboard Markers - 6 pack</v>
      </c>
      <c r="E11" t="str">
        <f>VLOOKUP(B11,Table3[[#Headers],[#Data]],5,FALSE)</f>
        <v>SELL0010</v>
      </c>
      <c r="F11" t="str">
        <f>VLOOKUP(E11,Table2[[#Headers],[#Data],[seller_id]:[seller_user]],2,FALSE)</f>
        <v>hobbylobby</v>
      </c>
      <c r="G11">
        <v>2</v>
      </c>
      <c r="H11">
        <f t="shared" si="0"/>
        <v>14.12</v>
      </c>
    </row>
    <row r="12" spans="1:9" x14ac:dyDescent="0.3">
      <c r="A12" t="str">
        <f>VLOOKUP(B12,Table3[[#Headers],[#Data]],3,FALSE)</f>
        <v>Health</v>
      </c>
      <c r="B12" t="s">
        <v>45</v>
      </c>
      <c r="C12">
        <f>VLOOKUP(B12,Table3[[#Headers],[#Data]],4, FALSE)</f>
        <v>37.4</v>
      </c>
      <c r="D12" t="str">
        <f>VLOOKUP('Rough data'!B12,Table3[[#Headers],[#Data]],2,FALSE)</f>
        <v>Heat Therapy Pad</v>
      </c>
      <c r="E12" t="str">
        <f>VLOOKUP(B12,Table3[[#Headers],[#Data]],5,FALSE)</f>
        <v>SELL0011</v>
      </c>
      <c r="F12" t="str">
        <f>VLOOKUP(E12,Table2[[#Headers],[#Data],[seller_id]:[seller_user]],2,FALSE)</f>
        <v>dr-green</v>
      </c>
      <c r="G12">
        <v>2</v>
      </c>
      <c r="H12">
        <f t="shared" si="0"/>
        <v>74.8</v>
      </c>
    </row>
    <row r="13" spans="1:9" x14ac:dyDescent="0.3">
      <c r="A13" t="str">
        <f>VLOOKUP(B13,Table3[[#Headers],[#Data]],3,FALSE)</f>
        <v>Outdoor</v>
      </c>
      <c r="B13" t="s">
        <v>47</v>
      </c>
      <c r="C13">
        <f>VLOOKUP(B13,Table3[[#Headers],[#Data]],4, FALSE)</f>
        <v>46.45</v>
      </c>
      <c r="D13" t="str">
        <f>VLOOKUP('Rough data'!B13,Table3[[#Headers],[#Data]],2,FALSE)</f>
        <v>Waterproof Picnic Mat 100x100</v>
      </c>
      <c r="E13" t="str">
        <f>VLOOKUP(B13,Table3[[#Headers],[#Data]],5,FALSE)</f>
        <v>SELL0012</v>
      </c>
      <c r="F13" t="str">
        <f>VLOOKUP(E13,Table2[[#Headers],[#Data],[seller_id]:[seller_user]],2,FALSE)</f>
        <v>jane-outside</v>
      </c>
      <c r="G13">
        <v>1</v>
      </c>
      <c r="H13">
        <f t="shared" si="0"/>
        <v>46.45</v>
      </c>
    </row>
    <row r="14" spans="1:9" x14ac:dyDescent="0.3">
      <c r="A14" t="str">
        <f>VLOOKUP(B14,Table3[[#Headers],[#Data]],3,FALSE)</f>
        <v>Outdoor</v>
      </c>
      <c r="B14" t="s">
        <v>47</v>
      </c>
      <c r="C14">
        <f>VLOOKUP(B14,Table3[[#Headers],[#Data]],4, FALSE)</f>
        <v>46.45</v>
      </c>
      <c r="D14" t="str">
        <f>VLOOKUP('Rough data'!B14,Table3[[#Headers],[#Data]],2,FALSE)</f>
        <v>Waterproof Picnic Mat 100x100</v>
      </c>
      <c r="E14" t="str">
        <f>VLOOKUP(B14,Table3[[#Headers],[#Data]],5,FALSE)</f>
        <v>SELL0012</v>
      </c>
      <c r="F14" t="str">
        <f>VLOOKUP(E14,Table2[[#Headers],[#Data],[seller_id]:[seller_user]],2,FALSE)</f>
        <v>jane-outside</v>
      </c>
      <c r="G14">
        <v>1</v>
      </c>
      <c r="H14">
        <f t="shared" si="0"/>
        <v>46.45</v>
      </c>
    </row>
    <row r="15" spans="1:9" x14ac:dyDescent="0.3">
      <c r="A15" t="str">
        <f>VLOOKUP(B15,Table3[[#Headers],[#Data]],3,FALSE)</f>
        <v>Outdoor</v>
      </c>
      <c r="B15" t="s">
        <v>47</v>
      </c>
      <c r="C15">
        <f>VLOOKUP(B15,Table3[[#Headers],[#Data]],4, FALSE)</f>
        <v>46.45</v>
      </c>
      <c r="D15" t="str">
        <f>VLOOKUP('Rough data'!B15,Table3[[#Headers],[#Data]],2,FALSE)</f>
        <v>Waterproof Picnic Mat 100x100</v>
      </c>
      <c r="E15" t="str">
        <f>VLOOKUP(B15,Table3[[#Headers],[#Data]],5,FALSE)</f>
        <v>SELL0012</v>
      </c>
      <c r="F15" t="str">
        <f>VLOOKUP(E15,Table2[[#Headers],[#Data],[seller_id]:[seller_user]],2,FALSE)</f>
        <v>jane-outside</v>
      </c>
      <c r="G15">
        <v>1</v>
      </c>
      <c r="H15">
        <f t="shared" si="0"/>
        <v>46.45</v>
      </c>
    </row>
    <row r="16" spans="1:9" x14ac:dyDescent="0.3">
      <c r="A16" t="str">
        <f>VLOOKUP(B16,Table3[[#Headers],[#Data]],3,FALSE)</f>
        <v>Outdoor</v>
      </c>
      <c r="B16" t="s">
        <v>47</v>
      </c>
      <c r="C16">
        <f>VLOOKUP(B16,Table3[[#Headers],[#Data]],4, FALSE)</f>
        <v>46.45</v>
      </c>
      <c r="D16" t="str">
        <f>VLOOKUP('Rough data'!B16,Table3[[#Headers],[#Data]],2,FALSE)</f>
        <v>Waterproof Picnic Mat 100x100</v>
      </c>
      <c r="E16" t="str">
        <f>VLOOKUP(B16,Table3[[#Headers],[#Data]],5,FALSE)</f>
        <v>SELL0012</v>
      </c>
      <c r="F16" t="str">
        <f>VLOOKUP(E16,Table2[[#Headers],[#Data],[seller_id]:[seller_user]],2,FALSE)</f>
        <v>jane-outside</v>
      </c>
      <c r="G16">
        <v>2</v>
      </c>
      <c r="H16">
        <f t="shared" si="0"/>
        <v>92.9</v>
      </c>
    </row>
    <row r="17" spans="1:8" x14ac:dyDescent="0.3">
      <c r="A17" t="str">
        <f>VLOOKUP(B17,Table3[[#Headers],[#Data]],3,FALSE)</f>
        <v>Outdoor</v>
      </c>
      <c r="B17" t="s">
        <v>47</v>
      </c>
      <c r="C17">
        <f>VLOOKUP(B17,Table3[[#Headers],[#Data]],4, FALSE)</f>
        <v>46.45</v>
      </c>
      <c r="D17" t="str">
        <f>VLOOKUP('Rough data'!B17,Table3[[#Headers],[#Data]],2,FALSE)</f>
        <v>Waterproof Picnic Mat 100x100</v>
      </c>
      <c r="E17" t="str">
        <f>VLOOKUP(B17,Table3[[#Headers],[#Data]],5,FALSE)</f>
        <v>SELL0012</v>
      </c>
      <c r="F17" t="str">
        <f>VLOOKUP(E17,Table2[[#Headers],[#Data],[seller_id]:[seller_user]],2,FALSE)</f>
        <v>jane-outside</v>
      </c>
      <c r="G17">
        <v>1</v>
      </c>
      <c r="H17">
        <f t="shared" si="0"/>
        <v>46.45</v>
      </c>
    </row>
    <row r="18" spans="1:8" x14ac:dyDescent="0.3">
      <c r="A18" t="str">
        <f>VLOOKUP(B18,Table3[[#Headers],[#Data]],3,FALSE)</f>
        <v>Outdoor</v>
      </c>
      <c r="B18" t="s">
        <v>51</v>
      </c>
      <c r="C18">
        <f>VLOOKUP(B18,Table3[[#Headers],[#Data]],4, FALSE)</f>
        <v>48.06</v>
      </c>
      <c r="D18" t="str">
        <f>VLOOKUP('Rough data'!B18,Table3[[#Headers],[#Data]],2,FALSE)</f>
        <v>Garden Lights 4 pack Solar Power</v>
      </c>
      <c r="E18" t="str">
        <f>VLOOKUP(B18,Table3[[#Headers],[#Data]],5,FALSE)</f>
        <v>SELL0014</v>
      </c>
      <c r="F18" t="str">
        <f>VLOOKUP(E18,Table2[[#Headers],[#Data],[seller_id]:[seller_user]],2,FALSE)</f>
        <v>gardenandco</v>
      </c>
      <c r="G18">
        <v>1</v>
      </c>
      <c r="H18">
        <f t="shared" si="0"/>
        <v>48.06</v>
      </c>
    </row>
    <row r="19" spans="1:8" x14ac:dyDescent="0.3">
      <c r="A19" t="str">
        <f>VLOOKUP(B19,Table3[[#Headers],[#Data]],3,FALSE)</f>
        <v>Outdoor</v>
      </c>
      <c r="B19" t="s">
        <v>51</v>
      </c>
      <c r="C19">
        <f>VLOOKUP(B19,Table3[[#Headers],[#Data]],4, FALSE)</f>
        <v>48.06</v>
      </c>
      <c r="D19" t="str">
        <f>VLOOKUP('Rough data'!B19,Table3[[#Headers],[#Data]],2,FALSE)</f>
        <v>Garden Lights 4 pack Solar Power</v>
      </c>
      <c r="E19" t="str">
        <f>VLOOKUP(B19,Table3[[#Headers],[#Data]],5,FALSE)</f>
        <v>SELL0014</v>
      </c>
      <c r="F19" t="str">
        <f>VLOOKUP(E19,Table2[[#Headers],[#Data],[seller_id]:[seller_user]],2,FALSE)</f>
        <v>gardenandco</v>
      </c>
      <c r="G19">
        <v>1</v>
      </c>
      <c r="H19">
        <f t="shared" si="0"/>
        <v>48.06</v>
      </c>
    </row>
    <row r="20" spans="1:8" x14ac:dyDescent="0.3">
      <c r="A20" t="str">
        <f>VLOOKUP(B20,Table3[[#Headers],[#Data]],3,FALSE)</f>
        <v>Outdoor</v>
      </c>
      <c r="B20" t="s">
        <v>51</v>
      </c>
      <c r="C20">
        <f>VLOOKUP(B20,Table3[[#Headers],[#Data]],4, FALSE)</f>
        <v>48.06</v>
      </c>
      <c r="D20" t="str">
        <f>VLOOKUP('Rough data'!B20,Table3[[#Headers],[#Data]],2,FALSE)</f>
        <v>Garden Lights 4 pack Solar Power</v>
      </c>
      <c r="E20" t="str">
        <f>VLOOKUP(B20,Table3[[#Headers],[#Data]],5,FALSE)</f>
        <v>SELL0014</v>
      </c>
      <c r="F20" t="str">
        <f>VLOOKUP(E20,Table2[[#Headers],[#Data],[seller_id]:[seller_user]],2,FALSE)</f>
        <v>gardenandco</v>
      </c>
      <c r="G20">
        <v>1</v>
      </c>
      <c r="H20">
        <f t="shared" si="0"/>
        <v>48.06</v>
      </c>
    </row>
    <row r="21" spans="1:8" x14ac:dyDescent="0.3">
      <c r="A21" t="str">
        <f>VLOOKUP(B21,Table3[[#Headers],[#Data]],3,FALSE)</f>
        <v>Outdoor</v>
      </c>
      <c r="B21" t="s">
        <v>51</v>
      </c>
      <c r="C21">
        <f>VLOOKUP(B21,Table3[[#Headers],[#Data]],4, FALSE)</f>
        <v>48.06</v>
      </c>
      <c r="D21" t="str">
        <f>VLOOKUP('Rough data'!B21,Table3[[#Headers],[#Data]],2,FALSE)</f>
        <v>Garden Lights 4 pack Solar Power</v>
      </c>
      <c r="E21" t="str">
        <f>VLOOKUP(B21,Table3[[#Headers],[#Data]],5,FALSE)</f>
        <v>SELL0014</v>
      </c>
      <c r="F21" t="str">
        <f>VLOOKUP(E21,Table2[[#Headers],[#Data],[seller_id]:[seller_user]],2,FALSE)</f>
        <v>gardenandco</v>
      </c>
      <c r="G21">
        <v>1</v>
      </c>
      <c r="H21">
        <f t="shared" si="0"/>
        <v>48.06</v>
      </c>
    </row>
    <row r="22" spans="1:8" x14ac:dyDescent="0.3">
      <c r="A22" t="str">
        <f>VLOOKUP(B22,Table3[[#Headers],[#Data]],3,FALSE)</f>
        <v>Outdoor</v>
      </c>
      <c r="B22" t="s">
        <v>54</v>
      </c>
      <c r="C22">
        <f>VLOOKUP(B22,Table3[[#Headers],[#Data]],4, FALSE)</f>
        <v>73.55</v>
      </c>
      <c r="D22" t="str">
        <f>VLOOKUP('Rough data'!B22,Table3[[#Headers],[#Data]],2,FALSE)</f>
        <v>Stainless Steel Grill Basket XL</v>
      </c>
      <c r="E22" t="str">
        <f>VLOOKUP(B22,Table3[[#Headers],[#Data]],5,FALSE)</f>
        <v>SELL0015</v>
      </c>
      <c r="F22" t="str">
        <f>VLOOKUP(E22,Table2[[#Headers],[#Data],[seller_id]:[seller_user]],2,FALSE)</f>
        <v>outhomelovely</v>
      </c>
      <c r="G22">
        <v>1</v>
      </c>
      <c r="H22">
        <f t="shared" si="0"/>
        <v>73.55</v>
      </c>
    </row>
    <row r="23" spans="1:8" x14ac:dyDescent="0.3">
      <c r="A23" t="str">
        <f>VLOOKUP(B23,Table3[[#Headers],[#Data]],3,FALSE)</f>
        <v>Outdoor</v>
      </c>
      <c r="B23" t="s">
        <v>54</v>
      </c>
      <c r="C23">
        <f>VLOOKUP(B23,Table3[[#Headers],[#Data]],4, FALSE)</f>
        <v>73.55</v>
      </c>
      <c r="D23" t="str">
        <f>VLOOKUP('Rough data'!B23,Table3[[#Headers],[#Data]],2,FALSE)</f>
        <v>Stainless Steel Grill Basket XL</v>
      </c>
      <c r="E23" t="str">
        <f>VLOOKUP(B23,Table3[[#Headers],[#Data]],5,FALSE)</f>
        <v>SELL0015</v>
      </c>
      <c r="F23" t="str">
        <f>VLOOKUP(E23,Table2[[#Headers],[#Data],[seller_id]:[seller_user]],2,FALSE)</f>
        <v>outhomelovely</v>
      </c>
      <c r="G23">
        <v>1</v>
      </c>
      <c r="H23">
        <f t="shared" si="0"/>
        <v>73.55</v>
      </c>
    </row>
    <row r="24" spans="1:8" x14ac:dyDescent="0.3">
      <c r="A24" t="str">
        <f>VLOOKUP(B24,Table3[[#Headers],[#Data]],3,FALSE)</f>
        <v>Outdoor</v>
      </c>
      <c r="B24" t="s">
        <v>54</v>
      </c>
      <c r="C24">
        <f>VLOOKUP(B24,Table3[[#Headers],[#Data]],4, FALSE)</f>
        <v>73.55</v>
      </c>
      <c r="D24" t="str">
        <f>VLOOKUP('Rough data'!B24,Table3[[#Headers],[#Data]],2,FALSE)</f>
        <v>Stainless Steel Grill Basket XL</v>
      </c>
      <c r="E24" t="str">
        <f>VLOOKUP(B24,Table3[[#Headers],[#Data]],5,FALSE)</f>
        <v>SELL0015</v>
      </c>
      <c r="F24" t="str">
        <f>VLOOKUP(E24,Table2[[#Headers],[#Data],[seller_id]:[seller_user]],2,FALSE)</f>
        <v>outhomelovely</v>
      </c>
      <c r="G24">
        <v>1</v>
      </c>
      <c r="H24">
        <f t="shared" si="0"/>
        <v>73.55</v>
      </c>
    </row>
    <row r="25" spans="1:8" x14ac:dyDescent="0.3">
      <c r="A25" t="str">
        <f>VLOOKUP(B25,Table3[[#Headers],[#Data]],3,FALSE)</f>
        <v>Outdoor</v>
      </c>
      <c r="B25" t="s">
        <v>57</v>
      </c>
      <c r="C25">
        <f>VLOOKUP(B25,Table3[[#Headers],[#Data]],4, FALSE)</f>
        <v>13.71</v>
      </c>
      <c r="D25" t="str">
        <f>VLOOKUP('Rough data'!B25,Table3[[#Headers],[#Data]],2,FALSE)</f>
        <v>BBQ Skewers - 12 pack (Bamboo)</v>
      </c>
      <c r="E25" t="str">
        <f>VLOOKUP(B25,Table3[[#Headers],[#Data]],5,FALSE)</f>
        <v>SELL0016</v>
      </c>
      <c r="F25" t="str">
        <f>VLOOKUP(E25,Table2[[#Headers],[#Data],[seller_id]:[seller_user]],2,FALSE)</f>
        <v>abracadabra_002</v>
      </c>
      <c r="G25">
        <v>3</v>
      </c>
      <c r="H25">
        <f t="shared" si="0"/>
        <v>41.13</v>
      </c>
    </row>
    <row r="26" spans="1:8" x14ac:dyDescent="0.3">
      <c r="A26" t="str">
        <f>VLOOKUP(B26,Table3[[#Headers],[#Data]],3,FALSE)</f>
        <v>Outdoor</v>
      </c>
      <c r="B26" t="s">
        <v>57</v>
      </c>
      <c r="C26">
        <f>VLOOKUP(B26,Table3[[#Headers],[#Data]],4, FALSE)</f>
        <v>13.71</v>
      </c>
      <c r="D26" t="str">
        <f>VLOOKUP('Rough data'!B26,Table3[[#Headers],[#Data]],2,FALSE)</f>
        <v>BBQ Skewers - 12 pack (Bamboo)</v>
      </c>
      <c r="E26" t="str">
        <f>VLOOKUP(B26,Table3[[#Headers],[#Data]],5,FALSE)</f>
        <v>SELL0016</v>
      </c>
      <c r="F26" t="str">
        <f>VLOOKUP(E26,Table2[[#Headers],[#Data],[seller_id]:[seller_user]],2,FALSE)</f>
        <v>abracadabra_002</v>
      </c>
      <c r="G26">
        <v>1</v>
      </c>
      <c r="H26">
        <f t="shared" si="0"/>
        <v>13.71</v>
      </c>
    </row>
    <row r="27" spans="1:8" x14ac:dyDescent="0.3">
      <c r="A27" t="str">
        <f>VLOOKUP(B27,Table3[[#Headers],[#Data]],3,FALSE)</f>
        <v>Outdoor</v>
      </c>
      <c r="B27" t="s">
        <v>57</v>
      </c>
      <c r="C27">
        <f>VLOOKUP(B27,Table3[[#Headers],[#Data]],4, FALSE)</f>
        <v>13.71</v>
      </c>
      <c r="D27" t="str">
        <f>VLOOKUP('Rough data'!B27,Table3[[#Headers],[#Data]],2,FALSE)</f>
        <v>BBQ Skewers - 12 pack (Bamboo)</v>
      </c>
      <c r="E27" t="str">
        <f>VLOOKUP(B27,Table3[[#Headers],[#Data]],5,FALSE)</f>
        <v>SELL0016</v>
      </c>
      <c r="F27" t="str">
        <f>VLOOKUP(E27,Table2[[#Headers],[#Data],[seller_id]:[seller_user]],2,FALSE)</f>
        <v>abracadabra_002</v>
      </c>
      <c r="G27">
        <v>3</v>
      </c>
      <c r="H27">
        <f t="shared" si="0"/>
        <v>41.13</v>
      </c>
    </row>
    <row r="28" spans="1:8" x14ac:dyDescent="0.3">
      <c r="A28" t="str">
        <f>VLOOKUP(B28,Table3[[#Headers],[#Data]],3,FALSE)</f>
        <v>Outdoor</v>
      </c>
      <c r="B28" t="s">
        <v>57</v>
      </c>
      <c r="C28">
        <f>VLOOKUP(B28,Table3[[#Headers],[#Data]],4, FALSE)</f>
        <v>13.71</v>
      </c>
      <c r="D28" t="str">
        <f>VLOOKUP('Rough data'!B28,Table3[[#Headers],[#Data]],2,FALSE)</f>
        <v>BBQ Skewers - 12 pack (Bamboo)</v>
      </c>
      <c r="E28" t="str">
        <f>VLOOKUP(B28,Table3[[#Headers],[#Data]],5,FALSE)</f>
        <v>SELL0016</v>
      </c>
      <c r="F28" t="str">
        <f>VLOOKUP(E28,Table2[[#Headers],[#Data],[seller_id]:[seller_user]],2,FALSE)</f>
        <v>abracadabra_002</v>
      </c>
      <c r="G28">
        <v>1</v>
      </c>
      <c r="H28">
        <f t="shared" si="0"/>
        <v>13.71</v>
      </c>
    </row>
    <row r="29" spans="1:8" x14ac:dyDescent="0.3">
      <c r="A29" t="str">
        <f>VLOOKUP(B29,Table3[[#Headers],[#Data]],3,FALSE)</f>
        <v>Outdoor</v>
      </c>
      <c r="B29" t="s">
        <v>57</v>
      </c>
      <c r="C29">
        <f>VLOOKUP(B29,Table3[[#Headers],[#Data]],4, FALSE)</f>
        <v>13.71</v>
      </c>
      <c r="D29" t="str">
        <f>VLOOKUP('Rough data'!B29,Table3[[#Headers],[#Data]],2,FALSE)</f>
        <v>BBQ Skewers - 12 pack (Bamboo)</v>
      </c>
      <c r="E29" t="str">
        <f>VLOOKUP(B29,Table3[[#Headers],[#Data]],5,FALSE)</f>
        <v>SELL0016</v>
      </c>
      <c r="F29" t="str">
        <f>VLOOKUP(E29,Table2[[#Headers],[#Data],[seller_id]:[seller_user]],2,FALSE)</f>
        <v>abracadabra_002</v>
      </c>
      <c r="G29">
        <v>1</v>
      </c>
      <c r="H29">
        <f t="shared" si="0"/>
        <v>13.71</v>
      </c>
    </row>
    <row r="30" spans="1:8" x14ac:dyDescent="0.3">
      <c r="A30" t="str">
        <f>VLOOKUP(B30,Table3[[#Headers],[#Data]],3,FALSE)</f>
        <v>Outdoor</v>
      </c>
      <c r="B30" t="s">
        <v>57</v>
      </c>
      <c r="C30">
        <f>VLOOKUP(B30,Table3[[#Headers],[#Data]],4, FALSE)</f>
        <v>13.71</v>
      </c>
      <c r="D30" t="str">
        <f>VLOOKUP('Rough data'!B30,Table3[[#Headers],[#Data]],2,FALSE)</f>
        <v>BBQ Skewers - 12 pack (Bamboo)</v>
      </c>
      <c r="E30" t="str">
        <f>VLOOKUP(B30,Table3[[#Headers],[#Data]],5,FALSE)</f>
        <v>SELL0016</v>
      </c>
      <c r="F30" t="str">
        <f>VLOOKUP(E30,Table2[[#Headers],[#Data],[seller_id]:[seller_user]],2,FALSE)</f>
        <v>abracadabra_002</v>
      </c>
      <c r="G30">
        <v>1</v>
      </c>
      <c r="H30">
        <f t="shared" si="0"/>
        <v>13.71</v>
      </c>
    </row>
    <row r="31" spans="1:8" x14ac:dyDescent="0.3">
      <c r="A31" t="str">
        <f>VLOOKUP(B31,Table3[[#Headers],[#Data]],3,FALSE)</f>
        <v>Outdoor</v>
      </c>
      <c r="B31" t="s">
        <v>57</v>
      </c>
      <c r="C31">
        <f>VLOOKUP(B31,Table3[[#Headers],[#Data]],4, FALSE)</f>
        <v>13.71</v>
      </c>
      <c r="D31" t="str">
        <f>VLOOKUP('Rough data'!B31,Table3[[#Headers],[#Data]],2,FALSE)</f>
        <v>BBQ Skewers - 12 pack (Bamboo)</v>
      </c>
      <c r="E31" t="str">
        <f>VLOOKUP(B31,Table3[[#Headers],[#Data]],5,FALSE)</f>
        <v>SELL0016</v>
      </c>
      <c r="F31" t="str">
        <f>VLOOKUP(E31,Table2[[#Headers],[#Data],[seller_id]:[seller_user]],2,FALSE)</f>
        <v>abracadabra_002</v>
      </c>
      <c r="G31">
        <v>1</v>
      </c>
      <c r="H31">
        <f t="shared" si="0"/>
        <v>13.71</v>
      </c>
    </row>
    <row r="32" spans="1:8" x14ac:dyDescent="0.3">
      <c r="A32" t="str">
        <f>VLOOKUP(B32,Table3[[#Headers],[#Data]],3,FALSE)</f>
        <v>Outdoor</v>
      </c>
      <c r="B32" t="s">
        <v>57</v>
      </c>
      <c r="C32">
        <f>VLOOKUP(B32,Table3[[#Headers],[#Data]],4, FALSE)</f>
        <v>13.71</v>
      </c>
      <c r="D32" t="str">
        <f>VLOOKUP('Rough data'!B32,Table3[[#Headers],[#Data]],2,FALSE)</f>
        <v>BBQ Skewers - 12 pack (Bamboo)</v>
      </c>
      <c r="E32" t="str">
        <f>VLOOKUP(B32,Table3[[#Headers],[#Data]],5,FALSE)</f>
        <v>SELL0016</v>
      </c>
      <c r="F32" t="str">
        <f>VLOOKUP(E32,Table2[[#Headers],[#Data],[seller_id]:[seller_user]],2,FALSE)</f>
        <v>abracadabra_002</v>
      </c>
      <c r="G32">
        <v>1</v>
      </c>
      <c r="H32">
        <f t="shared" si="0"/>
        <v>13.71</v>
      </c>
    </row>
    <row r="33" spans="1:8" x14ac:dyDescent="0.3">
      <c r="A33" t="str">
        <f>VLOOKUP(B33,Table3[[#Headers],[#Data]],3,FALSE)</f>
        <v>Outdoor</v>
      </c>
      <c r="B33" t="s">
        <v>57</v>
      </c>
      <c r="C33">
        <f>VLOOKUP(B33,Table3[[#Headers],[#Data]],4, FALSE)</f>
        <v>13.71</v>
      </c>
      <c r="D33" t="str">
        <f>VLOOKUP('Rough data'!B33,Table3[[#Headers],[#Data]],2,FALSE)</f>
        <v>BBQ Skewers - 12 pack (Bamboo)</v>
      </c>
      <c r="E33" t="str">
        <f>VLOOKUP(B33,Table3[[#Headers],[#Data]],5,FALSE)</f>
        <v>SELL0016</v>
      </c>
      <c r="F33" t="str">
        <f>VLOOKUP(E33,Table2[[#Headers],[#Data],[seller_id]:[seller_user]],2,FALSE)</f>
        <v>abracadabra_002</v>
      </c>
      <c r="G33">
        <v>1</v>
      </c>
      <c r="H33">
        <f t="shared" si="0"/>
        <v>13.71</v>
      </c>
    </row>
    <row r="34" spans="1:8" x14ac:dyDescent="0.3">
      <c r="A34" t="str">
        <f>VLOOKUP(B34,Table3[[#Headers],[#Data]],3,FALSE)</f>
        <v>Outdoor</v>
      </c>
      <c r="B34" t="s">
        <v>57</v>
      </c>
      <c r="C34">
        <f>VLOOKUP(B34,Table3[[#Headers],[#Data]],4, FALSE)</f>
        <v>13.71</v>
      </c>
      <c r="D34" t="str">
        <f>VLOOKUP('Rough data'!B34,Table3[[#Headers],[#Data]],2,FALSE)</f>
        <v>BBQ Skewers - 12 pack (Bamboo)</v>
      </c>
      <c r="E34" t="str">
        <f>VLOOKUP(B34,Table3[[#Headers],[#Data]],5,FALSE)</f>
        <v>SELL0016</v>
      </c>
      <c r="F34" t="str">
        <f>VLOOKUP(E34,Table2[[#Headers],[#Data],[seller_id]:[seller_user]],2,FALSE)</f>
        <v>abracadabra_002</v>
      </c>
      <c r="G34">
        <v>1</v>
      </c>
      <c r="H34">
        <f t="shared" si="0"/>
        <v>13.71</v>
      </c>
    </row>
    <row r="35" spans="1:8" x14ac:dyDescent="0.3">
      <c r="A35" t="str">
        <f>VLOOKUP(B35,Table3[[#Headers],[#Data]],3,FALSE)</f>
        <v>Outdoor</v>
      </c>
      <c r="B35" t="s">
        <v>57</v>
      </c>
      <c r="C35">
        <f>VLOOKUP(B35,Table3[[#Headers],[#Data]],4, FALSE)</f>
        <v>13.71</v>
      </c>
      <c r="D35" t="str">
        <f>VLOOKUP('Rough data'!B35,Table3[[#Headers],[#Data]],2,FALSE)</f>
        <v>BBQ Skewers - 12 pack (Bamboo)</v>
      </c>
      <c r="E35" t="str">
        <f>VLOOKUP(B35,Table3[[#Headers],[#Data]],5,FALSE)</f>
        <v>SELL0016</v>
      </c>
      <c r="F35" t="str">
        <f>VLOOKUP(E35,Table2[[#Headers],[#Data],[seller_id]:[seller_user]],2,FALSE)</f>
        <v>abracadabra_002</v>
      </c>
      <c r="G35">
        <v>1</v>
      </c>
      <c r="H35">
        <f t="shared" si="0"/>
        <v>13.71</v>
      </c>
    </row>
    <row r="36" spans="1:8" x14ac:dyDescent="0.3">
      <c r="A36" t="str">
        <f>VLOOKUP(B36,Table3[[#Headers],[#Data]],3,FALSE)</f>
        <v>Outdoor</v>
      </c>
      <c r="B36" t="s">
        <v>57</v>
      </c>
      <c r="C36">
        <f>VLOOKUP(B36,Table3[[#Headers],[#Data]],4, FALSE)</f>
        <v>13.71</v>
      </c>
      <c r="D36" t="str">
        <f>VLOOKUP('Rough data'!B36,Table3[[#Headers],[#Data]],2,FALSE)</f>
        <v>BBQ Skewers - 12 pack (Bamboo)</v>
      </c>
      <c r="E36" t="str">
        <f>VLOOKUP(B36,Table3[[#Headers],[#Data]],5,FALSE)</f>
        <v>SELL0016</v>
      </c>
      <c r="F36" t="str">
        <f>VLOOKUP(E36,Table2[[#Headers],[#Data],[seller_id]:[seller_user]],2,FALSE)</f>
        <v>abracadabra_002</v>
      </c>
      <c r="G36">
        <v>2</v>
      </c>
      <c r="H36">
        <f t="shared" si="0"/>
        <v>27.42</v>
      </c>
    </row>
    <row r="37" spans="1:8" x14ac:dyDescent="0.3">
      <c r="A37" t="str">
        <f>VLOOKUP(B37,Table3[[#Headers],[#Data]],3,FALSE)</f>
        <v>Outdoor</v>
      </c>
      <c r="B37" t="s">
        <v>57</v>
      </c>
      <c r="C37">
        <f>VLOOKUP(B37,Table3[[#Headers],[#Data]],4, FALSE)</f>
        <v>13.71</v>
      </c>
      <c r="D37" t="str">
        <f>VLOOKUP('Rough data'!B37,Table3[[#Headers],[#Data]],2,FALSE)</f>
        <v>BBQ Skewers - 12 pack (Bamboo)</v>
      </c>
      <c r="E37" t="str">
        <f>VLOOKUP(B37,Table3[[#Headers],[#Data]],5,FALSE)</f>
        <v>SELL0016</v>
      </c>
      <c r="F37" t="str">
        <f>VLOOKUP(E37,Table2[[#Headers],[#Data],[seller_id]:[seller_user]],2,FALSE)</f>
        <v>abracadabra_002</v>
      </c>
      <c r="G37">
        <v>1</v>
      </c>
      <c r="H37">
        <f t="shared" si="0"/>
        <v>13.71</v>
      </c>
    </row>
    <row r="38" spans="1:8" x14ac:dyDescent="0.3">
      <c r="A38" t="str">
        <f>VLOOKUP(B38,Table3[[#Headers],[#Data]],3,FALSE)</f>
        <v>Outdoor</v>
      </c>
      <c r="B38" t="s">
        <v>57</v>
      </c>
      <c r="C38">
        <f>VLOOKUP(B38,Table3[[#Headers],[#Data]],4, FALSE)</f>
        <v>13.71</v>
      </c>
      <c r="D38" t="str">
        <f>VLOOKUP('Rough data'!B38,Table3[[#Headers],[#Data]],2,FALSE)</f>
        <v>BBQ Skewers - 12 pack (Bamboo)</v>
      </c>
      <c r="E38" t="str">
        <f>VLOOKUP(B38,Table3[[#Headers],[#Data]],5,FALSE)</f>
        <v>SELL0016</v>
      </c>
      <c r="F38" t="str">
        <f>VLOOKUP(E38,Table2[[#Headers],[#Data],[seller_id]:[seller_user]],2,FALSE)</f>
        <v>abracadabra_002</v>
      </c>
      <c r="G38">
        <v>1</v>
      </c>
      <c r="H38">
        <f t="shared" si="0"/>
        <v>13.71</v>
      </c>
    </row>
    <row r="39" spans="1:8" x14ac:dyDescent="0.3">
      <c r="A39" t="str">
        <f>VLOOKUP(B39,Table3[[#Headers],[#Data]],3,FALSE)</f>
        <v>Outdoor</v>
      </c>
      <c r="B39" t="s">
        <v>57</v>
      </c>
      <c r="C39">
        <f>VLOOKUP(B39,Table3[[#Headers],[#Data]],4, FALSE)</f>
        <v>13.71</v>
      </c>
      <c r="D39" t="str">
        <f>VLOOKUP('Rough data'!B39,Table3[[#Headers],[#Data]],2,FALSE)</f>
        <v>BBQ Skewers - 12 pack (Bamboo)</v>
      </c>
      <c r="E39" t="str">
        <f>VLOOKUP(B39,Table3[[#Headers],[#Data]],5,FALSE)</f>
        <v>SELL0016</v>
      </c>
      <c r="F39" t="str">
        <f>VLOOKUP(E39,Table2[[#Headers],[#Data],[seller_id]:[seller_user]],2,FALSE)</f>
        <v>abracadabra_002</v>
      </c>
      <c r="G39">
        <v>1</v>
      </c>
      <c r="H39">
        <f t="shared" si="0"/>
        <v>13.71</v>
      </c>
    </row>
    <row r="40" spans="1:8" x14ac:dyDescent="0.3">
      <c r="A40" t="str">
        <f>VLOOKUP(B40,Table3[[#Headers],[#Data]],3,FALSE)</f>
        <v>Outdoor</v>
      </c>
      <c r="B40" t="s">
        <v>60</v>
      </c>
      <c r="C40">
        <f>VLOOKUP(B40,Table3[[#Headers],[#Data]],4, FALSE)</f>
        <v>40.119999999999997</v>
      </c>
      <c r="D40" t="str">
        <f>VLOOKUP('Rough data'!B40,Table3[[#Headers],[#Data]],2,FALSE)</f>
        <v>Waterproof Picnic Mat 100x100</v>
      </c>
      <c r="E40" t="str">
        <f>VLOOKUP(B40,Table3[[#Headers],[#Data]],5,FALSE)</f>
        <v>SELL0016</v>
      </c>
      <c r="F40" t="str">
        <f>VLOOKUP(E40,Table2[[#Headers],[#Data],[seller_id]:[seller_user]],2,FALSE)</f>
        <v>abracadabra_002</v>
      </c>
      <c r="G40">
        <v>1</v>
      </c>
      <c r="H40">
        <f t="shared" si="0"/>
        <v>40.119999999999997</v>
      </c>
    </row>
    <row r="41" spans="1:8" x14ac:dyDescent="0.3">
      <c r="A41" t="str">
        <f>VLOOKUP(B41,Table3[[#Headers],[#Data]],3,FALSE)</f>
        <v>Outdoor</v>
      </c>
      <c r="B41" t="s">
        <v>60</v>
      </c>
      <c r="C41">
        <f>VLOOKUP(B41,Table3[[#Headers],[#Data]],4, FALSE)</f>
        <v>40.119999999999997</v>
      </c>
      <c r="D41" t="str">
        <f>VLOOKUP('Rough data'!B41,Table3[[#Headers],[#Data]],2,FALSE)</f>
        <v>Waterproof Picnic Mat 100x100</v>
      </c>
      <c r="E41" t="str">
        <f>VLOOKUP(B41,Table3[[#Headers],[#Data]],5,FALSE)</f>
        <v>SELL0016</v>
      </c>
      <c r="F41" t="str">
        <f>VLOOKUP(E41,Table2[[#Headers],[#Data],[seller_id]:[seller_user]],2,FALSE)</f>
        <v>abracadabra_002</v>
      </c>
      <c r="G41">
        <v>1</v>
      </c>
      <c r="H41">
        <f t="shared" si="0"/>
        <v>40.119999999999997</v>
      </c>
    </row>
    <row r="42" spans="1:8" x14ac:dyDescent="0.3">
      <c r="A42" t="str">
        <f>VLOOKUP(B42,Table3[[#Headers],[#Data]],3,FALSE)</f>
        <v>Outdoor</v>
      </c>
      <c r="B42" t="s">
        <v>60</v>
      </c>
      <c r="C42">
        <f>VLOOKUP(B42,Table3[[#Headers],[#Data]],4, FALSE)</f>
        <v>40.119999999999997</v>
      </c>
      <c r="D42" t="str">
        <f>VLOOKUP('Rough data'!B42,Table3[[#Headers],[#Data]],2,FALSE)</f>
        <v>Waterproof Picnic Mat 100x100</v>
      </c>
      <c r="E42" t="str">
        <f>VLOOKUP(B42,Table3[[#Headers],[#Data]],5,FALSE)</f>
        <v>SELL0016</v>
      </c>
      <c r="F42" t="str">
        <f>VLOOKUP(E42,Table2[[#Headers],[#Data],[seller_id]:[seller_user]],2,FALSE)</f>
        <v>abracadabra_002</v>
      </c>
      <c r="G42">
        <v>1</v>
      </c>
      <c r="H42">
        <f t="shared" si="0"/>
        <v>40.119999999999997</v>
      </c>
    </row>
    <row r="43" spans="1:8" x14ac:dyDescent="0.3">
      <c r="A43" t="str">
        <f>VLOOKUP(B43,Table3[[#Headers],[#Data]],3,FALSE)</f>
        <v>Outdoor</v>
      </c>
      <c r="B43" t="s">
        <v>60</v>
      </c>
      <c r="C43">
        <f>VLOOKUP(B43,Table3[[#Headers],[#Data]],4, FALSE)</f>
        <v>40.119999999999997</v>
      </c>
      <c r="D43" t="str">
        <f>VLOOKUP('Rough data'!B43,Table3[[#Headers],[#Data]],2,FALSE)</f>
        <v>Waterproof Picnic Mat 100x100</v>
      </c>
      <c r="E43" t="str">
        <f>VLOOKUP(B43,Table3[[#Headers],[#Data]],5,FALSE)</f>
        <v>SELL0016</v>
      </c>
      <c r="F43" t="str">
        <f>VLOOKUP(E43,Table2[[#Headers],[#Data],[seller_id]:[seller_user]],2,FALSE)</f>
        <v>abracadabra_002</v>
      </c>
      <c r="G43">
        <v>2</v>
      </c>
      <c r="H43">
        <f t="shared" si="0"/>
        <v>80.239999999999995</v>
      </c>
    </row>
    <row r="44" spans="1:8" x14ac:dyDescent="0.3">
      <c r="A44" t="str">
        <f>VLOOKUP(B44,Table3[[#Headers],[#Data]],3,FALSE)</f>
        <v>Outdoor</v>
      </c>
      <c r="B44" t="s">
        <v>60</v>
      </c>
      <c r="C44">
        <f>VLOOKUP(B44,Table3[[#Headers],[#Data]],4, FALSE)</f>
        <v>40.119999999999997</v>
      </c>
      <c r="D44" t="str">
        <f>VLOOKUP('Rough data'!B44,Table3[[#Headers],[#Data]],2,FALSE)</f>
        <v>Waterproof Picnic Mat 100x100</v>
      </c>
      <c r="E44" t="str">
        <f>VLOOKUP(B44,Table3[[#Headers],[#Data]],5,FALSE)</f>
        <v>SELL0016</v>
      </c>
      <c r="F44" t="str">
        <f>VLOOKUP(E44,Table2[[#Headers],[#Data],[seller_id]:[seller_user]],2,FALSE)</f>
        <v>abracadabra_002</v>
      </c>
      <c r="G44">
        <v>1</v>
      </c>
      <c r="H44">
        <f t="shared" si="0"/>
        <v>40.119999999999997</v>
      </c>
    </row>
    <row r="45" spans="1:8" x14ac:dyDescent="0.3">
      <c r="A45" t="str">
        <f>VLOOKUP(B45,Table3[[#Headers],[#Data]],3,FALSE)</f>
        <v>Beauty</v>
      </c>
      <c r="B45" t="s">
        <v>61</v>
      </c>
      <c r="C45">
        <f>VLOOKUP(B45,Table3[[#Headers],[#Data]],4, FALSE)</f>
        <v>10.94</v>
      </c>
      <c r="D45" t="str">
        <f>VLOOKUP('Rough data'!B45,Table3[[#Headers],[#Data]],2,FALSE)</f>
        <v>Hydrating Face Mist</v>
      </c>
      <c r="E45" t="str">
        <f>VLOOKUP(B45,Table3[[#Headers],[#Data]],5,FALSE)</f>
        <v>SELL0017</v>
      </c>
      <c r="F45" t="str">
        <f>VLOOKUP(E45,Table2[[#Headers],[#Data],[seller_id]:[seller_user]],2,FALSE)</f>
        <v>7e16xoz37j</v>
      </c>
      <c r="G45">
        <v>2</v>
      </c>
      <c r="H45">
        <f t="shared" si="0"/>
        <v>21.88</v>
      </c>
    </row>
    <row r="46" spans="1:8" x14ac:dyDescent="0.3">
      <c r="A46" t="str">
        <f>VLOOKUP(B46,Table3[[#Headers],[#Data]],3,FALSE)</f>
        <v>Beauty</v>
      </c>
      <c r="B46" t="s">
        <v>61</v>
      </c>
      <c r="C46">
        <f>VLOOKUP(B46,Table3[[#Headers],[#Data]],4, FALSE)</f>
        <v>10.94</v>
      </c>
      <c r="D46" t="str">
        <f>VLOOKUP('Rough data'!B46,Table3[[#Headers],[#Data]],2,FALSE)</f>
        <v>Hydrating Face Mist</v>
      </c>
      <c r="E46" t="str">
        <f>VLOOKUP(B46,Table3[[#Headers],[#Data]],5,FALSE)</f>
        <v>SELL0017</v>
      </c>
      <c r="F46" t="str">
        <f>VLOOKUP(E46,Table2[[#Headers],[#Data],[seller_id]:[seller_user]],2,FALSE)</f>
        <v>7e16xoz37j</v>
      </c>
      <c r="G46">
        <v>1</v>
      </c>
      <c r="H46">
        <f t="shared" si="0"/>
        <v>10.94</v>
      </c>
    </row>
    <row r="47" spans="1:8" x14ac:dyDescent="0.3">
      <c r="A47" t="str">
        <f>VLOOKUP(B47,Table3[[#Headers],[#Data]],3,FALSE)</f>
        <v>Outdoor</v>
      </c>
      <c r="B47" t="s">
        <v>64</v>
      </c>
      <c r="C47">
        <f>VLOOKUP(B47,Table3[[#Headers],[#Data]],4, FALSE)</f>
        <v>15.05</v>
      </c>
      <c r="D47" t="str">
        <f>VLOOKUP('Rough data'!B47,Table3[[#Headers],[#Data]],2,FALSE)</f>
        <v>BBQ Skewers - 12 pack (Stainless Steel)</v>
      </c>
      <c r="E47" t="str">
        <f>VLOOKUP(B47,Table3[[#Headers],[#Data]],5,FALSE)</f>
        <v>SELL0009</v>
      </c>
      <c r="F47" t="str">
        <f>VLOOKUP(E47,Table2[[#Headers],[#Data],[seller_id]:[seller_user]],2,FALSE)</f>
        <v>bootsandcamping</v>
      </c>
      <c r="G47">
        <v>2</v>
      </c>
      <c r="H47">
        <f t="shared" si="0"/>
        <v>30.1</v>
      </c>
    </row>
    <row r="48" spans="1:8" x14ac:dyDescent="0.3">
      <c r="A48" t="str">
        <f>VLOOKUP(B48,Table3[[#Headers],[#Data]],3,FALSE)</f>
        <v>Outdoor</v>
      </c>
      <c r="B48" t="s">
        <v>64</v>
      </c>
      <c r="C48">
        <f>VLOOKUP(B48,Table3[[#Headers],[#Data]],4, FALSE)</f>
        <v>15.05</v>
      </c>
      <c r="D48" t="str">
        <f>VLOOKUP('Rough data'!B48,Table3[[#Headers],[#Data]],2,FALSE)</f>
        <v>BBQ Skewers - 12 pack (Stainless Steel)</v>
      </c>
      <c r="E48" t="str">
        <f>VLOOKUP(B48,Table3[[#Headers],[#Data]],5,FALSE)</f>
        <v>SELL0009</v>
      </c>
      <c r="F48" t="str">
        <f>VLOOKUP(E48,Table2[[#Headers],[#Data],[seller_id]:[seller_user]],2,FALSE)</f>
        <v>bootsandcamping</v>
      </c>
      <c r="G48">
        <v>1</v>
      </c>
      <c r="H48">
        <f t="shared" si="0"/>
        <v>15.05</v>
      </c>
    </row>
    <row r="49" spans="1:8" x14ac:dyDescent="0.3">
      <c r="A49" t="str">
        <f>VLOOKUP(B49,Table3[[#Headers],[#Data]],3,FALSE)</f>
        <v>Outdoor</v>
      </c>
      <c r="B49" t="s">
        <v>64</v>
      </c>
      <c r="C49">
        <f>VLOOKUP(B49,Table3[[#Headers],[#Data]],4, FALSE)</f>
        <v>15.05</v>
      </c>
      <c r="D49" t="str">
        <f>VLOOKUP('Rough data'!B49,Table3[[#Headers],[#Data]],2,FALSE)</f>
        <v>BBQ Skewers - 12 pack (Stainless Steel)</v>
      </c>
      <c r="E49" t="str">
        <f>VLOOKUP(B49,Table3[[#Headers],[#Data]],5,FALSE)</f>
        <v>SELL0009</v>
      </c>
      <c r="F49" t="str">
        <f>VLOOKUP(E49,Table2[[#Headers],[#Data],[seller_id]:[seller_user]],2,FALSE)</f>
        <v>bootsandcamping</v>
      </c>
      <c r="G49">
        <v>1</v>
      </c>
      <c r="H49">
        <f t="shared" si="0"/>
        <v>15.05</v>
      </c>
    </row>
    <row r="50" spans="1:8" x14ac:dyDescent="0.3">
      <c r="A50" t="str">
        <f>VLOOKUP(B50,Table3[[#Headers],[#Data]],3,FALSE)</f>
        <v>Outdoor</v>
      </c>
      <c r="B50" t="s">
        <v>64</v>
      </c>
      <c r="C50">
        <f>VLOOKUP(B50,Table3[[#Headers],[#Data]],4, FALSE)</f>
        <v>15.05</v>
      </c>
      <c r="D50" t="str">
        <f>VLOOKUP('Rough data'!B50,Table3[[#Headers],[#Data]],2,FALSE)</f>
        <v>BBQ Skewers - 12 pack (Stainless Steel)</v>
      </c>
      <c r="E50" t="str">
        <f>VLOOKUP(B50,Table3[[#Headers],[#Data]],5,FALSE)</f>
        <v>SELL0009</v>
      </c>
      <c r="F50" t="str">
        <f>VLOOKUP(E50,Table2[[#Headers],[#Data],[seller_id]:[seller_user]],2,FALSE)</f>
        <v>bootsandcamping</v>
      </c>
      <c r="G50">
        <v>2</v>
      </c>
      <c r="H50">
        <f t="shared" si="0"/>
        <v>30.1</v>
      </c>
    </row>
    <row r="51" spans="1:8" x14ac:dyDescent="0.3">
      <c r="A51" t="str">
        <f>VLOOKUP(B51,Table3[[#Headers],[#Data]],3,FALSE)</f>
        <v>Outdoor</v>
      </c>
      <c r="B51" t="s">
        <v>64</v>
      </c>
      <c r="C51">
        <f>VLOOKUP(B51,Table3[[#Headers],[#Data]],4, FALSE)</f>
        <v>15.05</v>
      </c>
      <c r="D51" t="str">
        <f>VLOOKUP('Rough data'!B51,Table3[[#Headers],[#Data]],2,FALSE)</f>
        <v>BBQ Skewers - 12 pack (Stainless Steel)</v>
      </c>
      <c r="E51" t="str">
        <f>VLOOKUP(B51,Table3[[#Headers],[#Data]],5,FALSE)</f>
        <v>SELL0009</v>
      </c>
      <c r="F51" t="str">
        <f>VLOOKUP(E51,Table2[[#Headers],[#Data],[seller_id]:[seller_user]],2,FALSE)</f>
        <v>bootsandcamping</v>
      </c>
      <c r="G51">
        <v>1</v>
      </c>
      <c r="H51">
        <f t="shared" si="0"/>
        <v>15.05</v>
      </c>
    </row>
    <row r="52" spans="1:8" x14ac:dyDescent="0.3">
      <c r="A52" t="str">
        <f>VLOOKUP(B52,Table3[[#Headers],[#Data]],3,FALSE)</f>
        <v>Outdoor</v>
      </c>
      <c r="B52" t="s">
        <v>64</v>
      </c>
      <c r="C52">
        <f>VLOOKUP(B52,Table3[[#Headers],[#Data]],4, FALSE)</f>
        <v>15.05</v>
      </c>
      <c r="D52" t="str">
        <f>VLOOKUP('Rough data'!B52,Table3[[#Headers],[#Data]],2,FALSE)</f>
        <v>BBQ Skewers - 12 pack (Stainless Steel)</v>
      </c>
      <c r="E52" t="str">
        <f>VLOOKUP(B52,Table3[[#Headers],[#Data]],5,FALSE)</f>
        <v>SELL0009</v>
      </c>
      <c r="F52" t="str">
        <f>VLOOKUP(E52,Table2[[#Headers],[#Data],[seller_id]:[seller_user]],2,FALSE)</f>
        <v>bootsandcamping</v>
      </c>
      <c r="G52">
        <v>1</v>
      </c>
      <c r="H52">
        <f t="shared" si="0"/>
        <v>15.05</v>
      </c>
    </row>
    <row r="53" spans="1:8" x14ac:dyDescent="0.3">
      <c r="A53" t="str">
        <f>VLOOKUP(B53,Table3[[#Headers],[#Data]],3,FALSE)</f>
        <v>Outdoor</v>
      </c>
      <c r="B53" t="s">
        <v>64</v>
      </c>
      <c r="C53">
        <f>VLOOKUP(B53,Table3[[#Headers],[#Data]],4, FALSE)</f>
        <v>15.05</v>
      </c>
      <c r="D53" t="str">
        <f>VLOOKUP('Rough data'!B53,Table3[[#Headers],[#Data]],2,FALSE)</f>
        <v>BBQ Skewers - 12 pack (Stainless Steel)</v>
      </c>
      <c r="E53" t="str">
        <f>VLOOKUP(B53,Table3[[#Headers],[#Data]],5,FALSE)</f>
        <v>SELL0009</v>
      </c>
      <c r="F53" t="str">
        <f>VLOOKUP(E53,Table2[[#Headers],[#Data],[seller_id]:[seller_user]],2,FALSE)</f>
        <v>bootsandcamping</v>
      </c>
      <c r="G53">
        <v>1</v>
      </c>
      <c r="H53">
        <f t="shared" si="0"/>
        <v>15.05</v>
      </c>
    </row>
    <row r="54" spans="1:8" x14ac:dyDescent="0.3">
      <c r="A54" t="str">
        <f>VLOOKUP(B54,Table3[[#Headers],[#Data]],3,FALSE)</f>
        <v>Outdoor</v>
      </c>
      <c r="B54" t="s">
        <v>67</v>
      </c>
      <c r="C54">
        <f>VLOOKUP(B54,Table3[[#Headers],[#Data]],4, FALSE)</f>
        <v>113.99</v>
      </c>
      <c r="D54" t="str">
        <f>VLOOKUP('Rough data'!B54,Table3[[#Headers],[#Data]],2,FALSE)</f>
        <v>Garden Lights 10 pack Solar Power</v>
      </c>
      <c r="E54" t="str">
        <f>VLOOKUP(B54,Table3[[#Headers],[#Data]],5,FALSE)</f>
        <v>SELL0017</v>
      </c>
      <c r="F54" t="str">
        <f>VLOOKUP(E54,Table2[[#Headers],[#Data],[seller_id]:[seller_user]],2,FALSE)</f>
        <v>7e16xoz37j</v>
      </c>
      <c r="G54">
        <v>1</v>
      </c>
      <c r="H54">
        <f t="shared" si="0"/>
        <v>113.99</v>
      </c>
    </row>
    <row r="55" spans="1:8" x14ac:dyDescent="0.3">
      <c r="A55" t="str">
        <f>VLOOKUP(B55,Table3[[#Headers],[#Data]],3,FALSE)</f>
        <v>Outdoor</v>
      </c>
      <c r="B55" t="s">
        <v>69</v>
      </c>
      <c r="C55">
        <f>VLOOKUP(B55,Table3[[#Headers],[#Data]],4, FALSE)</f>
        <v>27.05</v>
      </c>
      <c r="D55" t="str">
        <f>VLOOKUP('Rough data'!B55,Table3[[#Headers],[#Data]],2,FALSE)</f>
        <v>BBQ Skewers - 24 pack (Stainless Steel)</v>
      </c>
      <c r="E55" t="str">
        <f>VLOOKUP(B55,Table3[[#Headers],[#Data]],5,FALSE)</f>
        <v>SELL0018</v>
      </c>
      <c r="F55" t="str">
        <f>VLOOKUP(E55,Table2[[#Headers],[#Data],[seller_id]:[seller_user]],2,FALSE)</f>
        <v>darwin_beauty</v>
      </c>
      <c r="G55">
        <v>1</v>
      </c>
      <c r="H55">
        <f t="shared" si="0"/>
        <v>27.05</v>
      </c>
    </row>
    <row r="56" spans="1:8" x14ac:dyDescent="0.3">
      <c r="A56" t="str">
        <f>VLOOKUP(B56,Table3[[#Headers],[#Data]],3,FALSE)</f>
        <v>Outdoor</v>
      </c>
      <c r="B56" t="s">
        <v>69</v>
      </c>
      <c r="C56">
        <f>VLOOKUP(B56,Table3[[#Headers],[#Data]],4, FALSE)</f>
        <v>27.05</v>
      </c>
      <c r="D56" t="str">
        <f>VLOOKUP('Rough data'!B56,Table3[[#Headers],[#Data]],2,FALSE)</f>
        <v>BBQ Skewers - 24 pack (Stainless Steel)</v>
      </c>
      <c r="E56" t="str">
        <f>VLOOKUP(B56,Table3[[#Headers],[#Data]],5,FALSE)</f>
        <v>SELL0018</v>
      </c>
      <c r="F56" t="str">
        <f>VLOOKUP(E56,Table2[[#Headers],[#Data],[seller_id]:[seller_user]],2,FALSE)</f>
        <v>darwin_beauty</v>
      </c>
      <c r="G56">
        <v>2</v>
      </c>
      <c r="H56">
        <f t="shared" si="0"/>
        <v>54.1</v>
      </c>
    </row>
    <row r="57" spans="1:8" x14ac:dyDescent="0.3">
      <c r="A57" t="str">
        <f>VLOOKUP(B57,Table3[[#Headers],[#Data]],3,FALSE)</f>
        <v>Outdoor</v>
      </c>
      <c r="B57" t="s">
        <v>73</v>
      </c>
      <c r="C57">
        <f>VLOOKUP(B57,Table3[[#Headers],[#Data]],4, FALSE)</f>
        <v>23.99</v>
      </c>
      <c r="D57" t="str">
        <f>VLOOKUP('Rough data'!B57,Table3[[#Headers],[#Data]],2,FALSE)</f>
        <v>BBQ Skewers - 24 pack (Bamboo)</v>
      </c>
      <c r="E57" t="str">
        <f>VLOOKUP(B57,Table3[[#Headers],[#Data]],5,FALSE)</f>
        <v>SELL0018</v>
      </c>
      <c r="F57" t="str">
        <f>VLOOKUP(E57,Table2[[#Headers],[#Data],[seller_id]:[seller_user]],2,FALSE)</f>
        <v>darwin_beauty</v>
      </c>
      <c r="G57">
        <v>1</v>
      </c>
      <c r="H57">
        <f t="shared" si="0"/>
        <v>23.99</v>
      </c>
    </row>
    <row r="58" spans="1:8" x14ac:dyDescent="0.3">
      <c r="A58" t="str">
        <f>VLOOKUP(B58,Table3[[#Headers],[#Data]],3,FALSE)</f>
        <v>Outdoor</v>
      </c>
      <c r="B58" t="s">
        <v>73</v>
      </c>
      <c r="C58">
        <f>VLOOKUP(B58,Table3[[#Headers],[#Data]],4, FALSE)</f>
        <v>23.99</v>
      </c>
      <c r="D58" t="str">
        <f>VLOOKUP('Rough data'!B58,Table3[[#Headers],[#Data]],2,FALSE)</f>
        <v>BBQ Skewers - 24 pack (Bamboo)</v>
      </c>
      <c r="E58" t="str">
        <f>VLOOKUP(B58,Table3[[#Headers],[#Data]],5,FALSE)</f>
        <v>SELL0018</v>
      </c>
      <c r="F58" t="str">
        <f>VLOOKUP(E58,Table2[[#Headers],[#Data],[seller_id]:[seller_user]],2,FALSE)</f>
        <v>darwin_beauty</v>
      </c>
      <c r="G58">
        <v>2</v>
      </c>
      <c r="H58">
        <f t="shared" si="0"/>
        <v>47.98</v>
      </c>
    </row>
    <row r="59" spans="1:8" x14ac:dyDescent="0.3">
      <c r="A59" t="str">
        <f>VLOOKUP(B59,Table3[[#Headers],[#Data]],3,FALSE)</f>
        <v>Outdoor</v>
      </c>
      <c r="B59" t="s">
        <v>73</v>
      </c>
      <c r="C59">
        <f>VLOOKUP(B59,Table3[[#Headers],[#Data]],4, FALSE)</f>
        <v>23.99</v>
      </c>
      <c r="D59" t="str">
        <f>VLOOKUP('Rough data'!B59,Table3[[#Headers],[#Data]],2,FALSE)</f>
        <v>BBQ Skewers - 24 pack (Bamboo)</v>
      </c>
      <c r="E59" t="str">
        <f>VLOOKUP(B59,Table3[[#Headers],[#Data]],5,FALSE)</f>
        <v>SELL0018</v>
      </c>
      <c r="F59" t="str">
        <f>VLOOKUP(E59,Table2[[#Headers],[#Data],[seller_id]:[seller_user]],2,FALSE)</f>
        <v>darwin_beauty</v>
      </c>
      <c r="G59">
        <v>1</v>
      </c>
      <c r="H59">
        <f t="shared" si="0"/>
        <v>23.99</v>
      </c>
    </row>
    <row r="60" spans="1:8" x14ac:dyDescent="0.3">
      <c r="A60" t="str">
        <f>VLOOKUP(B60,Table3[[#Headers],[#Data]],3,FALSE)</f>
        <v>Outdoor</v>
      </c>
      <c r="B60" t="s">
        <v>73</v>
      </c>
      <c r="C60">
        <f>VLOOKUP(B60,Table3[[#Headers],[#Data]],4, FALSE)</f>
        <v>23.99</v>
      </c>
      <c r="D60" t="str">
        <f>VLOOKUP('Rough data'!B60,Table3[[#Headers],[#Data]],2,FALSE)</f>
        <v>BBQ Skewers - 24 pack (Bamboo)</v>
      </c>
      <c r="E60" t="str">
        <f>VLOOKUP(B60,Table3[[#Headers],[#Data]],5,FALSE)</f>
        <v>SELL0018</v>
      </c>
      <c r="F60" t="str">
        <f>VLOOKUP(E60,Table2[[#Headers],[#Data],[seller_id]:[seller_user]],2,FALSE)</f>
        <v>darwin_beauty</v>
      </c>
      <c r="G60">
        <v>1</v>
      </c>
      <c r="H60">
        <f t="shared" si="0"/>
        <v>23.99</v>
      </c>
    </row>
    <row r="61" spans="1:8" x14ac:dyDescent="0.3">
      <c r="A61" t="str">
        <f>VLOOKUP(B61,Table3[[#Headers],[#Data]],3,FALSE)</f>
        <v>Jewellery</v>
      </c>
      <c r="B61" t="s">
        <v>79</v>
      </c>
      <c r="C61">
        <f>VLOOKUP(B61,Table3[[#Headers],[#Data]],4, FALSE)</f>
        <v>28.22</v>
      </c>
      <c r="D61" t="str">
        <f>VLOOKUP('Rough data'!B61,Table3[[#Headers],[#Data]],2,FALSE)</f>
        <v>Pendant Necklace - Rose Gold</v>
      </c>
      <c r="E61" t="str">
        <f>VLOOKUP(B61,Table3[[#Headers],[#Data]],5,FALSE)</f>
        <v>SELL0019</v>
      </c>
      <c r="F61" t="str">
        <f>VLOOKUP(E61,Table2[[#Headers],[#Data],[seller_id]:[seller_user]],2,FALSE)</f>
        <v>buyingtime</v>
      </c>
      <c r="G61">
        <v>1</v>
      </c>
      <c r="H61">
        <f t="shared" si="0"/>
        <v>28.22</v>
      </c>
    </row>
    <row r="62" spans="1:8" x14ac:dyDescent="0.3">
      <c r="A62" t="str">
        <f>VLOOKUP(B62,Table3[[#Headers],[#Data]],3,FALSE)</f>
        <v>Stationery</v>
      </c>
      <c r="B62" t="s">
        <v>83</v>
      </c>
      <c r="C62">
        <f>VLOOKUP(B62,Table3[[#Headers],[#Data]],4, FALSE)</f>
        <v>8.39</v>
      </c>
      <c r="D62" t="str">
        <f>VLOOKUP('Rough data'!B62,Table3[[#Headers],[#Data]],2,FALSE)</f>
        <v>Permanent markers 6 pack black</v>
      </c>
      <c r="E62" t="str">
        <f>VLOOKUP(B62,Table3[[#Headers],[#Data]],5,FALSE)</f>
        <v>SELL0019</v>
      </c>
      <c r="F62" t="str">
        <f>VLOOKUP(E62,Table2[[#Headers],[#Data],[seller_id]:[seller_user]],2,FALSE)</f>
        <v>buyingtime</v>
      </c>
      <c r="G62">
        <v>1</v>
      </c>
      <c r="H62">
        <f t="shared" si="0"/>
        <v>8.39</v>
      </c>
    </row>
    <row r="63" spans="1:8" x14ac:dyDescent="0.3">
      <c r="A63" t="str">
        <f>VLOOKUP(B63,Table3[[#Headers],[#Data]],3,FALSE)</f>
        <v>Stationery</v>
      </c>
      <c r="B63" t="s">
        <v>83</v>
      </c>
      <c r="C63">
        <f>VLOOKUP(B63,Table3[[#Headers],[#Data]],4, FALSE)</f>
        <v>8.39</v>
      </c>
      <c r="D63" t="str">
        <f>VLOOKUP('Rough data'!B63,Table3[[#Headers],[#Data]],2,FALSE)</f>
        <v>Permanent markers 6 pack black</v>
      </c>
      <c r="E63" t="str">
        <f>VLOOKUP(B63,Table3[[#Headers],[#Data]],5,FALSE)</f>
        <v>SELL0019</v>
      </c>
      <c r="F63" t="str">
        <f>VLOOKUP(E63,Table2[[#Headers],[#Data],[seller_id]:[seller_user]],2,FALSE)</f>
        <v>buyingtime</v>
      </c>
      <c r="G63">
        <v>1</v>
      </c>
      <c r="H63">
        <f t="shared" si="0"/>
        <v>8.39</v>
      </c>
    </row>
    <row r="64" spans="1:8" x14ac:dyDescent="0.3">
      <c r="A64" t="str">
        <f>VLOOKUP(B64,Table3[[#Headers],[#Data]],3,FALSE)</f>
        <v>Stationery</v>
      </c>
      <c r="B64" t="s">
        <v>83</v>
      </c>
      <c r="C64">
        <f>VLOOKUP(B64,Table3[[#Headers],[#Data]],4, FALSE)</f>
        <v>8.39</v>
      </c>
      <c r="D64" t="str">
        <f>VLOOKUP('Rough data'!B64,Table3[[#Headers],[#Data]],2,FALSE)</f>
        <v>Permanent markers 6 pack black</v>
      </c>
      <c r="E64" t="str">
        <f>VLOOKUP(B64,Table3[[#Headers],[#Data]],5,FALSE)</f>
        <v>SELL0019</v>
      </c>
      <c r="F64" t="str">
        <f>VLOOKUP(E64,Table2[[#Headers],[#Data],[seller_id]:[seller_user]],2,FALSE)</f>
        <v>buyingtime</v>
      </c>
      <c r="G64">
        <v>1</v>
      </c>
      <c r="H64">
        <f t="shared" si="0"/>
        <v>8.39</v>
      </c>
    </row>
    <row r="65" spans="1:8" x14ac:dyDescent="0.3">
      <c r="A65" t="str">
        <f>VLOOKUP(B65,Table3[[#Headers],[#Data]],3,FALSE)</f>
        <v>Stationery</v>
      </c>
      <c r="B65" t="s">
        <v>83</v>
      </c>
      <c r="C65">
        <f>VLOOKUP(B65,Table3[[#Headers],[#Data]],4, FALSE)</f>
        <v>8.39</v>
      </c>
      <c r="D65" t="str">
        <f>VLOOKUP('Rough data'!B65,Table3[[#Headers],[#Data]],2,FALSE)</f>
        <v>Permanent markers 6 pack black</v>
      </c>
      <c r="E65" t="str">
        <f>VLOOKUP(B65,Table3[[#Headers],[#Data]],5,FALSE)</f>
        <v>SELL0019</v>
      </c>
      <c r="F65" t="str">
        <f>VLOOKUP(E65,Table2[[#Headers],[#Data],[seller_id]:[seller_user]],2,FALSE)</f>
        <v>buyingtime</v>
      </c>
      <c r="G65">
        <v>1</v>
      </c>
      <c r="H65">
        <f t="shared" si="0"/>
        <v>8.39</v>
      </c>
    </row>
    <row r="66" spans="1:8" x14ac:dyDescent="0.3">
      <c r="A66" t="str">
        <f>VLOOKUP(B66,Table3[[#Headers],[#Data]],3,FALSE)</f>
        <v>Stationery</v>
      </c>
      <c r="B66" t="s">
        <v>83</v>
      </c>
      <c r="C66">
        <f>VLOOKUP(B66,Table3[[#Headers],[#Data]],4, FALSE)</f>
        <v>8.39</v>
      </c>
      <c r="D66" t="str">
        <f>VLOOKUP('Rough data'!B66,Table3[[#Headers],[#Data]],2,FALSE)</f>
        <v>Permanent markers 6 pack black</v>
      </c>
      <c r="E66" t="str">
        <f>VLOOKUP(B66,Table3[[#Headers],[#Data]],5,FALSE)</f>
        <v>SELL0019</v>
      </c>
      <c r="F66" t="str">
        <f>VLOOKUP(E66,Table2[[#Headers],[#Data],[seller_id]:[seller_user]],2,FALSE)</f>
        <v>buyingtime</v>
      </c>
      <c r="G66">
        <v>1</v>
      </c>
      <c r="H66">
        <f t="shared" ref="H66:H129" si="1">G66*C66</f>
        <v>8.39</v>
      </c>
    </row>
    <row r="67" spans="1:8" x14ac:dyDescent="0.3">
      <c r="A67" t="str">
        <f>VLOOKUP(B67,Table3[[#Headers],[#Data]],3,FALSE)</f>
        <v>Stationery</v>
      </c>
      <c r="B67" t="s">
        <v>85</v>
      </c>
      <c r="C67">
        <f>VLOOKUP(B67,Table3[[#Headers],[#Data]],4, FALSE)</f>
        <v>10.39</v>
      </c>
      <c r="D67" t="str">
        <f>VLOOKUP('Rough data'!B67,Table3[[#Headers],[#Data]],2,FALSE)</f>
        <v>Permanent markers 6 pack blue</v>
      </c>
      <c r="E67" t="str">
        <f>VLOOKUP(B67,Table3[[#Headers],[#Data]],5,FALSE)</f>
        <v>SELL0020</v>
      </c>
      <c r="F67" t="str">
        <f>VLOOKUP(E67,Table2[[#Headers],[#Data],[seller_id]:[seller_user]],2,FALSE)</f>
        <v>staion-bonanza</v>
      </c>
      <c r="G67">
        <v>1</v>
      </c>
      <c r="H67">
        <f t="shared" si="1"/>
        <v>10.39</v>
      </c>
    </row>
    <row r="68" spans="1:8" x14ac:dyDescent="0.3">
      <c r="A68" t="str">
        <f>VLOOKUP(B68,Table3[[#Headers],[#Data]],3,FALSE)</f>
        <v>Jewellery</v>
      </c>
      <c r="B68" t="s">
        <v>88</v>
      </c>
      <c r="C68">
        <f>VLOOKUP(B68,Table3[[#Headers],[#Data]],4, FALSE)</f>
        <v>49.31</v>
      </c>
      <c r="D68" t="str">
        <f>VLOOKUP('Rough data'!B68,Table3[[#Headers],[#Data]],2,FALSE)</f>
        <v>Pendant Necklace - Rose Gold</v>
      </c>
      <c r="E68" t="str">
        <f>VLOOKUP(B68,Table3[[#Headers],[#Data]],5,FALSE)</f>
        <v>SELL0021</v>
      </c>
      <c r="F68" t="str">
        <f>VLOOKUP(E68,Table2[[#Headers],[#Data],[seller_id]:[seller_user]],2,FALSE)</f>
        <v>stuff-on-sale</v>
      </c>
      <c r="G68">
        <v>2</v>
      </c>
      <c r="H68">
        <f t="shared" si="1"/>
        <v>98.62</v>
      </c>
    </row>
    <row r="69" spans="1:8" x14ac:dyDescent="0.3">
      <c r="A69" t="str">
        <f>VLOOKUP(B69,Table3[[#Headers],[#Data]],3,FALSE)</f>
        <v>Outdoor</v>
      </c>
      <c r="B69" t="s">
        <v>90</v>
      </c>
      <c r="C69">
        <f>VLOOKUP(B69,Table3[[#Headers],[#Data]],4, FALSE)</f>
        <v>43.27</v>
      </c>
      <c r="D69" t="str">
        <f>VLOOKUP('Rough data'!B69,Table3[[#Headers],[#Data]],2,FALSE)</f>
        <v>Solar Garden Light Set (4 pack)</v>
      </c>
      <c r="E69" t="str">
        <f>VLOOKUP(B69,Table3[[#Headers],[#Data]],5,FALSE)</f>
        <v>SELL0021</v>
      </c>
      <c r="F69" t="str">
        <f>VLOOKUP(E69,Table2[[#Headers],[#Data],[seller_id]:[seller_user]],2,FALSE)</f>
        <v>stuff-on-sale</v>
      </c>
      <c r="G69">
        <v>2</v>
      </c>
      <c r="H69">
        <f t="shared" si="1"/>
        <v>86.54</v>
      </c>
    </row>
    <row r="70" spans="1:8" x14ac:dyDescent="0.3">
      <c r="A70" t="str">
        <f>VLOOKUP(B70,Table3[[#Headers],[#Data]],3,FALSE)</f>
        <v>Outdoor</v>
      </c>
      <c r="B70" t="s">
        <v>90</v>
      </c>
      <c r="C70">
        <f>VLOOKUP(B70,Table3[[#Headers],[#Data]],4, FALSE)</f>
        <v>43.27</v>
      </c>
      <c r="D70" t="str">
        <f>VLOOKUP('Rough data'!B70,Table3[[#Headers],[#Data]],2,FALSE)</f>
        <v>Solar Garden Light Set (4 pack)</v>
      </c>
      <c r="E70" t="str">
        <f>VLOOKUP(B70,Table3[[#Headers],[#Data]],5,FALSE)</f>
        <v>SELL0021</v>
      </c>
      <c r="F70" t="str">
        <f>VLOOKUP(E70,Table2[[#Headers],[#Data],[seller_id]:[seller_user]],2,FALSE)</f>
        <v>stuff-on-sale</v>
      </c>
      <c r="G70">
        <v>1</v>
      </c>
      <c r="H70">
        <f t="shared" si="1"/>
        <v>43.27</v>
      </c>
    </row>
    <row r="71" spans="1:8" x14ac:dyDescent="0.3">
      <c r="A71" t="str">
        <f>VLOOKUP(B71,Table3[[#Headers],[#Data]],3,FALSE)</f>
        <v>Outdoor</v>
      </c>
      <c r="B71" t="s">
        <v>90</v>
      </c>
      <c r="C71">
        <f>VLOOKUP(B71,Table3[[#Headers],[#Data]],4, FALSE)</f>
        <v>43.27</v>
      </c>
      <c r="D71" t="str">
        <f>VLOOKUP('Rough data'!B71,Table3[[#Headers],[#Data]],2,FALSE)</f>
        <v>Solar Garden Light Set (4 pack)</v>
      </c>
      <c r="E71" t="str">
        <f>VLOOKUP(B71,Table3[[#Headers],[#Data]],5,FALSE)</f>
        <v>SELL0021</v>
      </c>
      <c r="F71" t="str">
        <f>VLOOKUP(E71,Table2[[#Headers],[#Data],[seller_id]:[seller_user]],2,FALSE)</f>
        <v>stuff-on-sale</v>
      </c>
      <c r="G71">
        <v>1</v>
      </c>
      <c r="H71">
        <f t="shared" si="1"/>
        <v>43.27</v>
      </c>
    </row>
    <row r="72" spans="1:8" x14ac:dyDescent="0.3">
      <c r="A72" t="str">
        <f>VLOOKUP(B72,Table3[[#Headers],[#Data]],3,FALSE)</f>
        <v>Outdoor</v>
      </c>
      <c r="B72" t="s">
        <v>92</v>
      </c>
      <c r="C72">
        <f>VLOOKUP(B72,Table3[[#Headers],[#Data]],4, FALSE)</f>
        <v>115.39</v>
      </c>
      <c r="D72" t="str">
        <f>VLOOKUP('Rough data'!B72,Table3[[#Headers],[#Data]],2,FALSE)</f>
        <v>Solar Garden Light Set (8 pack)</v>
      </c>
      <c r="E72" t="str">
        <f>VLOOKUP(B72,Table3[[#Headers],[#Data]],5,FALSE)</f>
        <v>SELL0021</v>
      </c>
      <c r="F72" t="str">
        <f>VLOOKUP(E72,Table2[[#Headers],[#Data],[seller_id]:[seller_user]],2,FALSE)</f>
        <v>stuff-on-sale</v>
      </c>
      <c r="G72">
        <v>1</v>
      </c>
      <c r="H72">
        <f t="shared" si="1"/>
        <v>115.39</v>
      </c>
    </row>
    <row r="73" spans="1:8" x14ac:dyDescent="0.3">
      <c r="A73" t="str">
        <f>VLOOKUP(B73,Table3[[#Headers],[#Data]],3,FALSE)</f>
        <v>Outdoor</v>
      </c>
      <c r="B73" t="s">
        <v>92</v>
      </c>
      <c r="C73">
        <f>VLOOKUP(B73,Table3[[#Headers],[#Data]],4, FALSE)</f>
        <v>115.39</v>
      </c>
      <c r="D73" t="str">
        <f>VLOOKUP('Rough data'!B73,Table3[[#Headers],[#Data]],2,FALSE)</f>
        <v>Solar Garden Light Set (8 pack)</v>
      </c>
      <c r="E73" t="str">
        <f>VLOOKUP(B73,Table3[[#Headers],[#Data]],5,FALSE)</f>
        <v>SELL0021</v>
      </c>
      <c r="F73" t="str">
        <f>VLOOKUP(E73,Table2[[#Headers],[#Data],[seller_id]:[seller_user]],2,FALSE)</f>
        <v>stuff-on-sale</v>
      </c>
      <c r="G73">
        <v>1</v>
      </c>
      <c r="H73">
        <f t="shared" si="1"/>
        <v>115.39</v>
      </c>
    </row>
    <row r="74" spans="1:8" x14ac:dyDescent="0.3">
      <c r="A74" t="str">
        <f>VLOOKUP(B74,Table3[[#Headers],[#Data]],3,FALSE)</f>
        <v>Outdoor</v>
      </c>
      <c r="B74" t="s">
        <v>92</v>
      </c>
      <c r="C74">
        <f>VLOOKUP(B74,Table3[[#Headers],[#Data]],4, FALSE)</f>
        <v>115.39</v>
      </c>
      <c r="D74" t="str">
        <f>VLOOKUP('Rough data'!B74,Table3[[#Headers],[#Data]],2,FALSE)</f>
        <v>Solar Garden Light Set (8 pack)</v>
      </c>
      <c r="E74" t="str">
        <f>VLOOKUP(B74,Table3[[#Headers],[#Data]],5,FALSE)</f>
        <v>SELL0021</v>
      </c>
      <c r="F74" t="str">
        <f>VLOOKUP(E74,Table2[[#Headers],[#Data],[seller_id]:[seller_user]],2,FALSE)</f>
        <v>stuff-on-sale</v>
      </c>
      <c r="G74">
        <v>1</v>
      </c>
      <c r="H74">
        <f t="shared" si="1"/>
        <v>115.39</v>
      </c>
    </row>
    <row r="75" spans="1:8" x14ac:dyDescent="0.3">
      <c r="A75" t="str">
        <f>VLOOKUP(B75,Table3[[#Headers],[#Data]],3,FALSE)</f>
        <v>Outdoor</v>
      </c>
      <c r="B75" t="s">
        <v>92</v>
      </c>
      <c r="C75">
        <f>VLOOKUP(B75,Table3[[#Headers],[#Data]],4, FALSE)</f>
        <v>115.39</v>
      </c>
      <c r="D75" t="str">
        <f>VLOOKUP('Rough data'!B75,Table3[[#Headers],[#Data]],2,FALSE)</f>
        <v>Solar Garden Light Set (8 pack)</v>
      </c>
      <c r="E75" t="str">
        <f>VLOOKUP(B75,Table3[[#Headers],[#Data]],5,FALSE)</f>
        <v>SELL0021</v>
      </c>
      <c r="F75" t="str">
        <f>VLOOKUP(E75,Table2[[#Headers],[#Data],[seller_id]:[seller_user]],2,FALSE)</f>
        <v>stuff-on-sale</v>
      </c>
      <c r="G75">
        <v>2</v>
      </c>
      <c r="H75">
        <f t="shared" si="1"/>
        <v>230.78</v>
      </c>
    </row>
    <row r="76" spans="1:8" x14ac:dyDescent="0.3">
      <c r="A76" t="str">
        <f>VLOOKUP(B76,Table3[[#Headers],[#Data]],3,FALSE)</f>
        <v>Outdoor</v>
      </c>
      <c r="B76" t="s">
        <v>92</v>
      </c>
      <c r="C76">
        <f>VLOOKUP(B76,Table3[[#Headers],[#Data]],4, FALSE)</f>
        <v>115.39</v>
      </c>
      <c r="D76" t="str">
        <f>VLOOKUP('Rough data'!B76,Table3[[#Headers],[#Data]],2,FALSE)</f>
        <v>Solar Garden Light Set (8 pack)</v>
      </c>
      <c r="E76" t="str">
        <f>VLOOKUP(B76,Table3[[#Headers],[#Data]],5,FALSE)</f>
        <v>SELL0021</v>
      </c>
      <c r="F76" t="str">
        <f>VLOOKUP(E76,Table2[[#Headers],[#Data],[seller_id]:[seller_user]],2,FALSE)</f>
        <v>stuff-on-sale</v>
      </c>
      <c r="G76">
        <v>1</v>
      </c>
      <c r="H76">
        <f t="shared" si="1"/>
        <v>115.39</v>
      </c>
    </row>
    <row r="77" spans="1:8" x14ac:dyDescent="0.3">
      <c r="A77" t="str">
        <f>VLOOKUP(B77,Table3[[#Headers],[#Data]],3,FALSE)</f>
        <v>Toys</v>
      </c>
      <c r="B77" t="s">
        <v>98</v>
      </c>
      <c r="C77">
        <f>VLOOKUP(B77,Table3[[#Headers],[#Data]],4, FALSE)</f>
        <v>17.940000000000001</v>
      </c>
      <c r="D77" t="str">
        <f>VLOOKUP('Rough data'!B77,Table3[[#Headers],[#Data]],2,FALSE)</f>
        <v>Snorkel Set - Child</v>
      </c>
      <c r="E77" t="str">
        <f>VLOOKUP(B77,Table3[[#Headers],[#Data]],5,FALSE)</f>
        <v>SELL0022</v>
      </c>
      <c r="F77" t="str">
        <f>VLOOKUP(E77,Table2[[#Headers],[#Data],[seller_id]:[seller_user]],2,FALSE)</f>
        <v>g5x9v55sct</v>
      </c>
      <c r="G77">
        <v>1</v>
      </c>
      <c r="H77">
        <f t="shared" si="1"/>
        <v>17.940000000000001</v>
      </c>
    </row>
    <row r="78" spans="1:8" x14ac:dyDescent="0.3">
      <c r="A78" t="str">
        <f>VLOOKUP(B78,Table3[[#Headers],[#Data]],3,FALSE)</f>
        <v>Toys</v>
      </c>
      <c r="B78" t="s">
        <v>98</v>
      </c>
      <c r="C78">
        <f>VLOOKUP(B78,Table3[[#Headers],[#Data]],4, FALSE)</f>
        <v>17.940000000000001</v>
      </c>
      <c r="D78" t="str">
        <f>VLOOKUP('Rough data'!B78,Table3[[#Headers],[#Data]],2,FALSE)</f>
        <v>Snorkel Set - Child</v>
      </c>
      <c r="E78" t="str">
        <f>VLOOKUP(B78,Table3[[#Headers],[#Data]],5,FALSE)</f>
        <v>SELL0022</v>
      </c>
      <c r="F78" t="str">
        <f>VLOOKUP(E78,Table2[[#Headers],[#Data],[seller_id]:[seller_user]],2,FALSE)</f>
        <v>g5x9v55sct</v>
      </c>
      <c r="G78">
        <v>1</v>
      </c>
      <c r="H78">
        <f t="shared" si="1"/>
        <v>17.940000000000001</v>
      </c>
    </row>
    <row r="79" spans="1:8" x14ac:dyDescent="0.3">
      <c r="A79" t="str">
        <f>VLOOKUP(B79,Table3[[#Headers],[#Data]],3,FALSE)</f>
        <v>Toys</v>
      </c>
      <c r="B79" t="s">
        <v>98</v>
      </c>
      <c r="C79">
        <f>VLOOKUP(B79,Table3[[#Headers],[#Data]],4, FALSE)</f>
        <v>17.940000000000001</v>
      </c>
      <c r="D79" t="str">
        <f>VLOOKUP('Rough data'!B79,Table3[[#Headers],[#Data]],2,FALSE)</f>
        <v>Snorkel Set - Child</v>
      </c>
      <c r="E79" t="str">
        <f>VLOOKUP(B79,Table3[[#Headers],[#Data]],5,FALSE)</f>
        <v>SELL0022</v>
      </c>
      <c r="F79" t="str">
        <f>VLOOKUP(E79,Table2[[#Headers],[#Data],[seller_id]:[seller_user]],2,FALSE)</f>
        <v>g5x9v55sct</v>
      </c>
      <c r="G79">
        <v>1</v>
      </c>
      <c r="H79">
        <f t="shared" si="1"/>
        <v>17.940000000000001</v>
      </c>
    </row>
    <row r="80" spans="1:8" x14ac:dyDescent="0.3">
      <c r="A80" t="str">
        <f>VLOOKUP(B80,Table3[[#Headers],[#Data]],3,FALSE)</f>
        <v>Toys</v>
      </c>
      <c r="B80" t="s">
        <v>101</v>
      </c>
      <c r="C80">
        <f>VLOOKUP(B80,Table3[[#Headers],[#Data]],4, FALSE)</f>
        <v>38.630000000000003</v>
      </c>
      <c r="D80" t="str">
        <f>VLOOKUP('Rough data'!B80,Table3[[#Headers],[#Data]],2,FALSE)</f>
        <v>Snorkel Set - Child Pink</v>
      </c>
      <c r="E80" t="str">
        <f>VLOOKUP(B80,Table3[[#Headers],[#Data]],5,FALSE)</f>
        <v>SELL0022</v>
      </c>
      <c r="F80" t="str">
        <f>VLOOKUP(E80,Table2[[#Headers],[#Data],[seller_id]:[seller_user]],2,FALSE)</f>
        <v>g5x9v55sct</v>
      </c>
      <c r="G80">
        <v>1</v>
      </c>
      <c r="H80">
        <f t="shared" si="1"/>
        <v>38.630000000000003</v>
      </c>
    </row>
    <row r="81" spans="1:8" x14ac:dyDescent="0.3">
      <c r="A81" t="str">
        <f>VLOOKUP(B81,Table3[[#Headers],[#Data]],3,FALSE)</f>
        <v>Outdoor</v>
      </c>
      <c r="B81" t="s">
        <v>103</v>
      </c>
      <c r="C81">
        <f>VLOOKUP(B81,Table3[[#Headers],[#Data]],4, FALSE)</f>
        <v>24.22</v>
      </c>
      <c r="D81" t="str">
        <f>VLOOKUP('Rough data'!B81,Table3[[#Headers],[#Data]],2,FALSE)</f>
        <v>Outdoor Oven Gloves (Red)</v>
      </c>
      <c r="E81" t="str">
        <f>VLOOKUP(B81,Table3[[#Headers],[#Data]],5,FALSE)</f>
        <v>SELL0022</v>
      </c>
      <c r="F81" t="str">
        <f>VLOOKUP(E81,Table2[[#Headers],[#Data],[seller_id]:[seller_user]],2,FALSE)</f>
        <v>g5x9v55sct</v>
      </c>
      <c r="G81">
        <v>1</v>
      </c>
      <c r="H81">
        <f t="shared" si="1"/>
        <v>24.22</v>
      </c>
    </row>
    <row r="82" spans="1:8" x14ac:dyDescent="0.3">
      <c r="A82" t="str">
        <f>VLOOKUP(B82,Table3[[#Headers],[#Data]],3,FALSE)</f>
        <v>Outdoor</v>
      </c>
      <c r="B82" t="s">
        <v>103</v>
      </c>
      <c r="C82">
        <f>VLOOKUP(B82,Table3[[#Headers],[#Data]],4, FALSE)</f>
        <v>24.22</v>
      </c>
      <c r="D82" t="str">
        <f>VLOOKUP('Rough data'!B82,Table3[[#Headers],[#Data]],2,FALSE)</f>
        <v>Outdoor Oven Gloves (Red)</v>
      </c>
      <c r="E82" t="str">
        <f>VLOOKUP(B82,Table3[[#Headers],[#Data]],5,FALSE)</f>
        <v>SELL0022</v>
      </c>
      <c r="F82" t="str">
        <f>VLOOKUP(E82,Table2[[#Headers],[#Data],[seller_id]:[seller_user]],2,FALSE)</f>
        <v>g5x9v55sct</v>
      </c>
      <c r="G82">
        <v>2</v>
      </c>
      <c r="H82">
        <f t="shared" si="1"/>
        <v>48.44</v>
      </c>
    </row>
    <row r="83" spans="1:8" x14ac:dyDescent="0.3">
      <c r="A83" t="str">
        <f>VLOOKUP(B83,Table3[[#Headers],[#Data]],3,FALSE)</f>
        <v>Outdoor</v>
      </c>
      <c r="B83" t="s">
        <v>103</v>
      </c>
      <c r="C83">
        <f>VLOOKUP(B83,Table3[[#Headers],[#Data]],4, FALSE)</f>
        <v>24.22</v>
      </c>
      <c r="D83" t="str">
        <f>VLOOKUP('Rough data'!B83,Table3[[#Headers],[#Data]],2,FALSE)</f>
        <v>Outdoor Oven Gloves (Red)</v>
      </c>
      <c r="E83" t="str">
        <f>VLOOKUP(B83,Table3[[#Headers],[#Data]],5,FALSE)</f>
        <v>SELL0022</v>
      </c>
      <c r="F83" t="str">
        <f>VLOOKUP(E83,Table2[[#Headers],[#Data],[seller_id]:[seller_user]],2,FALSE)</f>
        <v>g5x9v55sct</v>
      </c>
      <c r="G83">
        <v>1</v>
      </c>
      <c r="H83">
        <f t="shared" si="1"/>
        <v>24.22</v>
      </c>
    </row>
    <row r="84" spans="1:8" x14ac:dyDescent="0.3">
      <c r="A84" t="str">
        <f>VLOOKUP(B84,Table3[[#Headers],[#Data]],3,FALSE)</f>
        <v>Outdoor</v>
      </c>
      <c r="B84" t="s">
        <v>103</v>
      </c>
      <c r="C84">
        <f>VLOOKUP(B84,Table3[[#Headers],[#Data]],4, FALSE)</f>
        <v>24.22</v>
      </c>
      <c r="D84" t="str">
        <f>VLOOKUP('Rough data'!B84,Table3[[#Headers],[#Data]],2,FALSE)</f>
        <v>Outdoor Oven Gloves (Red)</v>
      </c>
      <c r="E84" t="str">
        <f>VLOOKUP(B84,Table3[[#Headers],[#Data]],5,FALSE)</f>
        <v>SELL0022</v>
      </c>
      <c r="F84" t="str">
        <f>VLOOKUP(E84,Table2[[#Headers],[#Data],[seller_id]:[seller_user]],2,FALSE)</f>
        <v>g5x9v55sct</v>
      </c>
      <c r="G84">
        <v>1</v>
      </c>
      <c r="H84">
        <f t="shared" si="1"/>
        <v>24.22</v>
      </c>
    </row>
    <row r="85" spans="1:8" x14ac:dyDescent="0.3">
      <c r="A85" t="str">
        <f>VLOOKUP(B85,Table3[[#Headers],[#Data]],3,FALSE)</f>
        <v>Outdoor</v>
      </c>
      <c r="B85" t="s">
        <v>103</v>
      </c>
      <c r="C85">
        <f>VLOOKUP(B85,Table3[[#Headers],[#Data]],4, FALSE)</f>
        <v>24.22</v>
      </c>
      <c r="D85" t="str">
        <f>VLOOKUP('Rough data'!B85,Table3[[#Headers],[#Data]],2,FALSE)</f>
        <v>Outdoor Oven Gloves (Red)</v>
      </c>
      <c r="E85" t="str">
        <f>VLOOKUP(B85,Table3[[#Headers],[#Data]],5,FALSE)</f>
        <v>SELL0022</v>
      </c>
      <c r="F85" t="str">
        <f>VLOOKUP(E85,Table2[[#Headers],[#Data],[seller_id]:[seller_user]],2,FALSE)</f>
        <v>g5x9v55sct</v>
      </c>
      <c r="G85">
        <v>1</v>
      </c>
      <c r="H85">
        <f t="shared" si="1"/>
        <v>24.22</v>
      </c>
    </row>
    <row r="86" spans="1:8" x14ac:dyDescent="0.3">
      <c r="A86" t="str">
        <f>VLOOKUP(B86,Table3[[#Headers],[#Data]],3,FALSE)</f>
        <v>Outdoor</v>
      </c>
      <c r="B86" t="s">
        <v>103</v>
      </c>
      <c r="C86">
        <f>VLOOKUP(B86,Table3[[#Headers],[#Data]],4, FALSE)</f>
        <v>24.22</v>
      </c>
      <c r="D86" t="str">
        <f>VLOOKUP('Rough data'!B86,Table3[[#Headers],[#Data]],2,FALSE)</f>
        <v>Outdoor Oven Gloves (Red)</v>
      </c>
      <c r="E86" t="str">
        <f>VLOOKUP(B86,Table3[[#Headers],[#Data]],5,FALSE)</f>
        <v>SELL0022</v>
      </c>
      <c r="F86" t="str">
        <f>VLOOKUP(E86,Table2[[#Headers],[#Data],[seller_id]:[seller_user]],2,FALSE)</f>
        <v>g5x9v55sct</v>
      </c>
      <c r="G86">
        <v>1</v>
      </c>
      <c r="H86">
        <f t="shared" si="1"/>
        <v>24.22</v>
      </c>
    </row>
    <row r="87" spans="1:8" x14ac:dyDescent="0.3">
      <c r="A87" t="str">
        <f>VLOOKUP(B87,Table3[[#Headers],[#Data]],3,FALSE)</f>
        <v>Outdoor</v>
      </c>
      <c r="B87" t="s">
        <v>105</v>
      </c>
      <c r="C87">
        <f>VLOOKUP(B87,Table3[[#Headers],[#Data]],4, FALSE)</f>
        <v>45.46</v>
      </c>
      <c r="D87" t="str">
        <f>VLOOKUP('Rough data'!B87,Table3[[#Headers],[#Data]],2,FALSE)</f>
        <v>Outdoor Oven Gloves (Pink)</v>
      </c>
      <c r="E87" t="str">
        <f>VLOOKUP(B87,Table3[[#Headers],[#Data]],5,FALSE)</f>
        <v>SELL0022</v>
      </c>
      <c r="F87" t="str">
        <f>VLOOKUP(E87,Table2[[#Headers],[#Data],[seller_id]:[seller_user]],2,FALSE)</f>
        <v>g5x9v55sct</v>
      </c>
      <c r="G87">
        <v>2</v>
      </c>
      <c r="H87">
        <f t="shared" si="1"/>
        <v>90.92</v>
      </c>
    </row>
    <row r="88" spans="1:8" x14ac:dyDescent="0.3">
      <c r="A88" t="str">
        <f>VLOOKUP(B88,Table3[[#Headers],[#Data]],3,FALSE)</f>
        <v>Outdoor</v>
      </c>
      <c r="B88" t="s">
        <v>105</v>
      </c>
      <c r="C88">
        <f>VLOOKUP(B88,Table3[[#Headers],[#Data]],4, FALSE)</f>
        <v>45.46</v>
      </c>
      <c r="D88" t="str">
        <f>VLOOKUP('Rough data'!B88,Table3[[#Headers],[#Data]],2,FALSE)</f>
        <v>Outdoor Oven Gloves (Pink)</v>
      </c>
      <c r="E88" t="str">
        <f>VLOOKUP(B88,Table3[[#Headers],[#Data]],5,FALSE)</f>
        <v>SELL0022</v>
      </c>
      <c r="F88" t="str">
        <f>VLOOKUP(E88,Table2[[#Headers],[#Data],[seller_id]:[seller_user]],2,FALSE)</f>
        <v>g5x9v55sct</v>
      </c>
      <c r="G88">
        <v>1</v>
      </c>
      <c r="H88">
        <f t="shared" si="1"/>
        <v>45.46</v>
      </c>
    </row>
    <row r="89" spans="1:8" x14ac:dyDescent="0.3">
      <c r="A89" t="str">
        <f>VLOOKUP(B89,Table3[[#Headers],[#Data]],3,FALSE)</f>
        <v>Outdoor</v>
      </c>
      <c r="B89" t="s">
        <v>105</v>
      </c>
      <c r="C89">
        <f>VLOOKUP(B89,Table3[[#Headers],[#Data]],4, FALSE)</f>
        <v>45.46</v>
      </c>
      <c r="D89" t="str">
        <f>VLOOKUP('Rough data'!B89,Table3[[#Headers],[#Data]],2,FALSE)</f>
        <v>Outdoor Oven Gloves (Pink)</v>
      </c>
      <c r="E89" t="str">
        <f>VLOOKUP(B89,Table3[[#Headers],[#Data]],5,FALSE)</f>
        <v>SELL0022</v>
      </c>
      <c r="F89" t="str">
        <f>VLOOKUP(E89,Table2[[#Headers],[#Data],[seller_id]:[seller_user]],2,FALSE)</f>
        <v>g5x9v55sct</v>
      </c>
      <c r="G89">
        <v>1</v>
      </c>
      <c r="H89">
        <f t="shared" si="1"/>
        <v>45.46</v>
      </c>
    </row>
    <row r="90" spans="1:8" x14ac:dyDescent="0.3">
      <c r="A90" t="str">
        <f>VLOOKUP(B90,Table3[[#Headers],[#Data]],3,FALSE)</f>
        <v>Beauty</v>
      </c>
      <c r="B90" t="s">
        <v>109</v>
      </c>
      <c r="C90">
        <f>VLOOKUP(B90,Table3[[#Headers],[#Data]],4, FALSE)</f>
        <v>25.82</v>
      </c>
      <c r="D90" t="str">
        <f>VLOOKUP('Rough data'!B90,Table3[[#Headers],[#Data]],2,FALSE)</f>
        <v>Body Lotion - Shea Butter 200ml</v>
      </c>
      <c r="E90" t="str">
        <f>VLOOKUP(B90,Table3[[#Headers],[#Data]],5,FALSE)</f>
        <v>SELL0023</v>
      </c>
      <c r="F90" t="str">
        <f>VLOOKUP(E90,Table2[[#Headers],[#Data],[seller_id]:[seller_user]],2,FALSE)</f>
        <v>cleaning_out_my_shed</v>
      </c>
      <c r="G90">
        <v>1</v>
      </c>
      <c r="H90">
        <f t="shared" si="1"/>
        <v>25.82</v>
      </c>
    </row>
    <row r="91" spans="1:8" x14ac:dyDescent="0.3">
      <c r="A91" t="str">
        <f>VLOOKUP(B91,Table3[[#Headers],[#Data]],3,FALSE)</f>
        <v>Beauty</v>
      </c>
      <c r="B91" t="s">
        <v>112</v>
      </c>
      <c r="C91">
        <f>VLOOKUP(B91,Table3[[#Headers],[#Data]],4, FALSE)</f>
        <v>14.11</v>
      </c>
      <c r="D91" t="str">
        <f>VLOOKUP('Rough data'!B91,Table3[[#Headers],[#Data]],2,FALSE)</f>
        <v>Body Lotion - Shea Butter 500ml</v>
      </c>
      <c r="E91" t="str">
        <f>VLOOKUP(B91,Table3[[#Headers],[#Data]],5,FALSE)</f>
        <v>SELL0023</v>
      </c>
      <c r="F91" t="str">
        <f>VLOOKUP(E91,Table2[[#Headers],[#Data],[seller_id]:[seller_user]],2,FALSE)</f>
        <v>cleaning_out_my_shed</v>
      </c>
      <c r="G91">
        <v>1</v>
      </c>
      <c r="H91">
        <f t="shared" si="1"/>
        <v>14.11</v>
      </c>
    </row>
    <row r="92" spans="1:8" x14ac:dyDescent="0.3">
      <c r="A92" t="str">
        <f>VLOOKUP(B92,Table3[[#Headers],[#Data]],3,FALSE)</f>
        <v>Outdoor</v>
      </c>
      <c r="B92" t="s">
        <v>114</v>
      </c>
      <c r="C92">
        <f>VLOOKUP(B92,Table3[[#Headers],[#Data]],4, FALSE)</f>
        <v>38.39</v>
      </c>
      <c r="D92" t="str">
        <f>VLOOKUP('Rough data'!B92,Table3[[#Headers],[#Data]],2,FALSE)</f>
        <v>Fairy Lights Outdoor Garden String 100</v>
      </c>
      <c r="E92" t="str">
        <f>VLOOKUP(B92,Table3[[#Headers],[#Data]],5,FALSE)</f>
        <v>SELL0023</v>
      </c>
      <c r="F92" t="str">
        <f>VLOOKUP(E92,Table2[[#Headers],[#Data],[seller_id]:[seller_user]],2,FALSE)</f>
        <v>cleaning_out_my_shed</v>
      </c>
      <c r="G92">
        <v>2</v>
      </c>
      <c r="H92">
        <f t="shared" si="1"/>
        <v>76.78</v>
      </c>
    </row>
    <row r="93" spans="1:8" x14ac:dyDescent="0.3">
      <c r="A93" t="str">
        <f>VLOOKUP(B93,Table3[[#Headers],[#Data]],3,FALSE)</f>
        <v>Outdoor</v>
      </c>
      <c r="B93" t="s">
        <v>114</v>
      </c>
      <c r="C93">
        <f>VLOOKUP(B93,Table3[[#Headers],[#Data]],4, FALSE)</f>
        <v>38.39</v>
      </c>
      <c r="D93" t="str">
        <f>VLOOKUP('Rough data'!B93,Table3[[#Headers],[#Data]],2,FALSE)</f>
        <v>Fairy Lights Outdoor Garden String 100</v>
      </c>
      <c r="E93" t="str">
        <f>VLOOKUP(B93,Table3[[#Headers],[#Data]],5,FALSE)</f>
        <v>SELL0023</v>
      </c>
      <c r="F93" t="str">
        <f>VLOOKUP(E93,Table2[[#Headers],[#Data],[seller_id]:[seller_user]],2,FALSE)</f>
        <v>cleaning_out_my_shed</v>
      </c>
      <c r="G93">
        <v>1</v>
      </c>
      <c r="H93">
        <f t="shared" si="1"/>
        <v>38.39</v>
      </c>
    </row>
    <row r="94" spans="1:8" x14ac:dyDescent="0.3">
      <c r="A94" t="str">
        <f>VLOOKUP(B94,Table3[[#Headers],[#Data]],3,FALSE)</f>
        <v>Outdoor</v>
      </c>
      <c r="B94" t="s">
        <v>114</v>
      </c>
      <c r="C94">
        <f>VLOOKUP(B94,Table3[[#Headers],[#Data]],4, FALSE)</f>
        <v>38.39</v>
      </c>
      <c r="D94" t="str">
        <f>VLOOKUP('Rough data'!B94,Table3[[#Headers],[#Data]],2,FALSE)</f>
        <v>Fairy Lights Outdoor Garden String 100</v>
      </c>
      <c r="E94" t="str">
        <f>VLOOKUP(B94,Table3[[#Headers],[#Data]],5,FALSE)</f>
        <v>SELL0023</v>
      </c>
      <c r="F94" t="str">
        <f>VLOOKUP(E94,Table2[[#Headers],[#Data],[seller_id]:[seller_user]],2,FALSE)</f>
        <v>cleaning_out_my_shed</v>
      </c>
      <c r="G94">
        <v>3</v>
      </c>
      <c r="H94">
        <f t="shared" si="1"/>
        <v>115.17</v>
      </c>
    </row>
    <row r="95" spans="1:8" x14ac:dyDescent="0.3">
      <c r="A95" t="str">
        <f>VLOOKUP(B95,Table3[[#Headers],[#Data]],3,FALSE)</f>
        <v>Outdoor</v>
      </c>
      <c r="B95" t="s">
        <v>114</v>
      </c>
      <c r="C95">
        <f>VLOOKUP(B95,Table3[[#Headers],[#Data]],4, FALSE)</f>
        <v>38.39</v>
      </c>
      <c r="D95" t="str">
        <f>VLOOKUP('Rough data'!B95,Table3[[#Headers],[#Data]],2,FALSE)</f>
        <v>Fairy Lights Outdoor Garden String 100</v>
      </c>
      <c r="E95" t="str">
        <f>VLOOKUP(B95,Table3[[#Headers],[#Data]],5,FALSE)</f>
        <v>SELL0023</v>
      </c>
      <c r="F95" t="str">
        <f>VLOOKUP(E95,Table2[[#Headers],[#Data],[seller_id]:[seller_user]],2,FALSE)</f>
        <v>cleaning_out_my_shed</v>
      </c>
      <c r="G95">
        <v>1</v>
      </c>
      <c r="H95">
        <f t="shared" si="1"/>
        <v>38.39</v>
      </c>
    </row>
    <row r="96" spans="1:8" x14ac:dyDescent="0.3">
      <c r="A96" t="str">
        <f>VLOOKUP(B96,Table3[[#Headers],[#Data]],3,FALSE)</f>
        <v>Outdoor</v>
      </c>
      <c r="B96" t="s">
        <v>114</v>
      </c>
      <c r="C96">
        <f>VLOOKUP(B96,Table3[[#Headers],[#Data]],4, FALSE)</f>
        <v>38.39</v>
      </c>
      <c r="D96" t="str">
        <f>VLOOKUP('Rough data'!B96,Table3[[#Headers],[#Data]],2,FALSE)</f>
        <v>Fairy Lights Outdoor Garden String 100</v>
      </c>
      <c r="E96" t="str">
        <f>VLOOKUP(B96,Table3[[#Headers],[#Data]],5,FALSE)</f>
        <v>SELL0023</v>
      </c>
      <c r="F96" t="str">
        <f>VLOOKUP(E96,Table2[[#Headers],[#Data],[seller_id]:[seller_user]],2,FALSE)</f>
        <v>cleaning_out_my_shed</v>
      </c>
      <c r="G96">
        <v>1</v>
      </c>
      <c r="H96">
        <f t="shared" si="1"/>
        <v>38.39</v>
      </c>
    </row>
    <row r="97" spans="1:8" x14ac:dyDescent="0.3">
      <c r="A97" t="str">
        <f>VLOOKUP(B97,Table3[[#Headers],[#Data]],3,FALSE)</f>
        <v>Outdoor</v>
      </c>
      <c r="B97" t="s">
        <v>114</v>
      </c>
      <c r="C97">
        <f>VLOOKUP(B97,Table3[[#Headers],[#Data]],4, FALSE)</f>
        <v>38.39</v>
      </c>
      <c r="D97" t="str">
        <f>VLOOKUP('Rough data'!B97,Table3[[#Headers],[#Data]],2,FALSE)</f>
        <v>Fairy Lights Outdoor Garden String 100</v>
      </c>
      <c r="E97" t="str">
        <f>VLOOKUP(B97,Table3[[#Headers],[#Data]],5,FALSE)</f>
        <v>SELL0023</v>
      </c>
      <c r="F97" t="str">
        <f>VLOOKUP(E97,Table2[[#Headers],[#Data],[seller_id]:[seller_user]],2,FALSE)</f>
        <v>cleaning_out_my_shed</v>
      </c>
      <c r="G97">
        <v>1</v>
      </c>
      <c r="H97">
        <f t="shared" si="1"/>
        <v>38.39</v>
      </c>
    </row>
    <row r="98" spans="1:8" x14ac:dyDescent="0.3">
      <c r="A98" t="str">
        <f>VLOOKUP(B98,Table3[[#Headers],[#Data]],3,FALSE)</f>
        <v>Outdoor</v>
      </c>
      <c r="B98" t="s">
        <v>114</v>
      </c>
      <c r="C98">
        <f>VLOOKUP(B98,Table3[[#Headers],[#Data]],4, FALSE)</f>
        <v>38.39</v>
      </c>
      <c r="D98" t="str">
        <f>VLOOKUP('Rough data'!B98,Table3[[#Headers],[#Data]],2,FALSE)</f>
        <v>Fairy Lights Outdoor Garden String 100</v>
      </c>
      <c r="E98" t="str">
        <f>VLOOKUP(B98,Table3[[#Headers],[#Data]],5,FALSE)</f>
        <v>SELL0023</v>
      </c>
      <c r="F98" t="str">
        <f>VLOOKUP(E98,Table2[[#Headers],[#Data],[seller_id]:[seller_user]],2,FALSE)</f>
        <v>cleaning_out_my_shed</v>
      </c>
      <c r="G98">
        <v>1</v>
      </c>
      <c r="H98">
        <f t="shared" si="1"/>
        <v>38.39</v>
      </c>
    </row>
    <row r="99" spans="1:8" x14ac:dyDescent="0.3">
      <c r="A99" t="str">
        <f>VLOOKUP(B99,Table3[[#Headers],[#Data]],3,FALSE)</f>
        <v>Outdoor</v>
      </c>
      <c r="B99" t="s">
        <v>114</v>
      </c>
      <c r="C99">
        <f>VLOOKUP(B99,Table3[[#Headers],[#Data]],4, FALSE)</f>
        <v>38.39</v>
      </c>
      <c r="D99" t="str">
        <f>VLOOKUP('Rough data'!B99,Table3[[#Headers],[#Data]],2,FALSE)</f>
        <v>Fairy Lights Outdoor Garden String 100</v>
      </c>
      <c r="E99" t="str">
        <f>VLOOKUP(B99,Table3[[#Headers],[#Data]],5,FALSE)</f>
        <v>SELL0023</v>
      </c>
      <c r="F99" t="str">
        <f>VLOOKUP(E99,Table2[[#Headers],[#Data],[seller_id]:[seller_user]],2,FALSE)</f>
        <v>cleaning_out_my_shed</v>
      </c>
      <c r="G99">
        <v>1</v>
      </c>
      <c r="H99">
        <f t="shared" si="1"/>
        <v>38.39</v>
      </c>
    </row>
    <row r="100" spans="1:8" x14ac:dyDescent="0.3">
      <c r="A100" t="str">
        <f>VLOOKUP(B100,Table3[[#Headers],[#Data]],3,FALSE)</f>
        <v>Outdoor</v>
      </c>
      <c r="B100" t="s">
        <v>114</v>
      </c>
      <c r="C100">
        <f>VLOOKUP(B100,Table3[[#Headers],[#Data]],4, FALSE)</f>
        <v>38.39</v>
      </c>
      <c r="D100" t="str">
        <f>VLOOKUP('Rough data'!B100,Table3[[#Headers],[#Data]],2,FALSE)</f>
        <v>Fairy Lights Outdoor Garden String 100</v>
      </c>
      <c r="E100" t="str">
        <f>VLOOKUP(B100,Table3[[#Headers],[#Data]],5,FALSE)</f>
        <v>SELL0023</v>
      </c>
      <c r="F100" t="str">
        <f>VLOOKUP(E100,Table2[[#Headers],[#Data],[seller_id]:[seller_user]],2,FALSE)</f>
        <v>cleaning_out_my_shed</v>
      </c>
      <c r="G100">
        <v>1</v>
      </c>
      <c r="H100">
        <f t="shared" si="1"/>
        <v>38.39</v>
      </c>
    </row>
    <row r="101" spans="1:8" x14ac:dyDescent="0.3">
      <c r="A101" t="str">
        <f>VLOOKUP(B101,Table3[[#Headers],[#Data]],3,FALSE)</f>
        <v>Outdoor</v>
      </c>
      <c r="B101" t="s">
        <v>116</v>
      </c>
      <c r="C101">
        <f>VLOOKUP(B101,Table3[[#Headers],[#Data]],4, FALSE)</f>
        <v>55.89</v>
      </c>
      <c r="D101" t="str">
        <f>VLOOKUP('Rough data'!B101,Table3[[#Headers],[#Data]],2,FALSE)</f>
        <v>Fairy Lights Outdoor Garden String 200</v>
      </c>
      <c r="E101" t="str">
        <f>VLOOKUP(B101,Table3[[#Headers],[#Data]],5,FALSE)</f>
        <v>SELL0023</v>
      </c>
      <c r="F101" t="str">
        <f>VLOOKUP(E101,Table2[[#Headers],[#Data],[seller_id]:[seller_user]],2,FALSE)</f>
        <v>cleaning_out_my_shed</v>
      </c>
      <c r="G101">
        <v>1</v>
      </c>
      <c r="H101">
        <f t="shared" si="1"/>
        <v>55.89</v>
      </c>
    </row>
    <row r="102" spans="1:8" x14ac:dyDescent="0.3">
      <c r="A102" t="str">
        <f>VLOOKUP(B102,Table3[[#Headers],[#Data]],3,FALSE)</f>
        <v>Outdoor</v>
      </c>
      <c r="B102" t="s">
        <v>116</v>
      </c>
      <c r="C102">
        <f>VLOOKUP(B102,Table3[[#Headers],[#Data]],4, FALSE)</f>
        <v>55.89</v>
      </c>
      <c r="D102" t="str">
        <f>VLOOKUP('Rough data'!B102,Table3[[#Headers],[#Data]],2,FALSE)</f>
        <v>Fairy Lights Outdoor Garden String 200</v>
      </c>
      <c r="E102" t="str">
        <f>VLOOKUP(B102,Table3[[#Headers],[#Data]],5,FALSE)</f>
        <v>SELL0023</v>
      </c>
      <c r="F102" t="str">
        <f>VLOOKUP(E102,Table2[[#Headers],[#Data],[seller_id]:[seller_user]],2,FALSE)</f>
        <v>cleaning_out_my_shed</v>
      </c>
      <c r="G102">
        <v>1</v>
      </c>
      <c r="H102">
        <f t="shared" si="1"/>
        <v>55.89</v>
      </c>
    </row>
    <row r="103" spans="1:8" x14ac:dyDescent="0.3">
      <c r="A103" t="str">
        <f>VLOOKUP(B103,Table3[[#Headers],[#Data]],3,FALSE)</f>
        <v>Clothes</v>
      </c>
      <c r="B103" t="s">
        <v>118</v>
      </c>
      <c r="C103">
        <f>VLOOKUP(B103,Table3[[#Headers],[#Data]],4, FALSE)</f>
        <v>54.17</v>
      </c>
      <c r="D103" t="str">
        <f>VLOOKUP('Rough data'!B103,Table3[[#Headers],[#Data]],2,FALSE)</f>
        <v>Unisex Hoodie - Blue XXXL</v>
      </c>
      <c r="E103" t="str">
        <f>VLOOKUP(B103,Table3[[#Headers],[#Data]],5,FALSE)</f>
        <v>SELL0023</v>
      </c>
      <c r="F103" t="str">
        <f>VLOOKUP(E103,Table2[[#Headers],[#Data],[seller_id]:[seller_user]],2,FALSE)</f>
        <v>cleaning_out_my_shed</v>
      </c>
      <c r="G103">
        <v>1</v>
      </c>
      <c r="H103">
        <f t="shared" si="1"/>
        <v>54.17</v>
      </c>
    </row>
    <row r="104" spans="1:8" x14ac:dyDescent="0.3">
      <c r="A104" t="str">
        <f>VLOOKUP(B104,Table3[[#Headers],[#Data]],3,FALSE)</f>
        <v>Clothes</v>
      </c>
      <c r="B104" t="s">
        <v>118</v>
      </c>
      <c r="C104">
        <f>VLOOKUP(B104,Table3[[#Headers],[#Data]],4, FALSE)</f>
        <v>54.17</v>
      </c>
      <c r="D104" t="str">
        <f>VLOOKUP('Rough data'!B104,Table3[[#Headers],[#Data]],2,FALSE)</f>
        <v>Unisex Hoodie - Blue XXXL</v>
      </c>
      <c r="E104" t="str">
        <f>VLOOKUP(B104,Table3[[#Headers],[#Data]],5,FALSE)</f>
        <v>SELL0023</v>
      </c>
      <c r="F104" t="str">
        <f>VLOOKUP(E104,Table2[[#Headers],[#Data],[seller_id]:[seller_user]],2,FALSE)</f>
        <v>cleaning_out_my_shed</v>
      </c>
      <c r="G104">
        <v>1</v>
      </c>
      <c r="H104">
        <f t="shared" si="1"/>
        <v>54.17</v>
      </c>
    </row>
    <row r="105" spans="1:8" x14ac:dyDescent="0.3">
      <c r="A105" t="str">
        <f>VLOOKUP(B105,Table3[[#Headers],[#Data]],3,FALSE)</f>
        <v>Electronics</v>
      </c>
      <c r="B105" t="s">
        <v>120</v>
      </c>
      <c r="C105">
        <f>VLOOKUP(B105,Table3[[#Headers],[#Data]],4, FALSE)</f>
        <v>62.94</v>
      </c>
      <c r="D105" t="str">
        <f>VLOOKUP('Rough data'!B105,Table3[[#Headers],[#Data]],2,FALSE)</f>
        <v>Wireless Keyboard (Yellow)</v>
      </c>
      <c r="E105" t="str">
        <f>VLOOKUP(B105,Table3[[#Headers],[#Data]],5,FALSE)</f>
        <v>SELL0024</v>
      </c>
      <c r="F105" t="str">
        <f>VLOOKUP(E105,Table2[[#Headers],[#Data],[seller_id]:[seller_user]],2,FALSE)</f>
        <v>ELEC25B</v>
      </c>
      <c r="G105">
        <v>1</v>
      </c>
      <c r="H105">
        <f t="shared" si="1"/>
        <v>62.94</v>
      </c>
    </row>
    <row r="106" spans="1:8" x14ac:dyDescent="0.3">
      <c r="A106" t="str">
        <f>VLOOKUP(B106,Table3[[#Headers],[#Data]],3,FALSE)</f>
        <v>Clothes</v>
      </c>
      <c r="B106" t="s">
        <v>123</v>
      </c>
      <c r="C106">
        <f>VLOOKUP(B106,Table3[[#Headers],[#Data]],4, FALSE)</f>
        <v>54.17</v>
      </c>
      <c r="D106" t="str">
        <f>VLOOKUP('Rough data'!B106,Table3[[#Headers],[#Data]],2,FALSE)</f>
        <v>Unisex Hoodie - Black XXXL</v>
      </c>
      <c r="E106" t="str">
        <f>VLOOKUP(B106,Table3[[#Headers],[#Data]],5,FALSE)</f>
        <v>SELL0025</v>
      </c>
      <c r="F106" t="str">
        <f>VLOOKUP(E106,Table2[[#Headers],[#Data],[seller_id]:[seller_user]],2,FALSE)</f>
        <v>clothes832</v>
      </c>
      <c r="G106">
        <v>1</v>
      </c>
      <c r="H106">
        <f t="shared" si="1"/>
        <v>54.17</v>
      </c>
    </row>
    <row r="107" spans="1:8" x14ac:dyDescent="0.3">
      <c r="A107" t="str">
        <f>VLOOKUP(B107,Table3[[#Headers],[#Data]],3,FALSE)</f>
        <v>Clothes</v>
      </c>
      <c r="B107" t="s">
        <v>123</v>
      </c>
      <c r="C107">
        <f>VLOOKUP(B107,Table3[[#Headers],[#Data]],4, FALSE)</f>
        <v>54.17</v>
      </c>
      <c r="D107" t="str">
        <f>VLOOKUP('Rough data'!B107,Table3[[#Headers],[#Data]],2,FALSE)</f>
        <v>Unisex Hoodie - Black XXXL</v>
      </c>
      <c r="E107" t="str">
        <f>VLOOKUP(B107,Table3[[#Headers],[#Data]],5,FALSE)</f>
        <v>SELL0025</v>
      </c>
      <c r="F107" t="str">
        <f>VLOOKUP(E107,Table2[[#Headers],[#Data],[seller_id]:[seller_user]],2,FALSE)</f>
        <v>clothes832</v>
      </c>
      <c r="G107">
        <v>1</v>
      </c>
      <c r="H107">
        <f t="shared" si="1"/>
        <v>54.17</v>
      </c>
    </row>
    <row r="108" spans="1:8" x14ac:dyDescent="0.3">
      <c r="A108" t="str">
        <f>VLOOKUP(B108,Table3[[#Headers],[#Data]],3,FALSE)</f>
        <v>Electronics</v>
      </c>
      <c r="B108" t="s">
        <v>126</v>
      </c>
      <c r="C108">
        <f>VLOOKUP(B108,Table3[[#Headers],[#Data]],4, FALSE)</f>
        <v>89.8</v>
      </c>
      <c r="D108" t="str">
        <f>VLOOKUP('Rough data'!B108,Table3[[#Headers],[#Data]],2,FALSE)</f>
        <v>Wireless Keyboard (Navy)</v>
      </c>
      <c r="E108" t="str">
        <f>VLOOKUP(B108,Table3[[#Headers],[#Data]],5,FALSE)</f>
        <v>SELL0026</v>
      </c>
      <c r="F108" t="str">
        <f>VLOOKUP(E108,Table2[[#Headers],[#Data],[seller_id]:[seller_user]],2,FALSE)</f>
        <v>buyeverything-1</v>
      </c>
      <c r="G108">
        <v>1</v>
      </c>
      <c r="H108">
        <f t="shared" si="1"/>
        <v>89.8</v>
      </c>
    </row>
    <row r="109" spans="1:8" x14ac:dyDescent="0.3">
      <c r="A109" t="str">
        <f>VLOOKUP(B109,Table3[[#Headers],[#Data]],3,FALSE)</f>
        <v>Electronics</v>
      </c>
      <c r="B109" t="s">
        <v>126</v>
      </c>
      <c r="C109">
        <f>VLOOKUP(B109,Table3[[#Headers],[#Data]],4, FALSE)</f>
        <v>89.8</v>
      </c>
      <c r="D109" t="str">
        <f>VLOOKUP('Rough data'!B109,Table3[[#Headers],[#Data]],2,FALSE)</f>
        <v>Wireless Keyboard (Navy)</v>
      </c>
      <c r="E109" t="str">
        <f>VLOOKUP(B109,Table3[[#Headers],[#Data]],5,FALSE)</f>
        <v>SELL0026</v>
      </c>
      <c r="F109" t="str">
        <f>VLOOKUP(E109,Table2[[#Headers],[#Data],[seller_id]:[seller_user]],2,FALSE)</f>
        <v>buyeverything-1</v>
      </c>
      <c r="G109">
        <v>1</v>
      </c>
      <c r="H109">
        <f t="shared" si="1"/>
        <v>89.8</v>
      </c>
    </row>
    <row r="110" spans="1:8" x14ac:dyDescent="0.3">
      <c r="A110" t="str">
        <f>VLOOKUP(B110,Table3[[#Headers],[#Data]],3,FALSE)</f>
        <v>Electronics</v>
      </c>
      <c r="B110" t="s">
        <v>126</v>
      </c>
      <c r="C110">
        <f>VLOOKUP(B110,Table3[[#Headers],[#Data]],4, FALSE)</f>
        <v>89.8</v>
      </c>
      <c r="D110" t="str">
        <f>VLOOKUP('Rough data'!B110,Table3[[#Headers],[#Data]],2,FALSE)</f>
        <v>Wireless Keyboard (Navy)</v>
      </c>
      <c r="E110" t="str">
        <f>VLOOKUP(B110,Table3[[#Headers],[#Data]],5,FALSE)</f>
        <v>SELL0026</v>
      </c>
      <c r="F110" t="str">
        <f>VLOOKUP(E110,Table2[[#Headers],[#Data],[seller_id]:[seller_user]],2,FALSE)</f>
        <v>buyeverything-1</v>
      </c>
      <c r="G110">
        <v>1</v>
      </c>
      <c r="H110">
        <f t="shared" si="1"/>
        <v>89.8</v>
      </c>
    </row>
    <row r="111" spans="1:8" x14ac:dyDescent="0.3">
      <c r="A111" t="str">
        <f>VLOOKUP(B111,Table3[[#Headers],[#Data]],3,FALSE)</f>
        <v>Home</v>
      </c>
      <c r="B111" t="s">
        <v>129</v>
      </c>
      <c r="C111">
        <f>VLOOKUP(B111,Table3[[#Headers],[#Data]],4, FALSE)</f>
        <v>34.869999999999997</v>
      </c>
      <c r="D111" t="str">
        <f>VLOOKUP('Rough data'!B111,Table3[[#Headers],[#Data]],2,FALSE)</f>
        <v>Essential Oil Diffuser</v>
      </c>
      <c r="E111" t="str">
        <f>VLOOKUP(B111,Table3[[#Headers],[#Data]],5,FALSE)</f>
        <v>SELL0026</v>
      </c>
      <c r="F111" t="str">
        <f>VLOOKUP(E111,Table2[[#Headers],[#Data],[seller_id]:[seller_user]],2,FALSE)</f>
        <v>buyeverything-1</v>
      </c>
      <c r="G111">
        <v>1</v>
      </c>
      <c r="H111">
        <f t="shared" si="1"/>
        <v>34.869999999999997</v>
      </c>
    </row>
    <row r="112" spans="1:8" x14ac:dyDescent="0.3">
      <c r="A112" t="str">
        <f>VLOOKUP(B112,Table3[[#Headers],[#Data]],3,FALSE)</f>
        <v>Home</v>
      </c>
      <c r="B112" t="s">
        <v>129</v>
      </c>
      <c r="C112">
        <f>VLOOKUP(B112,Table3[[#Headers],[#Data]],4, FALSE)</f>
        <v>34.869999999999997</v>
      </c>
      <c r="D112" t="str">
        <f>VLOOKUP('Rough data'!B112,Table3[[#Headers],[#Data]],2,FALSE)</f>
        <v>Essential Oil Diffuser</v>
      </c>
      <c r="E112" t="str">
        <f>VLOOKUP(B112,Table3[[#Headers],[#Data]],5,FALSE)</f>
        <v>SELL0026</v>
      </c>
      <c r="F112" t="str">
        <f>VLOOKUP(E112,Table2[[#Headers],[#Data],[seller_id]:[seller_user]],2,FALSE)</f>
        <v>buyeverything-1</v>
      </c>
      <c r="G112">
        <v>2</v>
      </c>
      <c r="H112">
        <f t="shared" si="1"/>
        <v>69.739999999999995</v>
      </c>
    </row>
    <row r="113" spans="1:8" x14ac:dyDescent="0.3">
      <c r="A113" t="str">
        <f>VLOOKUP(B113,Table3[[#Headers],[#Data]],3,FALSE)</f>
        <v>Home</v>
      </c>
      <c r="B113" t="s">
        <v>134</v>
      </c>
      <c r="C113">
        <f>VLOOKUP(B113,Table3[[#Headers],[#Data]],4, FALSE)</f>
        <v>29.36</v>
      </c>
      <c r="D113" t="str">
        <f>VLOOKUP('Rough data'!B113,Table3[[#Headers],[#Data]],2,FALSE)</f>
        <v>Essential Oil Diffuser</v>
      </c>
      <c r="E113" t="str">
        <f>VLOOKUP(B113,Table3[[#Headers],[#Data]],5,FALSE)</f>
        <v>SELL0028</v>
      </c>
      <c r="F113" t="str">
        <f>VLOOKUP(E113,Table2[[#Headers],[#Data],[seller_id]:[seller_user]],2,FALSE)</f>
        <v>goodsahoy</v>
      </c>
      <c r="G113">
        <v>1</v>
      </c>
      <c r="H113">
        <f t="shared" si="1"/>
        <v>29.36</v>
      </c>
    </row>
    <row r="114" spans="1:8" x14ac:dyDescent="0.3">
      <c r="A114" t="str">
        <f>VLOOKUP(B114,Table3[[#Headers],[#Data]],3,FALSE)</f>
        <v>Home</v>
      </c>
      <c r="B114" t="s">
        <v>134</v>
      </c>
      <c r="C114">
        <f>VLOOKUP(B114,Table3[[#Headers],[#Data]],4, FALSE)</f>
        <v>29.36</v>
      </c>
      <c r="D114" t="str">
        <f>VLOOKUP('Rough data'!B114,Table3[[#Headers],[#Data]],2,FALSE)</f>
        <v>Essential Oil Diffuser</v>
      </c>
      <c r="E114" t="str">
        <f>VLOOKUP(B114,Table3[[#Headers],[#Data]],5,FALSE)</f>
        <v>SELL0028</v>
      </c>
      <c r="F114" t="str">
        <f>VLOOKUP(E114,Table2[[#Headers],[#Data],[seller_id]:[seller_user]],2,FALSE)</f>
        <v>goodsahoy</v>
      </c>
      <c r="G114">
        <v>1</v>
      </c>
      <c r="H114">
        <f t="shared" si="1"/>
        <v>29.36</v>
      </c>
    </row>
    <row r="115" spans="1:8" x14ac:dyDescent="0.3">
      <c r="A115" t="str">
        <f>VLOOKUP(B115,Table3[[#Headers],[#Data]],3,FALSE)</f>
        <v>Home</v>
      </c>
      <c r="B115" t="s">
        <v>134</v>
      </c>
      <c r="C115">
        <f>VLOOKUP(B115,Table3[[#Headers],[#Data]],4, FALSE)</f>
        <v>29.36</v>
      </c>
      <c r="D115" t="str">
        <f>VLOOKUP('Rough data'!B115,Table3[[#Headers],[#Data]],2,FALSE)</f>
        <v>Essential Oil Diffuser</v>
      </c>
      <c r="E115" t="str">
        <f>VLOOKUP(B115,Table3[[#Headers],[#Data]],5,FALSE)</f>
        <v>SELL0028</v>
      </c>
      <c r="F115" t="str">
        <f>VLOOKUP(E115,Table2[[#Headers],[#Data],[seller_id]:[seller_user]],2,FALSE)</f>
        <v>goodsahoy</v>
      </c>
      <c r="G115">
        <v>1</v>
      </c>
      <c r="H115">
        <f t="shared" si="1"/>
        <v>29.36</v>
      </c>
    </row>
    <row r="116" spans="1:8" x14ac:dyDescent="0.3">
      <c r="A116" t="str">
        <f>VLOOKUP(B116,Table3[[#Headers],[#Data]],3,FALSE)</f>
        <v>Home</v>
      </c>
      <c r="B116" t="s">
        <v>136</v>
      </c>
      <c r="C116">
        <f>VLOOKUP(B116,Table3[[#Headers],[#Data]],4, FALSE)</f>
        <v>30.81</v>
      </c>
      <c r="D116" t="str">
        <f>VLOOKUP('Rough data'!B116,Table3[[#Headers],[#Data]],2,FALSE)</f>
        <v>Protein Shaker Bottle 600ml (Red)</v>
      </c>
      <c r="E116" t="str">
        <f>VLOOKUP(B116,Table3[[#Headers],[#Data]],5,FALSE)</f>
        <v>SELL0028</v>
      </c>
      <c r="F116" t="str">
        <f>VLOOKUP(E116,Table2[[#Headers],[#Data],[seller_id]:[seller_user]],2,FALSE)</f>
        <v>goodsahoy</v>
      </c>
      <c r="G116">
        <v>1</v>
      </c>
      <c r="H116">
        <f t="shared" si="1"/>
        <v>30.81</v>
      </c>
    </row>
    <row r="117" spans="1:8" x14ac:dyDescent="0.3">
      <c r="A117" t="str">
        <f>VLOOKUP(B117,Table3[[#Headers],[#Data]],3,FALSE)</f>
        <v>Home</v>
      </c>
      <c r="B117" t="s">
        <v>136</v>
      </c>
      <c r="C117">
        <f>VLOOKUP(B117,Table3[[#Headers],[#Data]],4, FALSE)</f>
        <v>30.81</v>
      </c>
      <c r="D117" t="str">
        <f>VLOOKUP('Rough data'!B117,Table3[[#Headers],[#Data]],2,FALSE)</f>
        <v>Protein Shaker Bottle 600ml (Red)</v>
      </c>
      <c r="E117" t="str">
        <f>VLOOKUP(B117,Table3[[#Headers],[#Data]],5,FALSE)</f>
        <v>SELL0028</v>
      </c>
      <c r="F117" t="str">
        <f>VLOOKUP(E117,Table2[[#Headers],[#Data],[seller_id]:[seller_user]],2,FALSE)</f>
        <v>goodsahoy</v>
      </c>
      <c r="G117">
        <v>1</v>
      </c>
      <c r="H117">
        <f t="shared" si="1"/>
        <v>30.81</v>
      </c>
    </row>
    <row r="118" spans="1:8" x14ac:dyDescent="0.3">
      <c r="A118" t="str">
        <f>VLOOKUP(B118,Table3[[#Headers],[#Data]],3,FALSE)</f>
        <v>Stationery</v>
      </c>
      <c r="B118" t="s">
        <v>138</v>
      </c>
      <c r="C118">
        <f>VLOOKUP(B118,Table3[[#Headers],[#Data]],4, FALSE)</f>
        <v>7.72</v>
      </c>
      <c r="D118" t="str">
        <f>VLOOKUP('Rough data'!B118,Table3[[#Headers],[#Data]],2,FALSE)</f>
        <v>Glitter Gel Pens 4 pack</v>
      </c>
      <c r="E118" t="str">
        <f>VLOOKUP(B118,Table3[[#Headers],[#Data]],5,FALSE)</f>
        <v>SELL0028</v>
      </c>
      <c r="F118" t="str">
        <f>VLOOKUP(E118,Table2[[#Headers],[#Data],[seller_id]:[seller_user]],2,FALSE)</f>
        <v>goodsahoy</v>
      </c>
      <c r="G118">
        <v>1</v>
      </c>
      <c r="H118">
        <f t="shared" si="1"/>
        <v>7.72</v>
      </c>
    </row>
    <row r="119" spans="1:8" x14ac:dyDescent="0.3">
      <c r="A119" t="str">
        <f>VLOOKUP(B119,Table3[[#Headers],[#Data]],3,FALSE)</f>
        <v>Stationery</v>
      </c>
      <c r="B119" t="s">
        <v>138</v>
      </c>
      <c r="C119">
        <f>VLOOKUP(B119,Table3[[#Headers],[#Data]],4, FALSE)</f>
        <v>7.72</v>
      </c>
      <c r="D119" t="str">
        <f>VLOOKUP('Rough data'!B119,Table3[[#Headers],[#Data]],2,FALSE)</f>
        <v>Glitter Gel Pens 4 pack</v>
      </c>
      <c r="E119" t="str">
        <f>VLOOKUP(B119,Table3[[#Headers],[#Data]],5,FALSE)</f>
        <v>SELL0028</v>
      </c>
      <c r="F119" t="str">
        <f>VLOOKUP(E119,Table2[[#Headers],[#Data],[seller_id]:[seller_user]],2,FALSE)</f>
        <v>goodsahoy</v>
      </c>
      <c r="G119">
        <v>3</v>
      </c>
      <c r="H119">
        <f t="shared" si="1"/>
        <v>23.16</v>
      </c>
    </row>
    <row r="120" spans="1:8" x14ac:dyDescent="0.3">
      <c r="A120" t="str">
        <f>VLOOKUP(B120,Table3[[#Headers],[#Data]],3,FALSE)</f>
        <v>Electronics</v>
      </c>
      <c r="B120" t="s">
        <v>140</v>
      </c>
      <c r="C120">
        <f>VLOOKUP(B120,Table3[[#Headers],[#Data]],4, FALSE)</f>
        <v>27.42</v>
      </c>
      <c r="D120" t="str">
        <f>VLOOKUP('Rough data'!B120,Table3[[#Headers],[#Data]],2,FALSE)</f>
        <v>Bluetooth Speaker Portable 200W</v>
      </c>
      <c r="E120" t="str">
        <f>VLOOKUP(B120,Table3[[#Headers],[#Data]],5,FALSE)</f>
        <v>SELL0029</v>
      </c>
      <c r="F120" t="str">
        <f>VLOOKUP(E120,Table2[[#Headers],[#Data],[seller_id]:[seller_user]],2,FALSE)</f>
        <v>general-goods</v>
      </c>
      <c r="G120">
        <v>1</v>
      </c>
      <c r="H120">
        <f t="shared" si="1"/>
        <v>27.42</v>
      </c>
    </row>
    <row r="121" spans="1:8" x14ac:dyDescent="0.3">
      <c r="A121" t="str">
        <f>VLOOKUP(B121,Table3[[#Headers],[#Data]],3,FALSE)</f>
        <v>Toys</v>
      </c>
      <c r="B121" t="s">
        <v>145</v>
      </c>
      <c r="C121">
        <f>VLOOKUP(B121,Table3[[#Headers],[#Data]],4, FALSE)</f>
        <v>30.74</v>
      </c>
      <c r="D121" t="str">
        <f>VLOOKUP('Rough data'!B121,Table3[[#Headers],[#Data]],2,FALSE)</f>
        <v>Plush Giraffe Toy</v>
      </c>
      <c r="E121" t="str">
        <f>VLOOKUP(B121,Table3[[#Headers],[#Data]],5,FALSE)</f>
        <v>SELL0030</v>
      </c>
      <c r="F121" t="str">
        <f>VLOOKUP(E121,Table2[[#Headers],[#Data],[seller_id]:[seller_user]],2,FALSE)</f>
        <v>liz1974</v>
      </c>
      <c r="G121">
        <v>1</v>
      </c>
      <c r="H121">
        <f t="shared" si="1"/>
        <v>30.74</v>
      </c>
    </row>
    <row r="122" spans="1:8" x14ac:dyDescent="0.3">
      <c r="A122" t="str">
        <f>VLOOKUP(B122,Table3[[#Headers],[#Data]],3,FALSE)</f>
        <v>Health</v>
      </c>
      <c r="B122" t="s">
        <v>148</v>
      </c>
      <c r="C122">
        <f>VLOOKUP(B122,Table3[[#Headers],[#Data]],4, FALSE)</f>
        <v>58.23</v>
      </c>
      <c r="D122" t="str">
        <f>VLOOKUP('Rough data'!B122,Table3[[#Headers],[#Data]],2,FALSE)</f>
        <v>Yoga Mat 10mm</v>
      </c>
      <c r="E122" t="str">
        <f>VLOOKUP(B122,Table3[[#Headers],[#Data]],5,FALSE)</f>
        <v>SELL0031</v>
      </c>
      <c r="F122" t="str">
        <f>VLOOKUP(E122,Table2[[#Headers],[#Data],[seller_id]:[seller_user]],2,FALSE)</f>
        <v>keepwells</v>
      </c>
      <c r="G122">
        <v>1</v>
      </c>
      <c r="H122">
        <f t="shared" si="1"/>
        <v>58.23</v>
      </c>
    </row>
    <row r="123" spans="1:8" x14ac:dyDescent="0.3">
      <c r="A123" t="str">
        <f>VLOOKUP(B123,Table3[[#Headers],[#Data]],3,FALSE)</f>
        <v>Health</v>
      </c>
      <c r="B123" t="s">
        <v>148</v>
      </c>
      <c r="C123">
        <f>VLOOKUP(B123,Table3[[#Headers],[#Data]],4, FALSE)</f>
        <v>58.23</v>
      </c>
      <c r="D123" t="str">
        <f>VLOOKUP('Rough data'!B123,Table3[[#Headers],[#Data]],2,FALSE)</f>
        <v>Yoga Mat 10mm</v>
      </c>
      <c r="E123" t="str">
        <f>VLOOKUP(B123,Table3[[#Headers],[#Data]],5,FALSE)</f>
        <v>SELL0031</v>
      </c>
      <c r="F123" t="str">
        <f>VLOOKUP(E123,Table2[[#Headers],[#Data],[seller_id]:[seller_user]],2,FALSE)</f>
        <v>keepwells</v>
      </c>
      <c r="G123">
        <v>1</v>
      </c>
      <c r="H123">
        <f t="shared" si="1"/>
        <v>58.23</v>
      </c>
    </row>
    <row r="124" spans="1:8" x14ac:dyDescent="0.3">
      <c r="A124" t="str">
        <f>VLOOKUP(B124,Table3[[#Headers],[#Data]],3,FALSE)</f>
        <v>Electronics</v>
      </c>
      <c r="B124" t="s">
        <v>151</v>
      </c>
      <c r="C124">
        <f>VLOOKUP(B124,Table3[[#Headers],[#Data]],4, FALSE)</f>
        <v>26.58</v>
      </c>
      <c r="D124" t="str">
        <f>VLOOKUP('Rough data'!B124,Table3[[#Headers],[#Data]],2,FALSE)</f>
        <v>Gaming Mouse</v>
      </c>
      <c r="E124" t="str">
        <f>VLOOKUP(B124,Table3[[#Headers],[#Data]],5,FALSE)</f>
        <v>SELL0032</v>
      </c>
      <c r="F124" t="str">
        <f>VLOOKUP(E124,Table2[[#Headers],[#Data],[seller_id]:[seller_user]],2,FALSE)</f>
        <v>buydongxi25</v>
      </c>
      <c r="G124">
        <v>1</v>
      </c>
      <c r="H124">
        <f t="shared" si="1"/>
        <v>26.58</v>
      </c>
    </row>
    <row r="125" spans="1:8" x14ac:dyDescent="0.3">
      <c r="A125" t="str">
        <f>VLOOKUP(B125,Table3[[#Headers],[#Data]],3,FALSE)</f>
        <v>Electronics</v>
      </c>
      <c r="B125" t="s">
        <v>151</v>
      </c>
      <c r="C125">
        <f>VLOOKUP(B125,Table3[[#Headers],[#Data]],4, FALSE)</f>
        <v>26.58</v>
      </c>
      <c r="D125" t="str">
        <f>VLOOKUP('Rough data'!B125,Table3[[#Headers],[#Data]],2,FALSE)</f>
        <v>Gaming Mouse</v>
      </c>
      <c r="E125" t="str">
        <f>VLOOKUP(B125,Table3[[#Headers],[#Data]],5,FALSE)</f>
        <v>SELL0032</v>
      </c>
      <c r="F125" t="str">
        <f>VLOOKUP(E125,Table2[[#Headers],[#Data],[seller_id]:[seller_user]],2,FALSE)</f>
        <v>buydongxi25</v>
      </c>
      <c r="G125">
        <v>1</v>
      </c>
      <c r="H125">
        <f t="shared" si="1"/>
        <v>26.58</v>
      </c>
    </row>
    <row r="126" spans="1:8" x14ac:dyDescent="0.3">
      <c r="A126" t="str">
        <f>VLOOKUP(B126,Table3[[#Headers],[#Data]],3,FALSE)</f>
        <v>Toys</v>
      </c>
      <c r="B126" t="s">
        <v>154</v>
      </c>
      <c r="C126">
        <f>VLOOKUP(B126,Table3[[#Headers],[#Data]],4, FALSE)</f>
        <v>36.26</v>
      </c>
      <c r="D126" t="str">
        <f>VLOOKUP('Rough data'!B126,Table3[[#Headers],[#Data]],2,FALSE)</f>
        <v>Educational Puzzle - Jungle Animals</v>
      </c>
      <c r="E126" t="str">
        <f>VLOOKUP(B126,Table3[[#Headers],[#Data]],5,FALSE)</f>
        <v>SELL0032</v>
      </c>
      <c r="F126" t="str">
        <f>VLOOKUP(E126,Table2[[#Headers],[#Data],[seller_id]:[seller_user]],2,FALSE)</f>
        <v>buydongxi25</v>
      </c>
      <c r="G126">
        <v>1</v>
      </c>
      <c r="H126">
        <f t="shared" si="1"/>
        <v>36.26</v>
      </c>
    </row>
    <row r="127" spans="1:8" x14ac:dyDescent="0.3">
      <c r="A127" t="str">
        <f>VLOOKUP(B127,Table3[[#Headers],[#Data]],3,FALSE)</f>
        <v>Beauty</v>
      </c>
      <c r="B127" t="s">
        <v>156</v>
      </c>
      <c r="C127">
        <f>VLOOKUP(B127,Table3[[#Headers],[#Data]],4, FALSE)</f>
        <v>15.04</v>
      </c>
      <c r="D127" t="str">
        <f>VLOOKUP('Rough data'!B127,Table3[[#Headers],[#Data]],2,FALSE)</f>
        <v>Blending Sponge</v>
      </c>
      <c r="E127" t="str">
        <f>VLOOKUP(B127,Table3[[#Headers],[#Data]],5,FALSE)</f>
        <v>SELL0032</v>
      </c>
      <c r="F127" t="str">
        <f>VLOOKUP(E127,Table2[[#Headers],[#Data],[seller_id]:[seller_user]],2,FALSE)</f>
        <v>buydongxi25</v>
      </c>
      <c r="G127">
        <v>1</v>
      </c>
      <c r="H127">
        <f t="shared" si="1"/>
        <v>15.04</v>
      </c>
    </row>
    <row r="128" spans="1:8" x14ac:dyDescent="0.3">
      <c r="A128" t="str">
        <f>VLOOKUP(B128,Table3[[#Headers],[#Data]],3,FALSE)</f>
        <v>Beauty</v>
      </c>
      <c r="B128" t="s">
        <v>156</v>
      </c>
      <c r="C128">
        <f>VLOOKUP(B128,Table3[[#Headers],[#Data]],4, FALSE)</f>
        <v>15.04</v>
      </c>
      <c r="D128" t="str">
        <f>VLOOKUP('Rough data'!B128,Table3[[#Headers],[#Data]],2,FALSE)</f>
        <v>Blending Sponge</v>
      </c>
      <c r="E128" t="str">
        <f>VLOOKUP(B128,Table3[[#Headers],[#Data]],5,FALSE)</f>
        <v>SELL0032</v>
      </c>
      <c r="F128" t="str">
        <f>VLOOKUP(E128,Table2[[#Headers],[#Data],[seller_id]:[seller_user]],2,FALSE)</f>
        <v>buydongxi25</v>
      </c>
      <c r="G128">
        <v>1</v>
      </c>
      <c r="H128">
        <f t="shared" si="1"/>
        <v>15.04</v>
      </c>
    </row>
    <row r="129" spans="1:8" x14ac:dyDescent="0.3">
      <c r="A129" t="str">
        <f>VLOOKUP(B129,Table3[[#Headers],[#Data]],3,FALSE)</f>
        <v>Beauty</v>
      </c>
      <c r="B129" t="s">
        <v>158</v>
      </c>
      <c r="C129">
        <f>VLOOKUP(B129,Table3[[#Headers],[#Data]],4, FALSE)</f>
        <v>13.58</v>
      </c>
      <c r="D129" t="str">
        <f>VLOOKUP('Rough data'!B129,Table3[[#Headers],[#Data]],2,FALSE)</f>
        <v>Nail Polish - Coral</v>
      </c>
      <c r="E129" t="str">
        <f>VLOOKUP(B129,Table3[[#Headers],[#Data]],5,FALSE)</f>
        <v>SELL0033</v>
      </c>
      <c r="F129" t="str">
        <f>VLOOKUP(E129,Table2[[#Headers],[#Data],[seller_id]:[seller_user]],2,FALSE)</f>
        <v>1bt8plshsf</v>
      </c>
      <c r="G129">
        <v>1</v>
      </c>
      <c r="H129">
        <f t="shared" si="1"/>
        <v>13.58</v>
      </c>
    </row>
    <row r="130" spans="1:8" x14ac:dyDescent="0.3">
      <c r="A130" t="str">
        <f>VLOOKUP(B130,Table3[[#Headers],[#Data]],3,FALSE)</f>
        <v>Home</v>
      </c>
      <c r="B130" t="s">
        <v>161</v>
      </c>
      <c r="C130">
        <f>VLOOKUP(B130,Table3[[#Headers],[#Data]],4, FALSE)</f>
        <v>53.38</v>
      </c>
      <c r="D130" t="str">
        <f>VLOOKUP('Rough data'!B130,Table3[[#Headers],[#Data]],2,FALSE)</f>
        <v>Cushion Fringe Red 60 x 40</v>
      </c>
      <c r="E130" t="str">
        <f>VLOOKUP(B130,Table3[[#Headers],[#Data]],5,FALSE)</f>
        <v>SELL0033</v>
      </c>
      <c r="F130" t="str">
        <f>VLOOKUP(E130,Table2[[#Headers],[#Data],[seller_id]:[seller_user]],2,FALSE)</f>
        <v>1bt8plshsf</v>
      </c>
      <c r="G130">
        <v>2</v>
      </c>
      <c r="H130">
        <f t="shared" ref="H130:H193" si="2">G130*C130</f>
        <v>106.76</v>
      </c>
    </row>
    <row r="131" spans="1:8" x14ac:dyDescent="0.3">
      <c r="A131" t="str">
        <f>VLOOKUP(B131,Table3[[#Headers],[#Data]],3,FALSE)</f>
        <v>Electronics</v>
      </c>
      <c r="B131" t="s">
        <v>164</v>
      </c>
      <c r="C131">
        <f>VLOOKUP(B131,Table3[[#Headers],[#Data]],4, FALSE)</f>
        <v>109.54</v>
      </c>
      <c r="D131" t="str">
        <f>VLOOKUP('Rough data'!B131,Table3[[#Headers],[#Data]],2,FALSE)</f>
        <v>Wireless Keyboard Premium</v>
      </c>
      <c r="E131" t="str">
        <f>VLOOKUP(B131,Table3[[#Headers],[#Data]],5,FALSE)</f>
        <v>SELL0033</v>
      </c>
      <c r="F131" t="str">
        <f>VLOOKUP(E131,Table2[[#Headers],[#Data],[seller_id]:[seller_user]],2,FALSE)</f>
        <v>1bt8plshsf</v>
      </c>
      <c r="G131">
        <v>1</v>
      </c>
      <c r="H131">
        <f t="shared" si="2"/>
        <v>109.54</v>
      </c>
    </row>
    <row r="132" spans="1:8" x14ac:dyDescent="0.3">
      <c r="A132" t="str">
        <f>VLOOKUP(B132,Table3[[#Headers],[#Data]],3,FALSE)</f>
        <v>Electronics</v>
      </c>
      <c r="B132" t="s">
        <v>164</v>
      </c>
      <c r="C132">
        <f>VLOOKUP(B132,Table3[[#Headers],[#Data]],4, FALSE)</f>
        <v>109.54</v>
      </c>
      <c r="D132" t="str">
        <f>VLOOKUP('Rough data'!B132,Table3[[#Headers],[#Data]],2,FALSE)</f>
        <v>Wireless Keyboard Premium</v>
      </c>
      <c r="E132" t="str">
        <f>VLOOKUP(B132,Table3[[#Headers],[#Data]],5,FALSE)</f>
        <v>SELL0033</v>
      </c>
      <c r="F132" t="str">
        <f>VLOOKUP(E132,Table2[[#Headers],[#Data],[seller_id]:[seller_user]],2,FALSE)</f>
        <v>1bt8plshsf</v>
      </c>
      <c r="G132">
        <v>1</v>
      </c>
      <c r="H132">
        <f t="shared" si="2"/>
        <v>109.54</v>
      </c>
    </row>
    <row r="133" spans="1:8" x14ac:dyDescent="0.3">
      <c r="A133" t="str">
        <f>VLOOKUP(B133,Table3[[#Headers],[#Data]],3,FALSE)</f>
        <v>Health</v>
      </c>
      <c r="B133" t="s">
        <v>166</v>
      </c>
      <c r="C133">
        <f>VLOOKUP(B133,Table3[[#Headers],[#Data]],4, FALSE)</f>
        <v>55.35</v>
      </c>
      <c r="D133" t="str">
        <f>VLOOKUP('Rough data'!B133,Table3[[#Headers],[#Data]],2,FALSE)</f>
        <v>Blood Pressure Monitor (White)</v>
      </c>
      <c r="E133" t="str">
        <f>VLOOKUP(B133,Table3[[#Headers],[#Data]],5,FALSE)</f>
        <v>SELL0034</v>
      </c>
      <c r="F133" t="str">
        <f>VLOOKUP(E133,Table2[[#Headers],[#Data],[seller_id]:[seller_user]],2,FALSE)</f>
        <v>outer40</v>
      </c>
      <c r="G133">
        <v>1</v>
      </c>
      <c r="H133">
        <f t="shared" si="2"/>
        <v>55.35</v>
      </c>
    </row>
    <row r="134" spans="1:8" x14ac:dyDescent="0.3">
      <c r="A134" t="str">
        <f>VLOOKUP(B134,Table3[[#Headers],[#Data]],3,FALSE)</f>
        <v>Health</v>
      </c>
      <c r="B134" t="s">
        <v>166</v>
      </c>
      <c r="C134">
        <f>VLOOKUP(B134,Table3[[#Headers],[#Data]],4, FALSE)</f>
        <v>55.35</v>
      </c>
      <c r="D134" t="str">
        <f>VLOOKUP('Rough data'!B134,Table3[[#Headers],[#Data]],2,FALSE)</f>
        <v>Blood Pressure Monitor (White)</v>
      </c>
      <c r="E134" t="str">
        <f>VLOOKUP(B134,Table3[[#Headers],[#Data]],5,FALSE)</f>
        <v>SELL0034</v>
      </c>
      <c r="F134" t="str">
        <f>VLOOKUP(E134,Table2[[#Headers],[#Data],[seller_id]:[seller_user]],2,FALSE)</f>
        <v>outer40</v>
      </c>
      <c r="G134">
        <v>2</v>
      </c>
      <c r="H134">
        <f t="shared" si="2"/>
        <v>110.7</v>
      </c>
    </row>
    <row r="135" spans="1:8" x14ac:dyDescent="0.3">
      <c r="A135" t="str">
        <f>VLOOKUP(B135,Table3[[#Headers],[#Data]],3,FALSE)</f>
        <v>Outdoor</v>
      </c>
      <c r="B135" t="s">
        <v>171</v>
      </c>
      <c r="C135">
        <f>VLOOKUP(B135,Table3[[#Headers],[#Data]],4, FALSE)</f>
        <v>21.37</v>
      </c>
      <c r="D135" t="str">
        <f>VLOOKUP('Rough data'!B135,Table3[[#Headers],[#Data]],2,FALSE)</f>
        <v>BBQ Meat Thermometer Battery Powered</v>
      </c>
      <c r="E135" t="str">
        <f>VLOOKUP(B135,Table3[[#Headers],[#Data]],5,FALSE)</f>
        <v>SELL0034</v>
      </c>
      <c r="F135" t="str">
        <f>VLOOKUP(E135,Table2[[#Headers],[#Data],[seller_id]:[seller_user]],2,FALSE)</f>
        <v>outer40</v>
      </c>
      <c r="G135">
        <v>1</v>
      </c>
      <c r="H135">
        <f t="shared" si="2"/>
        <v>21.37</v>
      </c>
    </row>
    <row r="136" spans="1:8" x14ac:dyDescent="0.3">
      <c r="A136" t="str">
        <f>VLOOKUP(B136,Table3[[#Headers],[#Data]],3,FALSE)</f>
        <v>Outdoor</v>
      </c>
      <c r="B136" t="s">
        <v>171</v>
      </c>
      <c r="C136">
        <f>VLOOKUP(B136,Table3[[#Headers],[#Data]],4, FALSE)</f>
        <v>21.37</v>
      </c>
      <c r="D136" t="str">
        <f>VLOOKUP('Rough data'!B136,Table3[[#Headers],[#Data]],2,FALSE)</f>
        <v>BBQ Meat Thermometer Battery Powered</v>
      </c>
      <c r="E136" t="str">
        <f>VLOOKUP(B136,Table3[[#Headers],[#Data]],5,FALSE)</f>
        <v>SELL0034</v>
      </c>
      <c r="F136" t="str">
        <f>VLOOKUP(E136,Table2[[#Headers],[#Data],[seller_id]:[seller_user]],2,FALSE)</f>
        <v>outer40</v>
      </c>
      <c r="G136">
        <v>1</v>
      </c>
      <c r="H136">
        <f t="shared" si="2"/>
        <v>21.37</v>
      </c>
    </row>
    <row r="137" spans="1:8" x14ac:dyDescent="0.3">
      <c r="A137" t="str">
        <f>VLOOKUP(B137,Table3[[#Headers],[#Data]],3,FALSE)</f>
        <v>Outdoor</v>
      </c>
      <c r="B137" t="s">
        <v>171</v>
      </c>
      <c r="C137">
        <f>VLOOKUP(B137,Table3[[#Headers],[#Data]],4, FALSE)</f>
        <v>21.37</v>
      </c>
      <c r="D137" t="str">
        <f>VLOOKUP('Rough data'!B137,Table3[[#Headers],[#Data]],2,FALSE)</f>
        <v>BBQ Meat Thermometer Battery Powered</v>
      </c>
      <c r="E137" t="str">
        <f>VLOOKUP(B137,Table3[[#Headers],[#Data]],5,FALSE)</f>
        <v>SELL0034</v>
      </c>
      <c r="F137" t="str">
        <f>VLOOKUP(E137,Table2[[#Headers],[#Data],[seller_id]:[seller_user]],2,FALSE)</f>
        <v>outer40</v>
      </c>
      <c r="G137">
        <v>1</v>
      </c>
      <c r="H137">
        <f t="shared" si="2"/>
        <v>21.37</v>
      </c>
    </row>
    <row r="138" spans="1:8" x14ac:dyDescent="0.3">
      <c r="A138" t="str">
        <f>VLOOKUP(B138,Table3[[#Headers],[#Data]],3,FALSE)</f>
        <v>Outdoor</v>
      </c>
      <c r="B138" t="s">
        <v>171</v>
      </c>
      <c r="C138">
        <f>VLOOKUP(B138,Table3[[#Headers],[#Data]],4, FALSE)</f>
        <v>21.37</v>
      </c>
      <c r="D138" t="str">
        <f>VLOOKUP('Rough data'!B138,Table3[[#Headers],[#Data]],2,FALSE)</f>
        <v>BBQ Meat Thermometer Battery Powered</v>
      </c>
      <c r="E138" t="str">
        <f>VLOOKUP(B138,Table3[[#Headers],[#Data]],5,FALSE)</f>
        <v>SELL0034</v>
      </c>
      <c r="F138" t="str">
        <f>VLOOKUP(E138,Table2[[#Headers],[#Data],[seller_id]:[seller_user]],2,FALSE)</f>
        <v>outer40</v>
      </c>
      <c r="G138">
        <v>1</v>
      </c>
      <c r="H138">
        <f t="shared" si="2"/>
        <v>21.37</v>
      </c>
    </row>
    <row r="139" spans="1:8" x14ac:dyDescent="0.3">
      <c r="A139" t="str">
        <f>VLOOKUP(B139,Table3[[#Headers],[#Data]],3,FALSE)</f>
        <v>Outdoor</v>
      </c>
      <c r="B139" t="s">
        <v>171</v>
      </c>
      <c r="C139">
        <f>VLOOKUP(B139,Table3[[#Headers],[#Data]],4, FALSE)</f>
        <v>21.37</v>
      </c>
      <c r="D139" t="str">
        <f>VLOOKUP('Rough data'!B139,Table3[[#Headers],[#Data]],2,FALSE)</f>
        <v>BBQ Meat Thermometer Battery Powered</v>
      </c>
      <c r="E139" t="str">
        <f>VLOOKUP(B139,Table3[[#Headers],[#Data]],5,FALSE)</f>
        <v>SELL0034</v>
      </c>
      <c r="F139" t="str">
        <f>VLOOKUP(E139,Table2[[#Headers],[#Data],[seller_id]:[seller_user]],2,FALSE)</f>
        <v>outer40</v>
      </c>
      <c r="G139">
        <v>1</v>
      </c>
      <c r="H139">
        <f t="shared" si="2"/>
        <v>21.37</v>
      </c>
    </row>
    <row r="140" spans="1:8" x14ac:dyDescent="0.3">
      <c r="A140" t="str">
        <f>VLOOKUP(B140,Table3[[#Headers],[#Data]],3,FALSE)</f>
        <v>Outdoor</v>
      </c>
      <c r="B140" t="s">
        <v>171</v>
      </c>
      <c r="C140">
        <f>VLOOKUP(B140,Table3[[#Headers],[#Data]],4, FALSE)</f>
        <v>21.37</v>
      </c>
      <c r="D140" t="str">
        <f>VLOOKUP('Rough data'!B140,Table3[[#Headers],[#Data]],2,FALSE)</f>
        <v>BBQ Meat Thermometer Battery Powered</v>
      </c>
      <c r="E140" t="str">
        <f>VLOOKUP(B140,Table3[[#Headers],[#Data]],5,FALSE)</f>
        <v>SELL0034</v>
      </c>
      <c r="F140" t="str">
        <f>VLOOKUP(E140,Table2[[#Headers],[#Data],[seller_id]:[seller_user]],2,FALSE)</f>
        <v>outer40</v>
      </c>
      <c r="G140">
        <v>1</v>
      </c>
      <c r="H140">
        <f t="shared" si="2"/>
        <v>21.37</v>
      </c>
    </row>
    <row r="141" spans="1:8" x14ac:dyDescent="0.3">
      <c r="A141" t="str">
        <f>VLOOKUP(B141,Table3[[#Headers],[#Data]],3,FALSE)</f>
        <v>Outdoor</v>
      </c>
      <c r="B141" t="s">
        <v>171</v>
      </c>
      <c r="C141">
        <f>VLOOKUP(B141,Table3[[#Headers],[#Data]],4, FALSE)</f>
        <v>21.37</v>
      </c>
      <c r="D141" t="str">
        <f>VLOOKUP('Rough data'!B141,Table3[[#Headers],[#Data]],2,FALSE)</f>
        <v>BBQ Meat Thermometer Battery Powered</v>
      </c>
      <c r="E141" t="str">
        <f>VLOOKUP(B141,Table3[[#Headers],[#Data]],5,FALSE)</f>
        <v>SELL0034</v>
      </c>
      <c r="F141" t="str">
        <f>VLOOKUP(E141,Table2[[#Headers],[#Data],[seller_id]:[seller_user]],2,FALSE)</f>
        <v>outer40</v>
      </c>
      <c r="G141">
        <v>1</v>
      </c>
      <c r="H141">
        <f t="shared" si="2"/>
        <v>21.37</v>
      </c>
    </row>
    <row r="142" spans="1:8" x14ac:dyDescent="0.3">
      <c r="A142" t="str">
        <f>VLOOKUP(B142,Table3[[#Headers],[#Data]],3,FALSE)</f>
        <v>Toys</v>
      </c>
      <c r="B142" t="s">
        <v>173</v>
      </c>
      <c r="C142">
        <f>VLOOKUP(B142,Table3[[#Headers],[#Data]],4, FALSE)</f>
        <v>23.3</v>
      </c>
      <c r="D142" t="str">
        <f>VLOOKUP('Rough data'!B142,Table3[[#Headers],[#Data]],2,FALSE)</f>
        <v>Car Controlled Phone Remote</v>
      </c>
      <c r="E142" t="str">
        <f>VLOOKUP(B142,Table3[[#Headers],[#Data]],5,FALSE)</f>
        <v>SELL0034</v>
      </c>
      <c r="F142" t="str">
        <f>VLOOKUP(E142,Table2[[#Headers],[#Data],[seller_id]:[seller_user]],2,FALSE)</f>
        <v>outer40</v>
      </c>
      <c r="G142">
        <v>1</v>
      </c>
      <c r="H142">
        <f t="shared" si="2"/>
        <v>23.3</v>
      </c>
    </row>
    <row r="143" spans="1:8" x14ac:dyDescent="0.3">
      <c r="A143" t="str">
        <f>VLOOKUP(B143,Table3[[#Headers],[#Data]],3,FALSE)</f>
        <v>Toys</v>
      </c>
      <c r="B143" t="s">
        <v>173</v>
      </c>
      <c r="C143">
        <f>VLOOKUP(B143,Table3[[#Headers],[#Data]],4, FALSE)</f>
        <v>23.3</v>
      </c>
      <c r="D143" t="str">
        <f>VLOOKUP('Rough data'!B143,Table3[[#Headers],[#Data]],2,FALSE)</f>
        <v>Car Controlled Phone Remote</v>
      </c>
      <c r="E143" t="str">
        <f>VLOOKUP(B143,Table3[[#Headers],[#Data]],5,FALSE)</f>
        <v>SELL0034</v>
      </c>
      <c r="F143" t="str">
        <f>VLOOKUP(E143,Table2[[#Headers],[#Data],[seller_id]:[seller_user]],2,FALSE)</f>
        <v>outer40</v>
      </c>
      <c r="G143">
        <v>1</v>
      </c>
      <c r="H143">
        <f t="shared" si="2"/>
        <v>23.3</v>
      </c>
    </row>
    <row r="144" spans="1:8" x14ac:dyDescent="0.3">
      <c r="A144" t="str">
        <f>VLOOKUP(B144,Table3[[#Headers],[#Data]],3,FALSE)</f>
        <v>Toys</v>
      </c>
      <c r="B144" t="s">
        <v>173</v>
      </c>
      <c r="C144">
        <f>VLOOKUP(B144,Table3[[#Headers],[#Data]],4, FALSE)</f>
        <v>23.3</v>
      </c>
      <c r="D144" t="str">
        <f>VLOOKUP('Rough data'!B144,Table3[[#Headers],[#Data]],2,FALSE)</f>
        <v>Car Controlled Phone Remote</v>
      </c>
      <c r="E144" t="str">
        <f>VLOOKUP(B144,Table3[[#Headers],[#Data]],5,FALSE)</f>
        <v>SELL0034</v>
      </c>
      <c r="F144" t="str">
        <f>VLOOKUP(E144,Table2[[#Headers],[#Data],[seller_id]:[seller_user]],2,FALSE)</f>
        <v>outer40</v>
      </c>
      <c r="G144">
        <v>1</v>
      </c>
      <c r="H144">
        <f t="shared" si="2"/>
        <v>23.3</v>
      </c>
    </row>
    <row r="145" spans="1:8" x14ac:dyDescent="0.3">
      <c r="A145" t="str">
        <f>VLOOKUP(B145,Table3[[#Headers],[#Data]],3,FALSE)</f>
        <v>Gift_Sets</v>
      </c>
      <c r="B145" t="s">
        <v>175</v>
      </c>
      <c r="C145">
        <f>VLOOKUP(B145,Table3[[#Headers],[#Data]],4, FALSE)</f>
        <v>16.940000000000001</v>
      </c>
      <c r="D145" t="str">
        <f>VLOOKUP('Rough data'!B145,Table3[[#Headers],[#Data]],2,FALSE)</f>
        <v>Mini Plant Starter Kit</v>
      </c>
      <c r="E145" t="str">
        <f>VLOOKUP(B145,Table3[[#Headers],[#Data]],5,FALSE)</f>
        <v>SELL0034</v>
      </c>
      <c r="F145" t="str">
        <f>VLOOKUP(E145,Table2[[#Headers],[#Data],[seller_id]:[seller_user]],2,FALSE)</f>
        <v>outer40</v>
      </c>
      <c r="G145">
        <v>1</v>
      </c>
      <c r="H145">
        <f t="shared" si="2"/>
        <v>16.940000000000001</v>
      </c>
    </row>
    <row r="146" spans="1:8" x14ac:dyDescent="0.3">
      <c r="A146" t="str">
        <f>VLOOKUP(B146,Table3[[#Headers],[#Data]],3,FALSE)</f>
        <v>Home</v>
      </c>
      <c r="B146" t="s">
        <v>178</v>
      </c>
      <c r="C146">
        <f>VLOOKUP(B146,Table3[[#Headers],[#Data]],4, FALSE)</f>
        <v>11.91</v>
      </c>
      <c r="D146" t="str">
        <f>VLOOKUP('Rough data'!B146,Table3[[#Headers],[#Data]],2,FALSE)</f>
        <v>Scented Drawer Sachets Lavender</v>
      </c>
      <c r="E146" t="str">
        <f>VLOOKUP(B146,Table3[[#Headers],[#Data]],5,FALSE)</f>
        <v>SELL0035</v>
      </c>
      <c r="F146" t="str">
        <f>VLOOKUP(E146,Table2[[#Headers],[#Data],[seller_id]:[seller_user]],2,FALSE)</f>
        <v>maddie-sells</v>
      </c>
      <c r="G146">
        <v>1</v>
      </c>
      <c r="H146">
        <f t="shared" si="2"/>
        <v>11.91</v>
      </c>
    </row>
    <row r="147" spans="1:8" x14ac:dyDescent="0.3">
      <c r="A147" t="str">
        <f>VLOOKUP(B147,Table3[[#Headers],[#Data]],3,FALSE)</f>
        <v>Outdoor</v>
      </c>
      <c r="B147" t="s">
        <v>181</v>
      </c>
      <c r="C147">
        <f>VLOOKUP(B147,Table3[[#Headers],[#Data]],4, FALSE)</f>
        <v>117.79</v>
      </c>
      <c r="D147" t="str">
        <f>VLOOKUP('Rough data'!B147,Table3[[#Headers],[#Data]],2,FALSE)</f>
        <v>Portable Mini Grill</v>
      </c>
      <c r="E147" t="str">
        <f>VLOOKUP(B147,Table3[[#Headers],[#Data]],5,FALSE)</f>
        <v>SELL0035</v>
      </c>
      <c r="F147" t="str">
        <f>VLOOKUP(E147,Table2[[#Headers],[#Data],[seller_id]:[seller_user]],2,FALSE)</f>
        <v>maddie-sells</v>
      </c>
      <c r="G147">
        <v>2</v>
      </c>
      <c r="H147">
        <f t="shared" si="2"/>
        <v>235.58</v>
      </c>
    </row>
    <row r="148" spans="1:8" x14ac:dyDescent="0.3">
      <c r="A148" t="str">
        <f>VLOOKUP(B148,Table3[[#Headers],[#Data]],3,FALSE)</f>
        <v>Outdoor</v>
      </c>
      <c r="B148" t="s">
        <v>181</v>
      </c>
      <c r="C148">
        <f>VLOOKUP(B148,Table3[[#Headers],[#Data]],4, FALSE)</f>
        <v>117.79</v>
      </c>
      <c r="D148" t="str">
        <f>VLOOKUP('Rough data'!B148,Table3[[#Headers],[#Data]],2,FALSE)</f>
        <v>Portable Mini Grill</v>
      </c>
      <c r="E148" t="str">
        <f>VLOOKUP(B148,Table3[[#Headers],[#Data]],5,FALSE)</f>
        <v>SELL0035</v>
      </c>
      <c r="F148" t="str">
        <f>VLOOKUP(E148,Table2[[#Headers],[#Data],[seller_id]:[seller_user]],2,FALSE)</f>
        <v>maddie-sells</v>
      </c>
      <c r="G148">
        <v>1</v>
      </c>
      <c r="H148">
        <f t="shared" si="2"/>
        <v>117.79</v>
      </c>
    </row>
    <row r="149" spans="1:8" x14ac:dyDescent="0.3">
      <c r="A149" t="str">
        <f>VLOOKUP(B149,Table3[[#Headers],[#Data]],3,FALSE)</f>
        <v>Outdoor</v>
      </c>
      <c r="B149" t="s">
        <v>181</v>
      </c>
      <c r="C149">
        <f>VLOOKUP(B149,Table3[[#Headers],[#Data]],4, FALSE)</f>
        <v>117.79</v>
      </c>
      <c r="D149" t="str">
        <f>VLOOKUP('Rough data'!B149,Table3[[#Headers],[#Data]],2,FALSE)</f>
        <v>Portable Mini Grill</v>
      </c>
      <c r="E149" t="str">
        <f>VLOOKUP(B149,Table3[[#Headers],[#Data]],5,FALSE)</f>
        <v>SELL0035</v>
      </c>
      <c r="F149" t="str">
        <f>VLOOKUP(E149,Table2[[#Headers],[#Data],[seller_id]:[seller_user]],2,FALSE)</f>
        <v>maddie-sells</v>
      </c>
      <c r="G149">
        <v>1</v>
      </c>
      <c r="H149">
        <f t="shared" si="2"/>
        <v>117.79</v>
      </c>
    </row>
    <row r="150" spans="1:8" x14ac:dyDescent="0.3">
      <c r="A150" t="str">
        <f>VLOOKUP(B150,Table3[[#Headers],[#Data]],3,FALSE)</f>
        <v>Outdoor</v>
      </c>
      <c r="B150" t="s">
        <v>181</v>
      </c>
      <c r="C150">
        <f>VLOOKUP(B150,Table3[[#Headers],[#Data]],4, FALSE)</f>
        <v>117.79</v>
      </c>
      <c r="D150" t="str">
        <f>VLOOKUP('Rough data'!B150,Table3[[#Headers],[#Data]],2,FALSE)</f>
        <v>Portable Mini Grill</v>
      </c>
      <c r="E150" t="str">
        <f>VLOOKUP(B150,Table3[[#Headers],[#Data]],5,FALSE)</f>
        <v>SELL0035</v>
      </c>
      <c r="F150" t="str">
        <f>VLOOKUP(E150,Table2[[#Headers],[#Data],[seller_id]:[seller_user]],2,FALSE)</f>
        <v>maddie-sells</v>
      </c>
      <c r="G150">
        <v>1</v>
      </c>
      <c r="H150">
        <f t="shared" si="2"/>
        <v>117.79</v>
      </c>
    </row>
    <row r="151" spans="1:8" x14ac:dyDescent="0.3">
      <c r="A151" t="str">
        <f>VLOOKUP(B151,Table3[[#Headers],[#Data]],3,FALSE)</f>
        <v>Gift_Sets</v>
      </c>
      <c r="B151" t="s">
        <v>183</v>
      </c>
      <c r="C151">
        <f>VLOOKUP(B151,Table3[[#Headers],[#Data]],4, FALSE)</f>
        <v>39.85</v>
      </c>
      <c r="D151" t="str">
        <f>VLOOKUP('Rough data'!B151,Table3[[#Headers],[#Data]],2,FALSE)</f>
        <v>Bath Bomb Variety Pack (Ylang ylang jasmine)</v>
      </c>
      <c r="E151" t="str">
        <f>VLOOKUP(B151,Table3[[#Headers],[#Data]],5,FALSE)</f>
        <v>SELL0035</v>
      </c>
      <c r="F151" t="str">
        <f>VLOOKUP(E151,Table2[[#Headers],[#Data],[seller_id]:[seller_user]],2,FALSE)</f>
        <v>maddie-sells</v>
      </c>
      <c r="G151">
        <v>1</v>
      </c>
      <c r="H151">
        <f t="shared" si="2"/>
        <v>39.85</v>
      </c>
    </row>
    <row r="152" spans="1:8" x14ac:dyDescent="0.3">
      <c r="A152" t="str">
        <f>VLOOKUP(B152,Table3[[#Headers],[#Data]],3,FALSE)</f>
        <v>Outdoor</v>
      </c>
      <c r="B152" t="s">
        <v>185</v>
      </c>
      <c r="C152">
        <f>VLOOKUP(B152,Table3[[#Headers],[#Data]],4, FALSE)</f>
        <v>36.24</v>
      </c>
      <c r="D152" t="str">
        <f>VLOOKUP('Rough data'!B152,Table3[[#Headers],[#Data]],2,FALSE)</f>
        <v>Bubble Maker Machine (Red)</v>
      </c>
      <c r="E152" t="str">
        <f>VLOOKUP(B152,Table3[[#Headers],[#Data]],5,FALSE)</f>
        <v>SELL0035</v>
      </c>
      <c r="F152" t="str">
        <f>VLOOKUP(E152,Table2[[#Headers],[#Data],[seller_id]:[seller_user]],2,FALSE)</f>
        <v>maddie-sells</v>
      </c>
      <c r="G152">
        <v>2</v>
      </c>
      <c r="H152">
        <f t="shared" si="2"/>
        <v>72.48</v>
      </c>
    </row>
    <row r="153" spans="1:8" x14ac:dyDescent="0.3">
      <c r="A153" t="str">
        <f>VLOOKUP(B153,Table3[[#Headers],[#Data]],3,FALSE)</f>
        <v>Outdoor</v>
      </c>
      <c r="B153" t="s">
        <v>185</v>
      </c>
      <c r="C153">
        <f>VLOOKUP(B153,Table3[[#Headers],[#Data]],4, FALSE)</f>
        <v>36.24</v>
      </c>
      <c r="D153" t="str">
        <f>VLOOKUP('Rough data'!B153,Table3[[#Headers],[#Data]],2,FALSE)</f>
        <v>Bubble Maker Machine (Red)</v>
      </c>
      <c r="E153" t="str">
        <f>VLOOKUP(B153,Table3[[#Headers],[#Data]],5,FALSE)</f>
        <v>SELL0035</v>
      </c>
      <c r="F153" t="str">
        <f>VLOOKUP(E153,Table2[[#Headers],[#Data],[seller_id]:[seller_user]],2,FALSE)</f>
        <v>maddie-sells</v>
      </c>
      <c r="G153">
        <v>1</v>
      </c>
      <c r="H153">
        <f t="shared" si="2"/>
        <v>36.24</v>
      </c>
    </row>
    <row r="154" spans="1:8" x14ac:dyDescent="0.3">
      <c r="A154" t="str">
        <f>VLOOKUP(B154,Table3[[#Headers],[#Data]],3,FALSE)</f>
        <v>Outdoor</v>
      </c>
      <c r="B154" t="s">
        <v>185</v>
      </c>
      <c r="C154">
        <f>VLOOKUP(B154,Table3[[#Headers],[#Data]],4, FALSE)</f>
        <v>36.24</v>
      </c>
      <c r="D154" t="str">
        <f>VLOOKUP('Rough data'!B154,Table3[[#Headers],[#Data]],2,FALSE)</f>
        <v>Bubble Maker Machine (Red)</v>
      </c>
      <c r="E154" t="str">
        <f>VLOOKUP(B154,Table3[[#Headers],[#Data]],5,FALSE)</f>
        <v>SELL0035</v>
      </c>
      <c r="F154" t="str">
        <f>VLOOKUP(E154,Table2[[#Headers],[#Data],[seller_id]:[seller_user]],2,FALSE)</f>
        <v>maddie-sells</v>
      </c>
      <c r="G154">
        <v>2</v>
      </c>
      <c r="H154">
        <f t="shared" si="2"/>
        <v>72.48</v>
      </c>
    </row>
    <row r="155" spans="1:8" x14ac:dyDescent="0.3">
      <c r="A155" t="str">
        <f>VLOOKUP(B155,Table3[[#Headers],[#Data]],3,FALSE)</f>
        <v>Outdoor</v>
      </c>
      <c r="B155" t="s">
        <v>187</v>
      </c>
      <c r="C155">
        <f>VLOOKUP(B155,Table3[[#Headers],[#Data]],4, FALSE)</f>
        <v>31.66</v>
      </c>
      <c r="D155" t="str">
        <f>VLOOKUP('Rough data'!B155,Table3[[#Headers],[#Data]],2,FALSE)</f>
        <v>Wood Chips - Oak</v>
      </c>
      <c r="E155" t="str">
        <f>VLOOKUP(B155,Table3[[#Headers],[#Data]],5,FALSE)</f>
        <v>SELL0035</v>
      </c>
      <c r="F155" t="str">
        <f>VLOOKUP(E155,Table2[[#Headers],[#Data],[seller_id]:[seller_user]],2,FALSE)</f>
        <v>maddie-sells</v>
      </c>
      <c r="G155">
        <v>1</v>
      </c>
      <c r="H155">
        <f t="shared" si="2"/>
        <v>31.66</v>
      </c>
    </row>
    <row r="156" spans="1:8" x14ac:dyDescent="0.3">
      <c r="A156" t="str">
        <f>VLOOKUP(B156,Table3[[#Headers],[#Data]],3,FALSE)</f>
        <v>Outdoor</v>
      </c>
      <c r="B156" t="s">
        <v>187</v>
      </c>
      <c r="C156">
        <f>VLOOKUP(B156,Table3[[#Headers],[#Data]],4, FALSE)</f>
        <v>31.66</v>
      </c>
      <c r="D156" t="str">
        <f>VLOOKUP('Rough data'!B156,Table3[[#Headers],[#Data]],2,FALSE)</f>
        <v>Wood Chips - Oak</v>
      </c>
      <c r="E156" t="str">
        <f>VLOOKUP(B156,Table3[[#Headers],[#Data]],5,FALSE)</f>
        <v>SELL0035</v>
      </c>
      <c r="F156" t="str">
        <f>VLOOKUP(E156,Table2[[#Headers],[#Data],[seller_id]:[seller_user]],2,FALSE)</f>
        <v>maddie-sells</v>
      </c>
      <c r="G156">
        <v>1</v>
      </c>
      <c r="H156">
        <f t="shared" si="2"/>
        <v>31.66</v>
      </c>
    </row>
    <row r="157" spans="1:8" x14ac:dyDescent="0.3">
      <c r="A157" t="str">
        <f>VLOOKUP(B157,Table3[[#Headers],[#Data]],3,FALSE)</f>
        <v>Outdoor</v>
      </c>
      <c r="B157" t="s">
        <v>187</v>
      </c>
      <c r="C157">
        <f>VLOOKUP(B157,Table3[[#Headers],[#Data]],4, FALSE)</f>
        <v>31.66</v>
      </c>
      <c r="D157" t="str">
        <f>VLOOKUP('Rough data'!B157,Table3[[#Headers],[#Data]],2,FALSE)</f>
        <v>Wood Chips - Oak</v>
      </c>
      <c r="E157" t="str">
        <f>VLOOKUP(B157,Table3[[#Headers],[#Data]],5,FALSE)</f>
        <v>SELL0035</v>
      </c>
      <c r="F157" t="str">
        <f>VLOOKUP(E157,Table2[[#Headers],[#Data],[seller_id]:[seller_user]],2,FALSE)</f>
        <v>maddie-sells</v>
      </c>
      <c r="G157">
        <v>1</v>
      </c>
      <c r="H157">
        <f t="shared" si="2"/>
        <v>31.66</v>
      </c>
    </row>
    <row r="158" spans="1:8" x14ac:dyDescent="0.3">
      <c r="A158" t="str">
        <f>VLOOKUP(B158,Table3[[#Headers],[#Data]],3,FALSE)</f>
        <v>Outdoor</v>
      </c>
      <c r="B158" t="s">
        <v>189</v>
      </c>
      <c r="C158">
        <f>VLOOKUP(B158,Table3[[#Headers],[#Data]],4, FALSE)</f>
        <v>49.99</v>
      </c>
      <c r="D158" t="str">
        <f>VLOOKUP('Rough data'!B158,Table3[[#Headers],[#Data]],2,FALSE)</f>
        <v>Wood Chips Smoked Mesquite Premium</v>
      </c>
      <c r="E158" t="str">
        <f>VLOOKUP(B158,Table3[[#Headers],[#Data]],5,FALSE)</f>
        <v>SELL0036</v>
      </c>
      <c r="F158" t="str">
        <f>VLOOKUP(E158,Table2[[#Headers],[#Data],[seller_id]:[seller_user]],2,FALSE)</f>
        <v>goodqualityemporium</v>
      </c>
      <c r="G158">
        <v>1</v>
      </c>
      <c r="H158">
        <f t="shared" si="2"/>
        <v>49.99</v>
      </c>
    </row>
    <row r="159" spans="1:8" x14ac:dyDescent="0.3">
      <c r="A159" t="str">
        <f>VLOOKUP(B159,Table3[[#Headers],[#Data]],3,FALSE)</f>
        <v>Outdoor</v>
      </c>
      <c r="B159" t="s">
        <v>189</v>
      </c>
      <c r="C159">
        <f>VLOOKUP(B159,Table3[[#Headers],[#Data]],4, FALSE)</f>
        <v>49.99</v>
      </c>
      <c r="D159" t="str">
        <f>VLOOKUP('Rough data'!B159,Table3[[#Headers],[#Data]],2,FALSE)</f>
        <v>Wood Chips Smoked Mesquite Premium</v>
      </c>
      <c r="E159" t="str">
        <f>VLOOKUP(B159,Table3[[#Headers],[#Data]],5,FALSE)</f>
        <v>SELL0036</v>
      </c>
      <c r="F159" t="str">
        <f>VLOOKUP(E159,Table2[[#Headers],[#Data],[seller_id]:[seller_user]],2,FALSE)</f>
        <v>goodqualityemporium</v>
      </c>
      <c r="G159">
        <v>1</v>
      </c>
      <c r="H159">
        <f t="shared" si="2"/>
        <v>49.99</v>
      </c>
    </row>
    <row r="160" spans="1:8" x14ac:dyDescent="0.3">
      <c r="A160" t="str">
        <f>VLOOKUP(B160,Table3[[#Headers],[#Data]],3,FALSE)</f>
        <v>Home</v>
      </c>
      <c r="B160" t="s">
        <v>196</v>
      </c>
      <c r="C160">
        <f>VLOOKUP(B160,Table3[[#Headers],[#Data]],4, FALSE)</f>
        <v>26.76</v>
      </c>
      <c r="D160" t="str">
        <f>VLOOKUP('Rough data'!B160,Table3[[#Headers],[#Data]],2,FALSE)</f>
        <v>Scented Drawer Sachets Jasmine</v>
      </c>
      <c r="E160" t="str">
        <f>VLOOKUP(B160,Table3[[#Headers],[#Data]],5,FALSE)</f>
        <v>SELL0036</v>
      </c>
      <c r="F160" t="str">
        <f>VLOOKUP(E160,Table2[[#Headers],[#Data],[seller_id]:[seller_user]],2,FALSE)</f>
        <v>goodqualityemporium</v>
      </c>
      <c r="G160">
        <v>1</v>
      </c>
      <c r="H160">
        <f t="shared" si="2"/>
        <v>26.76</v>
      </c>
    </row>
    <row r="161" spans="1:8" x14ac:dyDescent="0.3">
      <c r="A161" t="str">
        <f>VLOOKUP(B161,Table3[[#Headers],[#Data]],3,FALSE)</f>
        <v>Home</v>
      </c>
      <c r="B161" t="s">
        <v>196</v>
      </c>
      <c r="C161">
        <f>VLOOKUP(B161,Table3[[#Headers],[#Data]],4, FALSE)</f>
        <v>26.76</v>
      </c>
      <c r="D161" t="str">
        <f>VLOOKUP('Rough data'!B161,Table3[[#Headers],[#Data]],2,FALSE)</f>
        <v>Scented Drawer Sachets Jasmine</v>
      </c>
      <c r="E161" t="str">
        <f>VLOOKUP(B161,Table3[[#Headers],[#Data]],5,FALSE)</f>
        <v>SELL0036</v>
      </c>
      <c r="F161" t="str">
        <f>VLOOKUP(E161,Table2[[#Headers],[#Data],[seller_id]:[seller_user]],2,FALSE)</f>
        <v>goodqualityemporium</v>
      </c>
      <c r="G161">
        <v>2</v>
      </c>
      <c r="H161">
        <f t="shared" si="2"/>
        <v>53.52</v>
      </c>
    </row>
    <row r="162" spans="1:8" x14ac:dyDescent="0.3">
      <c r="A162" t="str">
        <f>VLOOKUP(B162,Table3[[#Headers],[#Data]],3,FALSE)</f>
        <v>Gift_Sets</v>
      </c>
      <c r="B162" t="s">
        <v>202</v>
      </c>
      <c r="C162">
        <f>VLOOKUP(B162,Table3[[#Headers],[#Data]],4, FALSE)</f>
        <v>39.36</v>
      </c>
      <c r="D162" t="str">
        <f>VLOOKUP('Rough data'!B162,Table3[[#Headers],[#Data]],2,FALSE)</f>
        <v>Mini Plant Starter Kit (Tulip)</v>
      </c>
      <c r="E162" t="str">
        <f>VLOOKUP(B162,Table3[[#Headers],[#Data]],5,FALSE)</f>
        <v>SELL0037</v>
      </c>
      <c r="F162" t="str">
        <f>VLOOKUP(E162,Table2[[#Headers],[#Data],[seller_id]:[seller_user]],2,FALSE)</f>
        <v>storeshop</v>
      </c>
      <c r="G162">
        <v>1</v>
      </c>
      <c r="H162">
        <f t="shared" si="2"/>
        <v>39.36</v>
      </c>
    </row>
    <row r="163" spans="1:8" x14ac:dyDescent="0.3">
      <c r="A163" t="str">
        <f>VLOOKUP(B163,Table3[[#Headers],[#Data]],3,FALSE)</f>
        <v>Gift_Sets</v>
      </c>
      <c r="B163" t="s">
        <v>202</v>
      </c>
      <c r="C163">
        <f>VLOOKUP(B163,Table3[[#Headers],[#Data]],4, FALSE)</f>
        <v>39.36</v>
      </c>
      <c r="D163" t="str">
        <f>VLOOKUP('Rough data'!B163,Table3[[#Headers],[#Data]],2,FALSE)</f>
        <v>Mini Plant Starter Kit (Tulip)</v>
      </c>
      <c r="E163" t="str">
        <f>VLOOKUP(B163,Table3[[#Headers],[#Data]],5,FALSE)</f>
        <v>SELL0037</v>
      </c>
      <c r="F163" t="str">
        <f>VLOOKUP(E163,Table2[[#Headers],[#Data],[seller_id]:[seller_user]],2,FALSE)</f>
        <v>storeshop</v>
      </c>
      <c r="G163">
        <v>1</v>
      </c>
      <c r="H163">
        <f t="shared" si="2"/>
        <v>39.36</v>
      </c>
    </row>
    <row r="164" spans="1:8" x14ac:dyDescent="0.3">
      <c r="A164" t="str">
        <f>VLOOKUP(B164,Table3[[#Headers],[#Data]],3,FALSE)</f>
        <v>Gift_Sets</v>
      </c>
      <c r="B164" t="s">
        <v>202</v>
      </c>
      <c r="C164">
        <f>VLOOKUP(B164,Table3[[#Headers],[#Data]],4, FALSE)</f>
        <v>39.36</v>
      </c>
      <c r="D164" t="str">
        <f>VLOOKUP('Rough data'!B164,Table3[[#Headers],[#Data]],2,FALSE)</f>
        <v>Mini Plant Starter Kit (Tulip)</v>
      </c>
      <c r="E164" t="str">
        <f>VLOOKUP(B164,Table3[[#Headers],[#Data]],5,FALSE)</f>
        <v>SELL0037</v>
      </c>
      <c r="F164" t="str">
        <f>VLOOKUP(E164,Table2[[#Headers],[#Data],[seller_id]:[seller_user]],2,FALSE)</f>
        <v>storeshop</v>
      </c>
      <c r="G164">
        <v>1</v>
      </c>
      <c r="H164">
        <f t="shared" si="2"/>
        <v>39.36</v>
      </c>
    </row>
    <row r="165" spans="1:8" x14ac:dyDescent="0.3">
      <c r="A165" t="str">
        <f>VLOOKUP(B165,Table3[[#Headers],[#Data]],3,FALSE)</f>
        <v>Jewellery</v>
      </c>
      <c r="B165" t="s">
        <v>204</v>
      </c>
      <c r="C165">
        <f>VLOOKUP(B165,Table3[[#Headers],[#Data]],4, FALSE)</f>
        <v>20.59</v>
      </c>
      <c r="D165" t="str">
        <f>VLOOKUP('Rough data'!B165,Table3[[#Headers],[#Data]],2,FALSE)</f>
        <v>Crystal Drop Earrings Clipon</v>
      </c>
      <c r="E165" t="str">
        <f>VLOOKUP(B165,Table3[[#Headers],[#Data]],5,FALSE)</f>
        <v>SELL0037</v>
      </c>
      <c r="F165" t="str">
        <f>VLOOKUP(E165,Table2[[#Headers],[#Data],[seller_id]:[seller_user]],2,FALSE)</f>
        <v>storeshop</v>
      </c>
      <c r="G165">
        <v>1</v>
      </c>
      <c r="H165">
        <f t="shared" si="2"/>
        <v>20.59</v>
      </c>
    </row>
    <row r="166" spans="1:8" x14ac:dyDescent="0.3">
      <c r="A166" t="str">
        <f>VLOOKUP(B166,Table3[[#Headers],[#Data]],3,FALSE)</f>
        <v>Jewellery</v>
      </c>
      <c r="B166" t="s">
        <v>204</v>
      </c>
      <c r="C166">
        <f>VLOOKUP(B166,Table3[[#Headers],[#Data]],4, FALSE)</f>
        <v>20.59</v>
      </c>
      <c r="D166" t="str">
        <f>VLOOKUP('Rough data'!B166,Table3[[#Headers],[#Data]],2,FALSE)</f>
        <v>Crystal Drop Earrings Clipon</v>
      </c>
      <c r="E166" t="str">
        <f>VLOOKUP(B166,Table3[[#Headers],[#Data]],5,FALSE)</f>
        <v>SELL0037</v>
      </c>
      <c r="F166" t="str">
        <f>VLOOKUP(E166,Table2[[#Headers],[#Data],[seller_id]:[seller_user]],2,FALSE)</f>
        <v>storeshop</v>
      </c>
      <c r="G166">
        <v>2</v>
      </c>
      <c r="H166">
        <f t="shared" si="2"/>
        <v>41.18</v>
      </c>
    </row>
    <row r="167" spans="1:8" x14ac:dyDescent="0.3">
      <c r="A167" t="str">
        <f>VLOOKUP(B167,Table3[[#Headers],[#Data]],3,FALSE)</f>
        <v>Gift_Sets</v>
      </c>
      <c r="B167" t="s">
        <v>206</v>
      </c>
      <c r="C167">
        <f>VLOOKUP(B167,Table3[[#Headers],[#Data]],4, FALSE)</f>
        <v>19.89</v>
      </c>
      <c r="D167" t="str">
        <f>VLOOKUP('Rough data'!B167,Table3[[#Headers],[#Data]],2,FALSE)</f>
        <v>Candle Trio Gift Set Lily</v>
      </c>
      <c r="E167" t="str">
        <f>VLOOKUP(B167,Table3[[#Headers],[#Data]],5,FALSE)</f>
        <v>SELL0037</v>
      </c>
      <c r="F167" t="str">
        <f>VLOOKUP(E167,Table2[[#Headers],[#Data],[seller_id]:[seller_user]],2,FALSE)</f>
        <v>storeshop</v>
      </c>
      <c r="G167">
        <v>1</v>
      </c>
      <c r="H167">
        <f t="shared" si="2"/>
        <v>19.89</v>
      </c>
    </row>
    <row r="168" spans="1:8" x14ac:dyDescent="0.3">
      <c r="A168" t="str">
        <f>VLOOKUP(B168,Table3[[#Headers],[#Data]],3,FALSE)</f>
        <v>Stationery</v>
      </c>
      <c r="B168" t="s">
        <v>208</v>
      </c>
      <c r="C168">
        <f>VLOOKUP(B168,Table3[[#Headers],[#Data]],4, FALSE)</f>
        <v>6.78</v>
      </c>
      <c r="D168" t="str">
        <f>VLOOKUP('Rough data'!B168,Table3[[#Headers],[#Data]],2,FALSE)</f>
        <v>Metal Ruler 30cm</v>
      </c>
      <c r="E168" t="str">
        <f>VLOOKUP(B168,Table3[[#Headers],[#Data]],5,FALSE)</f>
        <v>SELL0037</v>
      </c>
      <c r="F168" t="str">
        <f>VLOOKUP(E168,Table2[[#Headers],[#Data],[seller_id]:[seller_user]],2,FALSE)</f>
        <v>storeshop</v>
      </c>
      <c r="G168">
        <v>1</v>
      </c>
      <c r="H168">
        <f t="shared" si="2"/>
        <v>6.78</v>
      </c>
    </row>
    <row r="169" spans="1:8" x14ac:dyDescent="0.3">
      <c r="A169" t="str">
        <f>VLOOKUP(B169,Table3[[#Headers],[#Data]],3,FALSE)</f>
        <v>Stationery</v>
      </c>
      <c r="B169" t="s">
        <v>208</v>
      </c>
      <c r="C169">
        <f>VLOOKUP(B169,Table3[[#Headers],[#Data]],4, FALSE)</f>
        <v>6.78</v>
      </c>
      <c r="D169" t="str">
        <f>VLOOKUP('Rough data'!B169,Table3[[#Headers],[#Data]],2,FALSE)</f>
        <v>Metal Ruler 30cm</v>
      </c>
      <c r="E169" t="str">
        <f>VLOOKUP(B169,Table3[[#Headers],[#Data]],5,FALSE)</f>
        <v>SELL0037</v>
      </c>
      <c r="F169" t="str">
        <f>VLOOKUP(E169,Table2[[#Headers],[#Data],[seller_id]:[seller_user]],2,FALSE)</f>
        <v>storeshop</v>
      </c>
      <c r="G169">
        <v>1</v>
      </c>
      <c r="H169">
        <f t="shared" si="2"/>
        <v>6.78</v>
      </c>
    </row>
    <row r="170" spans="1:8" x14ac:dyDescent="0.3">
      <c r="A170" t="str">
        <f>VLOOKUP(B170,Table3[[#Headers],[#Data]],3,FALSE)</f>
        <v>Home</v>
      </c>
      <c r="B170" t="s">
        <v>210</v>
      </c>
      <c r="C170">
        <f>VLOOKUP(B170,Table3[[#Headers],[#Data]],4, FALSE)</f>
        <v>46.55</v>
      </c>
      <c r="D170" t="str">
        <f>VLOOKUP('Rough data'!B170,Table3[[#Headers],[#Data]],2,FALSE)</f>
        <v>Stainless Steel Cutting Board</v>
      </c>
      <c r="E170" t="str">
        <f>VLOOKUP(B170,Table3[[#Headers],[#Data]],5,FALSE)</f>
        <v>SELL0037</v>
      </c>
      <c r="F170" t="str">
        <f>VLOOKUP(E170,Table2[[#Headers],[#Data],[seller_id]:[seller_user]],2,FALSE)</f>
        <v>storeshop</v>
      </c>
      <c r="G170">
        <v>1</v>
      </c>
      <c r="H170">
        <f t="shared" si="2"/>
        <v>46.55</v>
      </c>
    </row>
    <row r="171" spans="1:8" x14ac:dyDescent="0.3">
      <c r="A171" t="str">
        <f>VLOOKUP(B171,Table3[[#Headers],[#Data]],3,FALSE)</f>
        <v>Home</v>
      </c>
      <c r="B171" t="s">
        <v>210</v>
      </c>
      <c r="C171">
        <f>VLOOKUP(B171,Table3[[#Headers],[#Data]],4, FALSE)</f>
        <v>46.55</v>
      </c>
      <c r="D171" t="str">
        <f>VLOOKUP('Rough data'!B171,Table3[[#Headers],[#Data]],2,FALSE)</f>
        <v>Stainless Steel Cutting Board</v>
      </c>
      <c r="E171" t="str">
        <f>VLOOKUP(B171,Table3[[#Headers],[#Data]],5,FALSE)</f>
        <v>SELL0037</v>
      </c>
      <c r="F171" t="str">
        <f>VLOOKUP(E171,Table2[[#Headers],[#Data],[seller_id]:[seller_user]],2,FALSE)</f>
        <v>storeshop</v>
      </c>
      <c r="G171">
        <v>2</v>
      </c>
      <c r="H171">
        <f t="shared" si="2"/>
        <v>93.1</v>
      </c>
    </row>
    <row r="172" spans="1:8" x14ac:dyDescent="0.3">
      <c r="A172" t="str">
        <f>VLOOKUP(B172,Table3[[#Headers],[#Data]],3,FALSE)</f>
        <v>Gift_Sets</v>
      </c>
      <c r="B172" t="s">
        <v>212</v>
      </c>
      <c r="C172">
        <f>VLOOKUP(B172,Table3[[#Headers],[#Data]],4, FALSE)</f>
        <v>22.33</v>
      </c>
      <c r="D172" t="str">
        <f>VLOOKUP('Rough data'!B172,Table3[[#Headers],[#Data]],2,FALSE)</f>
        <v>Tea Lovers Hamper Earl Grey</v>
      </c>
      <c r="E172" t="str">
        <f>VLOOKUP(B172,Table3[[#Headers],[#Data]],5,FALSE)</f>
        <v>SELL0037</v>
      </c>
      <c r="F172" t="str">
        <f>VLOOKUP(E172,Table2[[#Headers],[#Data],[seller_id]:[seller_user]],2,FALSE)</f>
        <v>storeshop</v>
      </c>
      <c r="G172">
        <v>2</v>
      </c>
      <c r="H172">
        <f t="shared" si="2"/>
        <v>44.66</v>
      </c>
    </row>
    <row r="173" spans="1:8" x14ac:dyDescent="0.3">
      <c r="A173" t="str">
        <f>VLOOKUP(B173,Table3[[#Headers],[#Data]],3,FALSE)</f>
        <v>Gift_Sets</v>
      </c>
      <c r="B173" t="s">
        <v>212</v>
      </c>
      <c r="C173">
        <f>VLOOKUP(B173,Table3[[#Headers],[#Data]],4, FALSE)</f>
        <v>22.33</v>
      </c>
      <c r="D173" t="str">
        <f>VLOOKUP('Rough data'!B173,Table3[[#Headers],[#Data]],2,FALSE)</f>
        <v>Tea Lovers Hamper Earl Grey</v>
      </c>
      <c r="E173" t="str">
        <f>VLOOKUP(B173,Table3[[#Headers],[#Data]],5,FALSE)</f>
        <v>SELL0037</v>
      </c>
      <c r="F173" t="str">
        <f>VLOOKUP(E173,Table2[[#Headers],[#Data],[seller_id]:[seller_user]],2,FALSE)</f>
        <v>storeshop</v>
      </c>
      <c r="G173">
        <v>1</v>
      </c>
      <c r="H173">
        <f t="shared" si="2"/>
        <v>22.33</v>
      </c>
    </row>
    <row r="174" spans="1:8" x14ac:dyDescent="0.3">
      <c r="A174" t="str">
        <f>VLOOKUP(B174,Table3[[#Headers],[#Data]],3,FALSE)</f>
        <v>Gift_Sets</v>
      </c>
      <c r="B174" t="s">
        <v>214</v>
      </c>
      <c r="C174">
        <f>VLOOKUP(B174,Table3[[#Headers],[#Data]],4, FALSE)</f>
        <v>37.840000000000003</v>
      </c>
      <c r="D174" t="str">
        <f>VLOOKUP('Rough data'!B174,Table3[[#Headers],[#Data]],2,FALSE)</f>
        <v>Bath Bomb Strawberry Vanilla Gift Set</v>
      </c>
      <c r="E174" t="str">
        <f>VLOOKUP(B174,Table3[[#Headers],[#Data]],5,FALSE)</f>
        <v>SELL0038</v>
      </c>
      <c r="F174" t="str">
        <f>VLOOKUP(E174,Table2[[#Headers],[#Data],[seller_id]:[seller_user]],2,FALSE)</f>
        <v>compradadonut</v>
      </c>
      <c r="G174">
        <v>1</v>
      </c>
      <c r="H174">
        <f t="shared" si="2"/>
        <v>37.840000000000003</v>
      </c>
    </row>
    <row r="175" spans="1:8" x14ac:dyDescent="0.3">
      <c r="A175" t="str">
        <f>VLOOKUP(B175,Table3[[#Headers],[#Data]],3,FALSE)</f>
        <v>Gift_Sets</v>
      </c>
      <c r="B175" t="s">
        <v>214</v>
      </c>
      <c r="C175">
        <f>VLOOKUP(B175,Table3[[#Headers],[#Data]],4, FALSE)</f>
        <v>37.840000000000003</v>
      </c>
      <c r="D175" t="str">
        <f>VLOOKUP('Rough data'!B175,Table3[[#Headers],[#Data]],2,FALSE)</f>
        <v>Bath Bomb Strawberry Vanilla Gift Set</v>
      </c>
      <c r="E175" t="str">
        <f>VLOOKUP(B175,Table3[[#Headers],[#Data]],5,FALSE)</f>
        <v>SELL0038</v>
      </c>
      <c r="F175" t="str">
        <f>VLOOKUP(E175,Table2[[#Headers],[#Data],[seller_id]:[seller_user]],2,FALSE)</f>
        <v>compradadonut</v>
      </c>
      <c r="G175">
        <v>1</v>
      </c>
      <c r="H175">
        <f t="shared" si="2"/>
        <v>37.840000000000003</v>
      </c>
    </row>
    <row r="176" spans="1:8" x14ac:dyDescent="0.3">
      <c r="A176" t="str">
        <f>VLOOKUP(B176,Table3[[#Headers],[#Data]],3,FALSE)</f>
        <v>Gift_Sets</v>
      </c>
      <c r="B176" t="s">
        <v>214</v>
      </c>
      <c r="C176">
        <f>VLOOKUP(B176,Table3[[#Headers],[#Data]],4, FALSE)</f>
        <v>37.840000000000003</v>
      </c>
      <c r="D176" t="str">
        <f>VLOOKUP('Rough data'!B176,Table3[[#Headers],[#Data]],2,FALSE)</f>
        <v>Bath Bomb Strawberry Vanilla Gift Set</v>
      </c>
      <c r="E176" t="str">
        <f>VLOOKUP(B176,Table3[[#Headers],[#Data]],5,FALSE)</f>
        <v>SELL0038</v>
      </c>
      <c r="F176" t="str">
        <f>VLOOKUP(E176,Table2[[#Headers],[#Data],[seller_id]:[seller_user]],2,FALSE)</f>
        <v>compradadonut</v>
      </c>
      <c r="G176">
        <v>1</v>
      </c>
      <c r="H176">
        <f t="shared" si="2"/>
        <v>37.840000000000003</v>
      </c>
    </row>
    <row r="177" spans="1:8" x14ac:dyDescent="0.3">
      <c r="A177" t="str">
        <f>VLOOKUP(B177,Table3[[#Headers],[#Data]],3,FALSE)</f>
        <v>Gift_Sets</v>
      </c>
      <c r="B177" t="s">
        <v>214</v>
      </c>
      <c r="C177">
        <f>VLOOKUP(B177,Table3[[#Headers],[#Data]],4, FALSE)</f>
        <v>37.840000000000003</v>
      </c>
      <c r="D177" t="str">
        <f>VLOOKUP('Rough data'!B177,Table3[[#Headers],[#Data]],2,FALSE)</f>
        <v>Bath Bomb Strawberry Vanilla Gift Set</v>
      </c>
      <c r="E177" t="str">
        <f>VLOOKUP(B177,Table3[[#Headers],[#Data]],5,FALSE)</f>
        <v>SELL0038</v>
      </c>
      <c r="F177" t="str">
        <f>VLOOKUP(E177,Table2[[#Headers],[#Data],[seller_id]:[seller_user]],2,FALSE)</f>
        <v>compradadonut</v>
      </c>
      <c r="G177">
        <v>2</v>
      </c>
      <c r="H177">
        <f t="shared" si="2"/>
        <v>75.680000000000007</v>
      </c>
    </row>
    <row r="178" spans="1:8" x14ac:dyDescent="0.3">
      <c r="A178" t="str">
        <f>VLOOKUP(B178,Table3[[#Headers],[#Data]],3,FALSE)</f>
        <v>Home</v>
      </c>
      <c r="B178" t="s">
        <v>217</v>
      </c>
      <c r="C178">
        <f>VLOOKUP(B178,Table3[[#Headers],[#Data]],4, FALSE)</f>
        <v>82.88</v>
      </c>
      <c r="D178" t="str">
        <f>VLOOKUP('Rough data'!B178,Table3[[#Headers],[#Data]],2,FALSE)</f>
        <v>Floor Lamp Standing Tall LED</v>
      </c>
      <c r="E178" t="str">
        <f>VLOOKUP(B178,Table3[[#Headers],[#Data]],5,FALSE)</f>
        <v>SELL0038</v>
      </c>
      <c r="F178" t="str">
        <f>VLOOKUP(E178,Table2[[#Headers],[#Data],[seller_id]:[seller_user]],2,FALSE)</f>
        <v>compradadonut</v>
      </c>
      <c r="G178">
        <v>2</v>
      </c>
      <c r="H178">
        <f t="shared" si="2"/>
        <v>165.76</v>
      </c>
    </row>
    <row r="179" spans="1:8" x14ac:dyDescent="0.3">
      <c r="A179" t="str">
        <f>VLOOKUP(B179,Table3[[#Headers],[#Data]],3,FALSE)</f>
        <v>Home</v>
      </c>
      <c r="B179" t="s">
        <v>217</v>
      </c>
      <c r="C179">
        <f>VLOOKUP(B179,Table3[[#Headers],[#Data]],4, FALSE)</f>
        <v>82.88</v>
      </c>
      <c r="D179" t="str">
        <f>VLOOKUP('Rough data'!B179,Table3[[#Headers],[#Data]],2,FALSE)</f>
        <v>Floor Lamp Standing Tall LED</v>
      </c>
      <c r="E179" t="str">
        <f>VLOOKUP(B179,Table3[[#Headers],[#Data]],5,FALSE)</f>
        <v>SELL0038</v>
      </c>
      <c r="F179" t="str">
        <f>VLOOKUP(E179,Table2[[#Headers],[#Data],[seller_id]:[seller_user]],2,FALSE)</f>
        <v>compradadonut</v>
      </c>
      <c r="G179">
        <v>1</v>
      </c>
      <c r="H179">
        <f t="shared" si="2"/>
        <v>82.88</v>
      </c>
    </row>
    <row r="180" spans="1:8" x14ac:dyDescent="0.3">
      <c r="A180" t="str">
        <f>VLOOKUP(B180,Table3[[#Headers],[#Data]],3,FALSE)</f>
        <v>Clothes</v>
      </c>
      <c r="B180" t="s">
        <v>219</v>
      </c>
      <c r="C180">
        <f>VLOOKUP(B180,Table3[[#Headers],[#Data]],4, FALSE)</f>
        <v>27.88</v>
      </c>
      <c r="D180" t="str">
        <f>VLOOKUP('Rough data'!B180,Table3[[#Headers],[#Data]],2,FALSE)</f>
        <v>Sports Socks - 5 pack</v>
      </c>
      <c r="E180" t="str">
        <f>VLOOKUP(B180,Table3[[#Headers],[#Data]],5,FALSE)</f>
        <v>SELL0039</v>
      </c>
      <c r="F180" t="str">
        <f>VLOOKUP(E180,Table2[[#Headers],[#Data],[seller_id]:[seller_user]],2,FALSE)</f>
        <v>zmkizlf6t6</v>
      </c>
      <c r="G180">
        <v>1</v>
      </c>
      <c r="H180">
        <f t="shared" si="2"/>
        <v>27.88</v>
      </c>
    </row>
    <row r="181" spans="1:8" x14ac:dyDescent="0.3">
      <c r="A181" t="str">
        <f>VLOOKUP(B181,Table3[[#Headers],[#Data]],3,FALSE)</f>
        <v>Clothes</v>
      </c>
      <c r="B181" t="s">
        <v>219</v>
      </c>
      <c r="C181">
        <f>VLOOKUP(B181,Table3[[#Headers],[#Data]],4, FALSE)</f>
        <v>27.88</v>
      </c>
      <c r="D181" t="str">
        <f>VLOOKUP('Rough data'!B181,Table3[[#Headers],[#Data]],2,FALSE)</f>
        <v>Sports Socks - 5 pack</v>
      </c>
      <c r="E181" t="str">
        <f>VLOOKUP(B181,Table3[[#Headers],[#Data]],5,FALSE)</f>
        <v>SELL0039</v>
      </c>
      <c r="F181" t="str">
        <f>VLOOKUP(E181,Table2[[#Headers],[#Data],[seller_id]:[seller_user]],2,FALSE)</f>
        <v>zmkizlf6t6</v>
      </c>
      <c r="G181">
        <v>1</v>
      </c>
      <c r="H181">
        <f t="shared" si="2"/>
        <v>27.88</v>
      </c>
    </row>
    <row r="182" spans="1:8" x14ac:dyDescent="0.3">
      <c r="A182" t="str">
        <f>VLOOKUP(B182,Table3[[#Headers],[#Data]],3,FALSE)</f>
        <v>Outdoor</v>
      </c>
      <c r="B182" t="s">
        <v>222</v>
      </c>
      <c r="C182">
        <f>VLOOKUP(B182,Table3[[#Headers],[#Data]],4, FALSE)</f>
        <v>43.42</v>
      </c>
      <c r="D182" t="str">
        <f>VLOOKUP('Rough data'!B182,Table3[[#Headers],[#Data]],2,FALSE)</f>
        <v>Picnic basket</v>
      </c>
      <c r="E182" t="str">
        <f>VLOOKUP(B182,Table3[[#Headers],[#Data]],5,FALSE)</f>
        <v>SELL0039</v>
      </c>
      <c r="F182" t="str">
        <f>VLOOKUP(E182,Table2[[#Headers],[#Data],[seller_id]:[seller_user]],2,FALSE)</f>
        <v>zmkizlf6t6</v>
      </c>
      <c r="G182">
        <v>1</v>
      </c>
      <c r="H182">
        <f t="shared" si="2"/>
        <v>43.42</v>
      </c>
    </row>
    <row r="183" spans="1:8" x14ac:dyDescent="0.3">
      <c r="A183" t="str">
        <f>VLOOKUP(B183,Table3[[#Headers],[#Data]],3,FALSE)</f>
        <v>Outdoor</v>
      </c>
      <c r="B183" t="s">
        <v>222</v>
      </c>
      <c r="C183">
        <f>VLOOKUP(B183,Table3[[#Headers],[#Data]],4, FALSE)</f>
        <v>43.42</v>
      </c>
      <c r="D183" t="str">
        <f>VLOOKUP('Rough data'!B183,Table3[[#Headers],[#Data]],2,FALSE)</f>
        <v>Picnic basket</v>
      </c>
      <c r="E183" t="str">
        <f>VLOOKUP(B183,Table3[[#Headers],[#Data]],5,FALSE)</f>
        <v>SELL0039</v>
      </c>
      <c r="F183" t="str">
        <f>VLOOKUP(E183,Table2[[#Headers],[#Data],[seller_id]:[seller_user]],2,FALSE)</f>
        <v>zmkizlf6t6</v>
      </c>
      <c r="G183">
        <v>1</v>
      </c>
      <c r="H183">
        <f t="shared" si="2"/>
        <v>43.42</v>
      </c>
    </row>
    <row r="184" spans="1:8" x14ac:dyDescent="0.3">
      <c r="A184" t="str">
        <f>VLOOKUP(B184,Table3[[#Headers],[#Data]],3,FALSE)</f>
        <v>Outdoor</v>
      </c>
      <c r="B184" t="s">
        <v>222</v>
      </c>
      <c r="C184">
        <f>VLOOKUP(B184,Table3[[#Headers],[#Data]],4, FALSE)</f>
        <v>43.42</v>
      </c>
      <c r="D184" t="str">
        <f>VLOOKUP('Rough data'!B184,Table3[[#Headers],[#Data]],2,FALSE)</f>
        <v>Picnic basket</v>
      </c>
      <c r="E184" t="str">
        <f>VLOOKUP(B184,Table3[[#Headers],[#Data]],5,FALSE)</f>
        <v>SELL0039</v>
      </c>
      <c r="F184" t="str">
        <f>VLOOKUP(E184,Table2[[#Headers],[#Data],[seller_id]:[seller_user]],2,FALSE)</f>
        <v>zmkizlf6t6</v>
      </c>
      <c r="G184">
        <v>1</v>
      </c>
      <c r="H184">
        <f t="shared" si="2"/>
        <v>43.42</v>
      </c>
    </row>
    <row r="185" spans="1:8" x14ac:dyDescent="0.3">
      <c r="A185" t="str">
        <f>VLOOKUP(B185,Table3[[#Headers],[#Data]],3,FALSE)</f>
        <v>Home</v>
      </c>
      <c r="B185" t="s">
        <v>224</v>
      </c>
      <c r="C185">
        <f>VLOOKUP(B185,Table3[[#Headers],[#Data]],4, FALSE)</f>
        <v>42.24</v>
      </c>
      <c r="D185" t="str">
        <f>VLOOKUP('Rough data'!B185,Table3[[#Headers],[#Data]],2,FALSE)</f>
        <v>Reed Oil Diffuser Pomegranate Bay Leaf</v>
      </c>
      <c r="E185" t="str">
        <f>VLOOKUP(B185,Table3[[#Headers],[#Data]],5,FALSE)</f>
        <v>SELL0039</v>
      </c>
      <c r="F185" t="str">
        <f>VLOOKUP(E185,Table2[[#Headers],[#Data],[seller_id]:[seller_user]],2,FALSE)</f>
        <v>zmkizlf6t6</v>
      </c>
      <c r="G185">
        <v>2</v>
      </c>
      <c r="H185">
        <f t="shared" si="2"/>
        <v>84.48</v>
      </c>
    </row>
    <row r="186" spans="1:8" x14ac:dyDescent="0.3">
      <c r="A186" t="str">
        <f>VLOOKUP(B186,Table3[[#Headers],[#Data]],3,FALSE)</f>
        <v>Home</v>
      </c>
      <c r="B186" t="s">
        <v>224</v>
      </c>
      <c r="C186">
        <f>VLOOKUP(B186,Table3[[#Headers],[#Data]],4, FALSE)</f>
        <v>42.24</v>
      </c>
      <c r="D186" t="str">
        <f>VLOOKUP('Rough data'!B186,Table3[[#Headers],[#Data]],2,FALSE)</f>
        <v>Reed Oil Diffuser Pomegranate Bay Leaf</v>
      </c>
      <c r="E186" t="str">
        <f>VLOOKUP(B186,Table3[[#Headers],[#Data]],5,FALSE)</f>
        <v>SELL0039</v>
      </c>
      <c r="F186" t="str">
        <f>VLOOKUP(E186,Table2[[#Headers],[#Data],[seller_id]:[seller_user]],2,FALSE)</f>
        <v>zmkizlf6t6</v>
      </c>
      <c r="G186">
        <v>1</v>
      </c>
      <c r="H186">
        <f t="shared" si="2"/>
        <v>42.24</v>
      </c>
    </row>
    <row r="187" spans="1:8" x14ac:dyDescent="0.3">
      <c r="A187" t="str">
        <f>VLOOKUP(B187,Table3[[#Headers],[#Data]],3,FALSE)</f>
        <v>Clothes</v>
      </c>
      <c r="B187" t="s">
        <v>226</v>
      </c>
      <c r="C187">
        <f>VLOOKUP(B187,Table3[[#Headers],[#Data]],4, FALSE)</f>
        <v>27.76</v>
      </c>
      <c r="D187" t="str">
        <f>VLOOKUP('Rough data'!B187,Table3[[#Headers],[#Data]],2,FALSE)</f>
        <v>T‑Shirt XL Polycotton Black</v>
      </c>
      <c r="E187" t="str">
        <f>VLOOKUP(B187,Table3[[#Headers],[#Data]],5,FALSE)</f>
        <v>SELL0039</v>
      </c>
      <c r="F187" t="str">
        <f>VLOOKUP(E187,Table2[[#Headers],[#Data],[seller_id]:[seller_user]],2,FALSE)</f>
        <v>zmkizlf6t6</v>
      </c>
      <c r="G187">
        <v>1</v>
      </c>
      <c r="H187">
        <f t="shared" si="2"/>
        <v>27.76</v>
      </c>
    </row>
    <row r="188" spans="1:8" x14ac:dyDescent="0.3">
      <c r="A188" t="str">
        <f>VLOOKUP(B188,Table3[[#Headers],[#Data]],3,FALSE)</f>
        <v>Clothes</v>
      </c>
      <c r="B188" t="s">
        <v>226</v>
      </c>
      <c r="C188">
        <f>VLOOKUP(B188,Table3[[#Headers],[#Data]],4, FALSE)</f>
        <v>27.76</v>
      </c>
      <c r="D188" t="str">
        <f>VLOOKUP('Rough data'!B188,Table3[[#Headers],[#Data]],2,FALSE)</f>
        <v>T‑Shirt XL Polycotton Black</v>
      </c>
      <c r="E188" t="str">
        <f>VLOOKUP(B188,Table3[[#Headers],[#Data]],5,FALSE)</f>
        <v>SELL0039</v>
      </c>
      <c r="F188" t="str">
        <f>VLOOKUP(E188,Table2[[#Headers],[#Data],[seller_id]:[seller_user]],2,FALSE)</f>
        <v>zmkizlf6t6</v>
      </c>
      <c r="G188">
        <v>1</v>
      </c>
      <c r="H188">
        <f t="shared" si="2"/>
        <v>27.76</v>
      </c>
    </row>
    <row r="189" spans="1:8" x14ac:dyDescent="0.3">
      <c r="A189" t="str">
        <f>VLOOKUP(B189,Table3[[#Headers],[#Data]],3,FALSE)</f>
        <v>Gift_Sets</v>
      </c>
      <c r="B189" t="s">
        <v>228</v>
      </c>
      <c r="C189">
        <f>VLOOKUP(B189,Table3[[#Headers],[#Data]],4, FALSE)</f>
        <v>37.630000000000003</v>
      </c>
      <c r="D189" t="str">
        <f>VLOOKUP('Rough data'!B189,Table3[[#Headers],[#Data]],2,FALSE)</f>
        <v>Luxury Skincare Set Shea Vitamin</v>
      </c>
      <c r="E189" t="str">
        <f>VLOOKUP(B189,Table3[[#Headers],[#Data]],5,FALSE)</f>
        <v>SELL0040</v>
      </c>
      <c r="F189" t="str">
        <f>VLOOKUP(E189,Table2[[#Headers],[#Data],[seller_id]:[seller_user]],2,FALSE)</f>
        <v>cheapandgood27</v>
      </c>
      <c r="G189">
        <v>1</v>
      </c>
      <c r="H189">
        <f t="shared" si="2"/>
        <v>37.630000000000003</v>
      </c>
    </row>
    <row r="190" spans="1:8" x14ac:dyDescent="0.3">
      <c r="A190" t="str">
        <f>VLOOKUP(B190,Table3[[#Headers],[#Data]],3,FALSE)</f>
        <v>Stationery</v>
      </c>
      <c r="B190" t="s">
        <v>231</v>
      </c>
      <c r="C190">
        <f>VLOOKUP(B190,Table3[[#Headers],[#Data]],4, FALSE)</f>
        <v>12.88</v>
      </c>
      <c r="D190" t="str">
        <f>VLOOKUP('Rough data'!B190,Table3[[#Headers],[#Data]],2,FALSE)</f>
        <v>Highlighter Set Pens Yellow</v>
      </c>
      <c r="E190" t="str">
        <f>VLOOKUP(B190,Table3[[#Headers],[#Data]],5,FALSE)</f>
        <v>SELL0040</v>
      </c>
      <c r="F190" t="str">
        <f>VLOOKUP(E190,Table2[[#Headers],[#Data],[seller_id]:[seller_user]],2,FALSE)</f>
        <v>cheapandgood27</v>
      </c>
      <c r="G190">
        <v>1</v>
      </c>
      <c r="H190">
        <f t="shared" si="2"/>
        <v>12.88</v>
      </c>
    </row>
    <row r="191" spans="1:8" x14ac:dyDescent="0.3">
      <c r="A191" t="str">
        <f>VLOOKUP(B191,Table3[[#Headers],[#Data]],3,FALSE)</f>
        <v>Stationery</v>
      </c>
      <c r="B191" t="s">
        <v>231</v>
      </c>
      <c r="C191">
        <f>VLOOKUP(B191,Table3[[#Headers],[#Data]],4, FALSE)</f>
        <v>12.88</v>
      </c>
      <c r="D191" t="str">
        <f>VLOOKUP('Rough data'!B191,Table3[[#Headers],[#Data]],2,FALSE)</f>
        <v>Highlighter Set Pens Yellow</v>
      </c>
      <c r="E191" t="str">
        <f>VLOOKUP(B191,Table3[[#Headers],[#Data]],5,FALSE)</f>
        <v>SELL0040</v>
      </c>
      <c r="F191" t="str">
        <f>VLOOKUP(E191,Table2[[#Headers],[#Data],[seller_id]:[seller_user]],2,FALSE)</f>
        <v>cheapandgood27</v>
      </c>
      <c r="G191">
        <v>1</v>
      </c>
      <c r="H191">
        <f t="shared" si="2"/>
        <v>12.88</v>
      </c>
    </row>
    <row r="192" spans="1:8" x14ac:dyDescent="0.3">
      <c r="A192" t="str">
        <f>VLOOKUP(B192,Table3[[#Headers],[#Data]],3,FALSE)</f>
        <v>Stationery</v>
      </c>
      <c r="B192" t="s">
        <v>231</v>
      </c>
      <c r="C192">
        <f>VLOOKUP(B192,Table3[[#Headers],[#Data]],4, FALSE)</f>
        <v>12.88</v>
      </c>
      <c r="D192" t="str">
        <f>VLOOKUP('Rough data'!B192,Table3[[#Headers],[#Data]],2,FALSE)</f>
        <v>Highlighter Set Pens Yellow</v>
      </c>
      <c r="E192" t="str">
        <f>VLOOKUP(B192,Table3[[#Headers],[#Data]],5,FALSE)</f>
        <v>SELL0040</v>
      </c>
      <c r="F192" t="str">
        <f>VLOOKUP(E192,Table2[[#Headers],[#Data],[seller_id]:[seller_user]],2,FALSE)</f>
        <v>cheapandgood27</v>
      </c>
      <c r="G192">
        <v>2</v>
      </c>
      <c r="H192">
        <f t="shared" si="2"/>
        <v>25.76</v>
      </c>
    </row>
    <row r="193" spans="1:8" x14ac:dyDescent="0.3">
      <c r="A193" t="str">
        <f>VLOOKUP(B193,Table3[[#Headers],[#Data]],3,FALSE)</f>
        <v>Stationery</v>
      </c>
      <c r="B193" t="s">
        <v>231</v>
      </c>
      <c r="C193">
        <f>VLOOKUP(B193,Table3[[#Headers],[#Data]],4, FALSE)</f>
        <v>12.88</v>
      </c>
      <c r="D193" t="str">
        <f>VLOOKUP('Rough data'!B193,Table3[[#Headers],[#Data]],2,FALSE)</f>
        <v>Highlighter Set Pens Yellow</v>
      </c>
      <c r="E193" t="str">
        <f>VLOOKUP(B193,Table3[[#Headers],[#Data]],5,FALSE)</f>
        <v>SELL0040</v>
      </c>
      <c r="F193" t="str">
        <f>VLOOKUP(E193,Table2[[#Headers],[#Data],[seller_id]:[seller_user]],2,FALSE)</f>
        <v>cheapandgood27</v>
      </c>
      <c r="G193">
        <v>1</v>
      </c>
      <c r="H193">
        <f t="shared" si="2"/>
        <v>12.88</v>
      </c>
    </row>
    <row r="194" spans="1:8" x14ac:dyDescent="0.3">
      <c r="A194" t="str">
        <f>VLOOKUP(B194,Table3[[#Headers],[#Data]],3,FALSE)</f>
        <v>Outdoor</v>
      </c>
      <c r="B194" t="s">
        <v>233</v>
      </c>
      <c r="C194">
        <f>VLOOKUP(B194,Table3[[#Headers],[#Data]],4, FALSE)</f>
        <v>40.83</v>
      </c>
      <c r="D194" t="str">
        <f>VLOOKUP('Rough data'!B194,Table3[[#Headers],[#Data]],2,FALSE)</f>
        <v>BBQ Cleaning Fluid</v>
      </c>
      <c r="E194" t="str">
        <f>VLOOKUP(B194,Table3[[#Headers],[#Data]],5,FALSE)</f>
        <v>SELL0040</v>
      </c>
      <c r="F194" t="str">
        <f>VLOOKUP(E194,Table2[[#Headers],[#Data],[seller_id]:[seller_user]],2,FALSE)</f>
        <v>cheapandgood27</v>
      </c>
      <c r="G194">
        <v>1</v>
      </c>
      <c r="H194">
        <f t="shared" ref="H194:H257" si="3">G194*C194</f>
        <v>40.83</v>
      </c>
    </row>
    <row r="195" spans="1:8" x14ac:dyDescent="0.3">
      <c r="A195" t="str">
        <f>VLOOKUP(B195,Table3[[#Headers],[#Data]],3,FALSE)</f>
        <v>Outdoor</v>
      </c>
      <c r="B195" t="s">
        <v>233</v>
      </c>
      <c r="C195">
        <f>VLOOKUP(B195,Table3[[#Headers],[#Data]],4, FALSE)</f>
        <v>40.83</v>
      </c>
      <c r="D195" t="str">
        <f>VLOOKUP('Rough data'!B195,Table3[[#Headers],[#Data]],2,FALSE)</f>
        <v>BBQ Cleaning Fluid</v>
      </c>
      <c r="E195" t="str">
        <f>VLOOKUP(B195,Table3[[#Headers],[#Data]],5,FALSE)</f>
        <v>SELL0040</v>
      </c>
      <c r="F195" t="str">
        <f>VLOOKUP(E195,Table2[[#Headers],[#Data],[seller_id]:[seller_user]],2,FALSE)</f>
        <v>cheapandgood27</v>
      </c>
      <c r="G195">
        <v>1</v>
      </c>
      <c r="H195">
        <f t="shared" si="3"/>
        <v>40.83</v>
      </c>
    </row>
    <row r="196" spans="1:8" x14ac:dyDescent="0.3">
      <c r="A196" t="str">
        <f>VLOOKUP(B196,Table3[[#Headers],[#Data]],3,FALSE)</f>
        <v>Outdoor</v>
      </c>
      <c r="B196" t="s">
        <v>233</v>
      </c>
      <c r="C196">
        <f>VLOOKUP(B196,Table3[[#Headers],[#Data]],4, FALSE)</f>
        <v>40.83</v>
      </c>
      <c r="D196" t="str">
        <f>VLOOKUP('Rough data'!B196,Table3[[#Headers],[#Data]],2,FALSE)</f>
        <v>BBQ Cleaning Fluid</v>
      </c>
      <c r="E196" t="str">
        <f>VLOOKUP(B196,Table3[[#Headers],[#Data]],5,FALSE)</f>
        <v>SELL0040</v>
      </c>
      <c r="F196" t="str">
        <f>VLOOKUP(E196,Table2[[#Headers],[#Data],[seller_id]:[seller_user]],2,FALSE)</f>
        <v>cheapandgood27</v>
      </c>
      <c r="G196">
        <v>1</v>
      </c>
      <c r="H196">
        <f t="shared" si="3"/>
        <v>40.83</v>
      </c>
    </row>
    <row r="197" spans="1:8" x14ac:dyDescent="0.3">
      <c r="A197" t="str">
        <f>VLOOKUP(B197,Table3[[#Headers],[#Data]],3,FALSE)</f>
        <v>Outdoor</v>
      </c>
      <c r="B197" t="s">
        <v>233</v>
      </c>
      <c r="C197">
        <f>VLOOKUP(B197,Table3[[#Headers],[#Data]],4, FALSE)</f>
        <v>40.83</v>
      </c>
      <c r="D197" t="str">
        <f>VLOOKUP('Rough data'!B197,Table3[[#Headers],[#Data]],2,FALSE)</f>
        <v>BBQ Cleaning Fluid</v>
      </c>
      <c r="E197" t="str">
        <f>VLOOKUP(B197,Table3[[#Headers],[#Data]],5,FALSE)</f>
        <v>SELL0040</v>
      </c>
      <c r="F197" t="str">
        <f>VLOOKUP(E197,Table2[[#Headers],[#Data],[seller_id]:[seller_user]],2,FALSE)</f>
        <v>cheapandgood27</v>
      </c>
      <c r="G197">
        <v>1</v>
      </c>
      <c r="H197">
        <f t="shared" si="3"/>
        <v>40.83</v>
      </c>
    </row>
    <row r="198" spans="1:8" x14ac:dyDescent="0.3">
      <c r="A198" t="str">
        <f>VLOOKUP(B198,Table3[[#Headers],[#Data]],3,FALSE)</f>
        <v>Outdoor</v>
      </c>
      <c r="B198" t="s">
        <v>233</v>
      </c>
      <c r="C198">
        <f>VLOOKUP(B198,Table3[[#Headers],[#Data]],4, FALSE)</f>
        <v>40.83</v>
      </c>
      <c r="D198" t="str">
        <f>VLOOKUP('Rough data'!B198,Table3[[#Headers],[#Data]],2,FALSE)</f>
        <v>BBQ Cleaning Fluid</v>
      </c>
      <c r="E198" t="str">
        <f>VLOOKUP(B198,Table3[[#Headers],[#Data]],5,FALSE)</f>
        <v>SELL0040</v>
      </c>
      <c r="F198" t="str">
        <f>VLOOKUP(E198,Table2[[#Headers],[#Data],[seller_id]:[seller_user]],2,FALSE)</f>
        <v>cheapandgood27</v>
      </c>
      <c r="G198">
        <v>1</v>
      </c>
      <c r="H198">
        <f t="shared" si="3"/>
        <v>40.83</v>
      </c>
    </row>
    <row r="199" spans="1:8" x14ac:dyDescent="0.3">
      <c r="A199" t="str">
        <f>VLOOKUP(B199,Table3[[#Headers],[#Data]],3,FALSE)</f>
        <v>Toys</v>
      </c>
      <c r="B199" t="s">
        <v>235</v>
      </c>
      <c r="C199">
        <f>VLOOKUP(B199,Table3[[#Headers],[#Data]],4, FALSE)</f>
        <v>20.13</v>
      </c>
      <c r="D199" t="str">
        <f>VLOOKUP('Rough data'!B199,Table3[[#Headers],[#Data]],2,FALSE)</f>
        <v>Plush Koala Toy</v>
      </c>
      <c r="E199" t="str">
        <f>VLOOKUP(B199,Table3[[#Headers],[#Data]],5,FALSE)</f>
        <v>SELL0040</v>
      </c>
      <c r="F199" t="str">
        <f>VLOOKUP(E199,Table2[[#Headers],[#Data],[seller_id]:[seller_user]],2,FALSE)</f>
        <v>cheapandgood27</v>
      </c>
      <c r="G199">
        <v>1</v>
      </c>
      <c r="H199">
        <f t="shared" si="3"/>
        <v>20.13</v>
      </c>
    </row>
    <row r="200" spans="1:8" x14ac:dyDescent="0.3">
      <c r="A200" t="str">
        <f>VLOOKUP(B200,Table3[[#Headers],[#Data]],3,FALSE)</f>
        <v>Toys</v>
      </c>
      <c r="B200" t="s">
        <v>237</v>
      </c>
      <c r="C200">
        <f>VLOOKUP(B200,Table3[[#Headers],[#Data]],4, FALSE)</f>
        <v>7.88</v>
      </c>
      <c r="D200" t="str">
        <f>VLOOKUP('Rough data'!B200,Table3[[#Headers],[#Data]],2,FALSE)</f>
        <v>Car racing track automatic launch</v>
      </c>
      <c r="E200" t="str">
        <f>VLOOKUP(B200,Table3[[#Headers],[#Data]],5,FALSE)</f>
        <v>SELL0040</v>
      </c>
      <c r="F200" t="str">
        <f>VLOOKUP(E200,Table2[[#Headers],[#Data],[seller_id]:[seller_user]],2,FALSE)</f>
        <v>cheapandgood27</v>
      </c>
      <c r="G200">
        <v>1</v>
      </c>
      <c r="H200">
        <f t="shared" si="3"/>
        <v>7.88</v>
      </c>
    </row>
    <row r="201" spans="1:8" x14ac:dyDescent="0.3">
      <c r="A201" t="str">
        <f>VLOOKUP(B201,Table3[[#Headers],[#Data]],3,FALSE)</f>
        <v>Outdoor</v>
      </c>
      <c r="B201" t="s">
        <v>241</v>
      </c>
      <c r="C201">
        <f>VLOOKUP(B201,Table3[[#Headers],[#Data]],4, FALSE)</f>
        <v>115.39</v>
      </c>
      <c r="D201" t="str">
        <f>VLOOKUP('Rough data'!B201,Table3[[#Headers],[#Data]],2,FALSE)</f>
        <v>Solar Garden Light Set (8 pack)</v>
      </c>
      <c r="E201" t="str">
        <f>VLOOKUP(B201,Table3[[#Headers],[#Data]],5,FALSE)</f>
        <v>SELL0021</v>
      </c>
      <c r="F201" t="str">
        <f>VLOOKUP(E201,Table2[[#Headers],[#Data],[seller_id]:[seller_user]],2,FALSE)</f>
        <v>stuff-on-sale</v>
      </c>
      <c r="G201">
        <v>1</v>
      </c>
      <c r="H201">
        <f t="shared" si="3"/>
        <v>115.39</v>
      </c>
    </row>
    <row r="202" spans="1:8" x14ac:dyDescent="0.3">
      <c r="A202" t="str">
        <f>VLOOKUP(B202,Table3[[#Headers],[#Data]],3,FALSE)</f>
        <v>Outdoor</v>
      </c>
      <c r="B202" t="s">
        <v>241</v>
      </c>
      <c r="C202">
        <f>VLOOKUP(B202,Table3[[#Headers],[#Data]],4, FALSE)</f>
        <v>115.39</v>
      </c>
      <c r="D202" t="str">
        <f>VLOOKUP('Rough data'!B202,Table3[[#Headers],[#Data]],2,FALSE)</f>
        <v>Solar Garden Light Set (8 pack)</v>
      </c>
      <c r="E202" t="str">
        <f>VLOOKUP(B202,Table3[[#Headers],[#Data]],5,FALSE)</f>
        <v>SELL0021</v>
      </c>
      <c r="F202" t="str">
        <f>VLOOKUP(E202,Table2[[#Headers],[#Data],[seller_id]:[seller_user]],2,FALSE)</f>
        <v>stuff-on-sale</v>
      </c>
      <c r="G202">
        <v>1</v>
      </c>
      <c r="H202">
        <f t="shared" si="3"/>
        <v>115.39</v>
      </c>
    </row>
    <row r="203" spans="1:8" x14ac:dyDescent="0.3">
      <c r="A203" t="str">
        <f>VLOOKUP(B203,Table3[[#Headers],[#Data]],3,FALSE)</f>
        <v>Jewellery</v>
      </c>
      <c r="B203" t="s">
        <v>245</v>
      </c>
      <c r="C203">
        <f>VLOOKUP(B203,Table3[[#Headers],[#Data]],4, FALSE)</f>
        <v>58.45</v>
      </c>
      <c r="D203" t="str">
        <f>VLOOKUP('Rough data'!B203,Table3[[#Headers],[#Data]],2,FALSE)</f>
        <v>Pearl Stud Earrings Genuine Pearl</v>
      </c>
      <c r="E203" t="str">
        <f>VLOOKUP(B203,Table3[[#Headers],[#Data]],5,FALSE)</f>
        <v>SELL0041</v>
      </c>
      <c r="F203" t="str">
        <f>VLOOKUP(E203,Table2[[#Headers],[#Data],[seller_id]:[seller_user]],2,FALSE)</f>
        <v>wcs62ctlxh</v>
      </c>
      <c r="G203">
        <v>1</v>
      </c>
      <c r="H203">
        <f t="shared" si="3"/>
        <v>58.45</v>
      </c>
    </row>
    <row r="204" spans="1:8" x14ac:dyDescent="0.3">
      <c r="A204" t="str">
        <f>VLOOKUP(B204,Table3[[#Headers],[#Data]],3,FALSE)</f>
        <v>Jewellery</v>
      </c>
      <c r="B204" t="s">
        <v>245</v>
      </c>
      <c r="C204">
        <f>VLOOKUP(B204,Table3[[#Headers],[#Data]],4, FALSE)</f>
        <v>58.45</v>
      </c>
      <c r="D204" t="str">
        <f>VLOOKUP('Rough data'!B204,Table3[[#Headers],[#Data]],2,FALSE)</f>
        <v>Pearl Stud Earrings Genuine Pearl</v>
      </c>
      <c r="E204" t="str">
        <f>VLOOKUP(B204,Table3[[#Headers],[#Data]],5,FALSE)</f>
        <v>SELL0041</v>
      </c>
      <c r="F204" t="str">
        <f>VLOOKUP(E204,Table2[[#Headers],[#Data],[seller_id]:[seller_user]],2,FALSE)</f>
        <v>wcs62ctlxh</v>
      </c>
      <c r="G204">
        <v>1</v>
      </c>
      <c r="H204">
        <f t="shared" si="3"/>
        <v>58.45</v>
      </c>
    </row>
    <row r="205" spans="1:8" x14ac:dyDescent="0.3">
      <c r="A205" t="str">
        <f>VLOOKUP(B205,Table3[[#Headers],[#Data]],3,FALSE)</f>
        <v>Gift_Sets</v>
      </c>
      <c r="B205" t="s">
        <v>247</v>
      </c>
      <c r="C205">
        <f>VLOOKUP(B205,Table3[[#Headers],[#Data]],4, FALSE)</f>
        <v>32.44</v>
      </c>
      <c r="D205" t="str">
        <f>VLOOKUP('Rough data'!B205,Table3[[#Headers],[#Data]],2,FALSE)</f>
        <v>Dark Chocolate Selection Box</v>
      </c>
      <c r="E205" t="str">
        <f>VLOOKUP(B205,Table3[[#Headers],[#Data]],5,FALSE)</f>
        <v>SELL0041</v>
      </c>
      <c r="F205" t="str">
        <f>VLOOKUP(E205,Table2[[#Headers],[#Data],[seller_id]:[seller_user]],2,FALSE)</f>
        <v>wcs62ctlxh</v>
      </c>
      <c r="G205">
        <v>1</v>
      </c>
      <c r="H205">
        <f t="shared" si="3"/>
        <v>32.44</v>
      </c>
    </row>
    <row r="206" spans="1:8" x14ac:dyDescent="0.3">
      <c r="A206" t="str">
        <f>VLOOKUP(B206,Table3[[#Headers],[#Data]],3,FALSE)</f>
        <v>Gift_Sets</v>
      </c>
      <c r="B206" t="s">
        <v>247</v>
      </c>
      <c r="C206">
        <f>VLOOKUP(B206,Table3[[#Headers],[#Data]],4, FALSE)</f>
        <v>32.44</v>
      </c>
      <c r="D206" t="str">
        <f>VLOOKUP('Rough data'!B206,Table3[[#Headers],[#Data]],2,FALSE)</f>
        <v>Dark Chocolate Selection Box</v>
      </c>
      <c r="E206" t="str">
        <f>VLOOKUP(B206,Table3[[#Headers],[#Data]],5,FALSE)</f>
        <v>SELL0041</v>
      </c>
      <c r="F206" t="str">
        <f>VLOOKUP(E206,Table2[[#Headers],[#Data],[seller_id]:[seller_user]],2,FALSE)</f>
        <v>wcs62ctlxh</v>
      </c>
      <c r="G206">
        <v>1</v>
      </c>
      <c r="H206">
        <f t="shared" si="3"/>
        <v>32.44</v>
      </c>
    </row>
    <row r="207" spans="1:8" x14ac:dyDescent="0.3">
      <c r="A207" t="str">
        <f>VLOOKUP(B207,Table3[[#Headers],[#Data]],3,FALSE)</f>
        <v>Toys</v>
      </c>
      <c r="B207" t="s">
        <v>249</v>
      </c>
      <c r="C207">
        <f>VLOOKUP(B207,Table3[[#Headers],[#Data]],4, FALSE)</f>
        <v>17.66</v>
      </c>
      <c r="D207" t="str">
        <f>VLOOKUP('Rough data'!B207,Table3[[#Headers],[#Data]],2,FALSE)</f>
        <v>Glittertube Makeup Set Kids</v>
      </c>
      <c r="E207" t="str">
        <f>VLOOKUP(B207,Table3[[#Headers],[#Data]],5,FALSE)</f>
        <v>SELL0041</v>
      </c>
      <c r="F207" t="str">
        <f>VLOOKUP(E207,Table2[[#Headers],[#Data],[seller_id]:[seller_user]],2,FALSE)</f>
        <v>wcs62ctlxh</v>
      </c>
      <c r="G207">
        <v>1</v>
      </c>
      <c r="H207">
        <f t="shared" si="3"/>
        <v>17.66</v>
      </c>
    </row>
    <row r="208" spans="1:8" x14ac:dyDescent="0.3">
      <c r="A208" t="str">
        <f>VLOOKUP(B208,Table3[[#Headers],[#Data]],3,FALSE)</f>
        <v>Clothes</v>
      </c>
      <c r="B208" t="s">
        <v>251</v>
      </c>
      <c r="C208">
        <f>VLOOKUP(B208,Table3[[#Headers],[#Data]],4, FALSE)</f>
        <v>39.99</v>
      </c>
      <c r="D208" t="str">
        <f>VLOOKUP('Rough data'!B208,Table3[[#Headers],[#Data]],2,FALSE)</f>
        <v>Cotton T‑Shirt Green XL</v>
      </c>
      <c r="E208" t="str">
        <f>VLOOKUP(B208,Table3[[#Headers],[#Data]],5,FALSE)</f>
        <v>SELL0041</v>
      </c>
      <c r="F208" t="str">
        <f>VLOOKUP(E208,Table2[[#Headers],[#Data],[seller_id]:[seller_user]],2,FALSE)</f>
        <v>wcs62ctlxh</v>
      </c>
      <c r="G208">
        <v>1</v>
      </c>
      <c r="H208">
        <f t="shared" si="3"/>
        <v>39.99</v>
      </c>
    </row>
    <row r="209" spans="1:8" x14ac:dyDescent="0.3">
      <c r="A209" t="str">
        <f>VLOOKUP(B209,Table3[[#Headers],[#Data]],3,FALSE)</f>
        <v>Clothes</v>
      </c>
      <c r="B209" t="s">
        <v>251</v>
      </c>
      <c r="C209">
        <f>VLOOKUP(B209,Table3[[#Headers],[#Data]],4, FALSE)</f>
        <v>39.99</v>
      </c>
      <c r="D209" t="str">
        <f>VLOOKUP('Rough data'!B209,Table3[[#Headers],[#Data]],2,FALSE)</f>
        <v>Cotton T‑Shirt Green XL</v>
      </c>
      <c r="E209" t="str">
        <f>VLOOKUP(B209,Table3[[#Headers],[#Data]],5,FALSE)</f>
        <v>SELL0041</v>
      </c>
      <c r="F209" t="str">
        <f>VLOOKUP(E209,Table2[[#Headers],[#Data],[seller_id]:[seller_user]],2,FALSE)</f>
        <v>wcs62ctlxh</v>
      </c>
      <c r="G209">
        <v>2</v>
      </c>
      <c r="H209">
        <f t="shared" si="3"/>
        <v>79.98</v>
      </c>
    </row>
    <row r="210" spans="1:8" x14ac:dyDescent="0.3">
      <c r="A210" t="str">
        <f>VLOOKUP(B210,Table3[[#Headers],[#Data]],3,FALSE)</f>
        <v>Clothes</v>
      </c>
      <c r="B210" t="s">
        <v>251</v>
      </c>
      <c r="C210">
        <f>VLOOKUP(B210,Table3[[#Headers],[#Data]],4, FALSE)</f>
        <v>39.99</v>
      </c>
      <c r="D210" t="str">
        <f>VLOOKUP('Rough data'!B210,Table3[[#Headers],[#Data]],2,FALSE)</f>
        <v>Cotton T‑Shirt Green XL</v>
      </c>
      <c r="E210" t="str">
        <f>VLOOKUP(B210,Table3[[#Headers],[#Data]],5,FALSE)</f>
        <v>SELL0041</v>
      </c>
      <c r="F210" t="str">
        <f>VLOOKUP(E210,Table2[[#Headers],[#Data],[seller_id]:[seller_user]],2,FALSE)</f>
        <v>wcs62ctlxh</v>
      </c>
      <c r="G210">
        <v>2</v>
      </c>
      <c r="H210">
        <f t="shared" si="3"/>
        <v>79.98</v>
      </c>
    </row>
    <row r="211" spans="1:8" x14ac:dyDescent="0.3">
      <c r="A211" t="str">
        <f>VLOOKUP(B211,Table3[[#Headers],[#Data]],3,FALSE)</f>
        <v>Outdoor</v>
      </c>
      <c r="B211" t="s">
        <v>253</v>
      </c>
      <c r="C211">
        <f>VLOOKUP(B211,Table3[[#Headers],[#Data]],4, FALSE)</f>
        <v>44.42</v>
      </c>
      <c r="D211" t="str">
        <f>VLOOKUP('Rough data'!B211,Table3[[#Headers],[#Data]],2,FALSE)</f>
        <v>OutdoorOven Oven Gloves (Green)</v>
      </c>
      <c r="E211" t="str">
        <f>VLOOKUP(B211,Table3[[#Headers],[#Data]],5,FALSE)</f>
        <v>SELL0041</v>
      </c>
      <c r="F211" t="str">
        <f>VLOOKUP(E211,Table2[[#Headers],[#Data],[seller_id]:[seller_user]],2,FALSE)</f>
        <v>wcs62ctlxh</v>
      </c>
      <c r="G211">
        <v>1</v>
      </c>
      <c r="H211">
        <f t="shared" si="3"/>
        <v>44.42</v>
      </c>
    </row>
    <row r="212" spans="1:8" x14ac:dyDescent="0.3">
      <c r="A212" t="str">
        <f>VLOOKUP(B212,Table3[[#Headers],[#Data]],3,FALSE)</f>
        <v>Outdoor</v>
      </c>
      <c r="B212" t="s">
        <v>253</v>
      </c>
      <c r="C212">
        <f>VLOOKUP(B212,Table3[[#Headers],[#Data]],4, FALSE)</f>
        <v>44.42</v>
      </c>
      <c r="D212" t="str">
        <f>VLOOKUP('Rough data'!B212,Table3[[#Headers],[#Data]],2,FALSE)</f>
        <v>OutdoorOven Oven Gloves (Green)</v>
      </c>
      <c r="E212" t="str">
        <f>VLOOKUP(B212,Table3[[#Headers],[#Data]],5,FALSE)</f>
        <v>SELL0041</v>
      </c>
      <c r="F212" t="str">
        <f>VLOOKUP(E212,Table2[[#Headers],[#Data],[seller_id]:[seller_user]],2,FALSE)</f>
        <v>wcs62ctlxh</v>
      </c>
      <c r="G212">
        <v>1</v>
      </c>
      <c r="H212">
        <f t="shared" si="3"/>
        <v>44.42</v>
      </c>
    </row>
    <row r="213" spans="1:8" x14ac:dyDescent="0.3">
      <c r="A213" t="str">
        <f>VLOOKUP(B213,Table3[[#Headers],[#Data]],3,FALSE)</f>
        <v>Outdoor</v>
      </c>
      <c r="B213" t="s">
        <v>253</v>
      </c>
      <c r="C213">
        <f>VLOOKUP(B213,Table3[[#Headers],[#Data]],4, FALSE)</f>
        <v>44.42</v>
      </c>
      <c r="D213" t="str">
        <f>VLOOKUP('Rough data'!B213,Table3[[#Headers],[#Data]],2,FALSE)</f>
        <v>OutdoorOven Oven Gloves (Green)</v>
      </c>
      <c r="E213" t="str">
        <f>VLOOKUP(B213,Table3[[#Headers],[#Data]],5,FALSE)</f>
        <v>SELL0041</v>
      </c>
      <c r="F213" t="str">
        <f>VLOOKUP(E213,Table2[[#Headers],[#Data],[seller_id]:[seller_user]],2,FALSE)</f>
        <v>wcs62ctlxh</v>
      </c>
      <c r="G213">
        <v>1</v>
      </c>
      <c r="H213">
        <f t="shared" si="3"/>
        <v>44.42</v>
      </c>
    </row>
    <row r="214" spans="1:8" x14ac:dyDescent="0.3">
      <c r="A214" t="str">
        <f>VLOOKUP(B214,Table3[[#Headers],[#Data]],3,FALSE)</f>
        <v>Health</v>
      </c>
      <c r="B214" t="s">
        <v>255</v>
      </c>
      <c r="C214">
        <f>VLOOKUP(B214,Table3[[#Headers],[#Data]],4, FALSE)</f>
        <v>26.98</v>
      </c>
      <c r="D214" t="str">
        <f>VLOOKUP('Rough data'!B214,Table3[[#Headers],[#Data]],2,FALSE)</f>
        <v>Yoga Mat - 8mm Thick</v>
      </c>
      <c r="E214" t="str">
        <f>VLOOKUP(B214,Table3[[#Headers],[#Data]],5,FALSE)</f>
        <v>SELL0042</v>
      </c>
      <c r="F214" t="str">
        <f>VLOOKUP(E214,Table2[[#Headers],[#Data],[seller_id]:[seller_user]],2,FALSE)</f>
        <v>beauty490</v>
      </c>
      <c r="G214">
        <v>1</v>
      </c>
      <c r="H214">
        <f t="shared" si="3"/>
        <v>26.98</v>
      </c>
    </row>
    <row r="215" spans="1:8" x14ac:dyDescent="0.3">
      <c r="A215" t="str">
        <f>VLOOKUP(B215,Table3[[#Headers],[#Data]],3,FALSE)</f>
        <v>Clothes</v>
      </c>
      <c r="B215" t="s">
        <v>260</v>
      </c>
      <c r="C215">
        <f>VLOOKUP(B215,Table3[[#Headers],[#Data]],4, FALSE)</f>
        <v>41.73</v>
      </c>
      <c r="D215" t="str">
        <f>VLOOKUP('Rough data'!B215,Table3[[#Headers],[#Data]],2,FALSE)</f>
        <v>Rain Jacket Red L</v>
      </c>
      <c r="E215" t="str">
        <f>VLOOKUP(B215,Table3[[#Headers],[#Data]],5,FALSE)</f>
        <v>SELL0042</v>
      </c>
      <c r="F215" t="str">
        <f>VLOOKUP(E215,Table2[[#Headers],[#Data],[seller_id]:[seller_user]],2,FALSE)</f>
        <v>beauty490</v>
      </c>
      <c r="G215">
        <v>1</v>
      </c>
      <c r="H215">
        <f t="shared" si="3"/>
        <v>41.73</v>
      </c>
    </row>
    <row r="216" spans="1:8" x14ac:dyDescent="0.3">
      <c r="A216" t="str">
        <f>VLOOKUP(B216,Table3[[#Headers],[#Data]],3,FALSE)</f>
        <v>Clothes</v>
      </c>
      <c r="B216" t="s">
        <v>260</v>
      </c>
      <c r="C216">
        <f>VLOOKUP(B216,Table3[[#Headers],[#Data]],4, FALSE)</f>
        <v>41.73</v>
      </c>
      <c r="D216" t="str">
        <f>VLOOKUP('Rough data'!B216,Table3[[#Headers],[#Data]],2,FALSE)</f>
        <v>Rain Jacket Red L</v>
      </c>
      <c r="E216" t="str">
        <f>VLOOKUP(B216,Table3[[#Headers],[#Data]],5,FALSE)</f>
        <v>SELL0042</v>
      </c>
      <c r="F216" t="str">
        <f>VLOOKUP(E216,Table2[[#Headers],[#Data],[seller_id]:[seller_user]],2,FALSE)</f>
        <v>beauty490</v>
      </c>
      <c r="G216">
        <v>1</v>
      </c>
      <c r="H216">
        <f t="shared" si="3"/>
        <v>41.73</v>
      </c>
    </row>
    <row r="217" spans="1:8" x14ac:dyDescent="0.3">
      <c r="A217" t="str">
        <f>VLOOKUP(B217,Table3[[#Headers],[#Data]],3,FALSE)</f>
        <v>Clothes</v>
      </c>
      <c r="B217" t="s">
        <v>260</v>
      </c>
      <c r="C217">
        <f>VLOOKUP(B217,Table3[[#Headers],[#Data]],4, FALSE)</f>
        <v>41.73</v>
      </c>
      <c r="D217" t="str">
        <f>VLOOKUP('Rough data'!B217,Table3[[#Headers],[#Data]],2,FALSE)</f>
        <v>Rain Jacket Red L</v>
      </c>
      <c r="E217" t="str">
        <f>VLOOKUP(B217,Table3[[#Headers],[#Data]],5,FALSE)</f>
        <v>SELL0042</v>
      </c>
      <c r="F217" t="str">
        <f>VLOOKUP(E217,Table2[[#Headers],[#Data],[seller_id]:[seller_user]],2,FALSE)</f>
        <v>beauty490</v>
      </c>
      <c r="G217">
        <v>1</v>
      </c>
      <c r="H217">
        <f t="shared" si="3"/>
        <v>41.73</v>
      </c>
    </row>
    <row r="218" spans="1:8" x14ac:dyDescent="0.3">
      <c r="A218" t="str">
        <f>VLOOKUP(B218,Table3[[#Headers],[#Data]],3,FALSE)</f>
        <v>Clothes</v>
      </c>
      <c r="B218" t="s">
        <v>260</v>
      </c>
      <c r="C218">
        <f>VLOOKUP(B218,Table3[[#Headers],[#Data]],4, FALSE)</f>
        <v>41.73</v>
      </c>
      <c r="D218" t="str">
        <f>VLOOKUP('Rough data'!B218,Table3[[#Headers],[#Data]],2,FALSE)</f>
        <v>Rain Jacket Red L</v>
      </c>
      <c r="E218" t="str">
        <f>VLOOKUP(B218,Table3[[#Headers],[#Data]],5,FALSE)</f>
        <v>SELL0042</v>
      </c>
      <c r="F218" t="str">
        <f>VLOOKUP(E218,Table2[[#Headers],[#Data],[seller_id]:[seller_user]],2,FALSE)</f>
        <v>beauty490</v>
      </c>
      <c r="G218">
        <v>1</v>
      </c>
      <c r="H218">
        <f t="shared" si="3"/>
        <v>41.73</v>
      </c>
    </row>
    <row r="219" spans="1:8" x14ac:dyDescent="0.3">
      <c r="A219" t="str">
        <f>VLOOKUP(B219,Table3[[#Headers],[#Data]],3,FALSE)</f>
        <v>Clothes</v>
      </c>
      <c r="B219" t="s">
        <v>260</v>
      </c>
      <c r="C219">
        <f>VLOOKUP(B219,Table3[[#Headers],[#Data]],4, FALSE)</f>
        <v>41.73</v>
      </c>
      <c r="D219" t="str">
        <f>VLOOKUP('Rough data'!B219,Table3[[#Headers],[#Data]],2,FALSE)</f>
        <v>Rain Jacket Red L</v>
      </c>
      <c r="E219" t="str">
        <f>VLOOKUP(B219,Table3[[#Headers],[#Data]],5,FALSE)</f>
        <v>SELL0042</v>
      </c>
      <c r="F219" t="str">
        <f>VLOOKUP(E219,Table2[[#Headers],[#Data],[seller_id]:[seller_user]],2,FALSE)</f>
        <v>beauty490</v>
      </c>
      <c r="G219">
        <v>1</v>
      </c>
      <c r="H219">
        <f t="shared" si="3"/>
        <v>41.73</v>
      </c>
    </row>
    <row r="220" spans="1:8" x14ac:dyDescent="0.3">
      <c r="A220" t="str">
        <f>VLOOKUP(B220,Table3[[#Headers],[#Data]],3,FALSE)</f>
        <v>Home</v>
      </c>
      <c r="B220" t="s">
        <v>262</v>
      </c>
      <c r="C220">
        <f>VLOOKUP(B220,Table3[[#Headers],[#Data]],4, FALSE)</f>
        <v>91.41</v>
      </c>
      <c r="D220" t="str">
        <f>VLOOKUP('Rough data'!B220,Table3[[#Headers],[#Data]],2,FALSE)</f>
        <v>Premium Soy Candle Orange Blossom</v>
      </c>
      <c r="E220" t="str">
        <f>VLOOKUP(B220,Table3[[#Headers],[#Data]],5,FALSE)</f>
        <v>SELL0042</v>
      </c>
      <c r="F220" t="str">
        <f>VLOOKUP(E220,Table2[[#Headers],[#Data],[seller_id]:[seller_user]],2,FALSE)</f>
        <v>beauty490</v>
      </c>
      <c r="G220">
        <v>2</v>
      </c>
      <c r="H220">
        <f t="shared" si="3"/>
        <v>182.82</v>
      </c>
    </row>
    <row r="221" spans="1:8" x14ac:dyDescent="0.3">
      <c r="A221" t="str">
        <f>VLOOKUP(B221,Table3[[#Headers],[#Data]],3,FALSE)</f>
        <v>Home</v>
      </c>
      <c r="B221" t="s">
        <v>262</v>
      </c>
      <c r="C221">
        <f>VLOOKUP(B221,Table3[[#Headers],[#Data]],4, FALSE)</f>
        <v>91.41</v>
      </c>
      <c r="D221" t="str">
        <f>VLOOKUP('Rough data'!B221,Table3[[#Headers],[#Data]],2,FALSE)</f>
        <v>Premium Soy Candle Orange Blossom</v>
      </c>
      <c r="E221" t="str">
        <f>VLOOKUP(B221,Table3[[#Headers],[#Data]],5,FALSE)</f>
        <v>SELL0042</v>
      </c>
      <c r="F221" t="str">
        <f>VLOOKUP(E221,Table2[[#Headers],[#Data],[seller_id]:[seller_user]],2,FALSE)</f>
        <v>beauty490</v>
      </c>
      <c r="G221">
        <v>1</v>
      </c>
      <c r="H221">
        <f t="shared" si="3"/>
        <v>91.41</v>
      </c>
    </row>
    <row r="222" spans="1:8" x14ac:dyDescent="0.3">
      <c r="A222" t="str">
        <f>VLOOKUP(B222,Table3[[#Headers],[#Data]],3,FALSE)</f>
        <v>Home</v>
      </c>
      <c r="B222" t="s">
        <v>262</v>
      </c>
      <c r="C222">
        <f>VLOOKUP(B222,Table3[[#Headers],[#Data]],4, FALSE)</f>
        <v>91.41</v>
      </c>
      <c r="D222" t="str">
        <f>VLOOKUP('Rough data'!B222,Table3[[#Headers],[#Data]],2,FALSE)</f>
        <v>Premium Soy Candle Orange Blossom</v>
      </c>
      <c r="E222" t="str">
        <f>VLOOKUP(B222,Table3[[#Headers],[#Data]],5,FALSE)</f>
        <v>SELL0042</v>
      </c>
      <c r="F222" t="str">
        <f>VLOOKUP(E222,Table2[[#Headers],[#Data],[seller_id]:[seller_user]],2,FALSE)</f>
        <v>beauty490</v>
      </c>
      <c r="G222">
        <v>1</v>
      </c>
      <c r="H222">
        <f t="shared" si="3"/>
        <v>91.41</v>
      </c>
    </row>
    <row r="223" spans="1:8" x14ac:dyDescent="0.3">
      <c r="A223" t="str">
        <f>VLOOKUP(B223,Table3[[#Headers],[#Data]],3,FALSE)</f>
        <v>Jewellery</v>
      </c>
      <c r="B223" t="s">
        <v>264</v>
      </c>
      <c r="C223">
        <f>VLOOKUP(B223,Table3[[#Headers],[#Data]],4, FALSE)</f>
        <v>13.16</v>
      </c>
      <c r="D223" t="str">
        <f>VLOOKUP('Rough data'!B223,Table3[[#Headers],[#Data]],2,FALSE)</f>
        <v>Sterling Silver Necklace</v>
      </c>
      <c r="E223" t="str">
        <f>VLOOKUP(B223,Table3[[#Headers],[#Data]],5,FALSE)</f>
        <v>SELL0042</v>
      </c>
      <c r="F223" t="str">
        <f>VLOOKUP(E223,Table2[[#Headers],[#Data],[seller_id]:[seller_user]],2,FALSE)</f>
        <v>beauty490</v>
      </c>
      <c r="G223">
        <v>1</v>
      </c>
      <c r="H223">
        <f t="shared" si="3"/>
        <v>13.16</v>
      </c>
    </row>
    <row r="224" spans="1:8" x14ac:dyDescent="0.3">
      <c r="A224" t="str">
        <f>VLOOKUP(B224,Table3[[#Headers],[#Data]],3,FALSE)</f>
        <v>Jewellery</v>
      </c>
      <c r="B224" t="s">
        <v>264</v>
      </c>
      <c r="C224">
        <f>VLOOKUP(B224,Table3[[#Headers],[#Data]],4, FALSE)</f>
        <v>13.16</v>
      </c>
      <c r="D224" t="str">
        <f>VLOOKUP('Rough data'!B224,Table3[[#Headers],[#Data]],2,FALSE)</f>
        <v>Sterling Silver Necklace</v>
      </c>
      <c r="E224" t="str">
        <f>VLOOKUP(B224,Table3[[#Headers],[#Data]],5,FALSE)</f>
        <v>SELL0042</v>
      </c>
      <c r="F224" t="str">
        <f>VLOOKUP(E224,Table2[[#Headers],[#Data],[seller_id]:[seller_user]],2,FALSE)</f>
        <v>beauty490</v>
      </c>
      <c r="G224">
        <v>1</v>
      </c>
      <c r="H224">
        <f t="shared" si="3"/>
        <v>13.16</v>
      </c>
    </row>
    <row r="225" spans="1:8" x14ac:dyDescent="0.3">
      <c r="A225" t="str">
        <f>VLOOKUP(B225,Table3[[#Headers],[#Data]],3,FALSE)</f>
        <v>Jewellery</v>
      </c>
      <c r="B225" t="s">
        <v>264</v>
      </c>
      <c r="C225">
        <f>VLOOKUP(B225,Table3[[#Headers],[#Data]],4, FALSE)</f>
        <v>13.16</v>
      </c>
      <c r="D225" t="str">
        <f>VLOOKUP('Rough data'!B225,Table3[[#Headers],[#Data]],2,FALSE)</f>
        <v>Sterling Silver Necklace</v>
      </c>
      <c r="E225" t="str">
        <f>VLOOKUP(B225,Table3[[#Headers],[#Data]],5,FALSE)</f>
        <v>SELL0042</v>
      </c>
      <c r="F225" t="str">
        <f>VLOOKUP(E225,Table2[[#Headers],[#Data],[seller_id]:[seller_user]],2,FALSE)</f>
        <v>beauty490</v>
      </c>
      <c r="G225">
        <v>2</v>
      </c>
      <c r="H225">
        <f t="shared" si="3"/>
        <v>26.32</v>
      </c>
    </row>
    <row r="226" spans="1:8" x14ac:dyDescent="0.3">
      <c r="A226" t="str">
        <f>VLOOKUP(B226,Table3[[#Headers],[#Data]],3,FALSE)</f>
        <v>Beauty</v>
      </c>
      <c r="B226" t="s">
        <v>266</v>
      </c>
      <c r="C226">
        <f>VLOOKUP(B226,Table3[[#Headers],[#Data]],4, FALSE)</f>
        <v>15.99</v>
      </c>
      <c r="D226" t="str">
        <f>VLOOKUP('Rough data'!B226,Table3[[#Headers],[#Data]],2,FALSE)</f>
        <v>Organic Lip Balm - Cherry</v>
      </c>
      <c r="E226" t="str">
        <f>VLOOKUP(B226,Table3[[#Headers],[#Data]],5,FALSE)</f>
        <v>SELL0043</v>
      </c>
      <c r="F226" t="str">
        <f>VLOOKUP(E226,Table2[[#Headers],[#Data],[seller_id]:[seller_user]],2,FALSE)</f>
        <v>g9x1rt9dw8</v>
      </c>
      <c r="G226">
        <v>1</v>
      </c>
      <c r="H226">
        <f t="shared" si="3"/>
        <v>15.99</v>
      </c>
    </row>
    <row r="227" spans="1:8" x14ac:dyDescent="0.3">
      <c r="A227" t="str">
        <f>VLOOKUP(B227,Table3[[#Headers],[#Data]],3,FALSE)</f>
        <v>Clothes</v>
      </c>
      <c r="B227" t="s">
        <v>269</v>
      </c>
      <c r="C227">
        <f>VLOOKUP(B227,Table3[[#Headers],[#Data]],4, FALSE)</f>
        <v>37.79</v>
      </c>
      <c r="D227" t="str">
        <f>VLOOKUP('Rough data'!B227,Table3[[#Headers],[#Data]],2,FALSE)</f>
        <v>Kids Cotton Pyjamas 18month</v>
      </c>
      <c r="E227" t="str">
        <f>VLOOKUP(B227,Table3[[#Headers],[#Data]],5,FALSE)</f>
        <v>SELL0043</v>
      </c>
      <c r="F227" t="str">
        <f>VLOOKUP(E227,Table2[[#Headers],[#Data],[seller_id]:[seller_user]],2,FALSE)</f>
        <v>g9x1rt9dw8</v>
      </c>
      <c r="G227">
        <v>1</v>
      </c>
      <c r="H227">
        <f t="shared" si="3"/>
        <v>37.79</v>
      </c>
    </row>
    <row r="228" spans="1:8" x14ac:dyDescent="0.3">
      <c r="A228" t="str">
        <f>VLOOKUP(B228,Table3[[#Headers],[#Data]],3,FALSE)</f>
        <v>Clothes</v>
      </c>
      <c r="B228" t="s">
        <v>269</v>
      </c>
      <c r="C228">
        <f>VLOOKUP(B228,Table3[[#Headers],[#Data]],4, FALSE)</f>
        <v>37.79</v>
      </c>
      <c r="D228" t="str">
        <f>VLOOKUP('Rough data'!B228,Table3[[#Headers],[#Data]],2,FALSE)</f>
        <v>Kids Cotton Pyjamas 18month</v>
      </c>
      <c r="E228" t="str">
        <f>VLOOKUP(B228,Table3[[#Headers],[#Data]],5,FALSE)</f>
        <v>SELL0043</v>
      </c>
      <c r="F228" t="str">
        <f>VLOOKUP(E228,Table2[[#Headers],[#Data],[seller_id]:[seller_user]],2,FALSE)</f>
        <v>g9x1rt9dw8</v>
      </c>
      <c r="G228">
        <v>1</v>
      </c>
      <c r="H228">
        <f t="shared" si="3"/>
        <v>37.79</v>
      </c>
    </row>
    <row r="229" spans="1:8" x14ac:dyDescent="0.3">
      <c r="A229" t="str">
        <f>VLOOKUP(B229,Table3[[#Headers],[#Data]],3,FALSE)</f>
        <v>Clothes</v>
      </c>
      <c r="B229" t="s">
        <v>269</v>
      </c>
      <c r="C229">
        <f>VLOOKUP(B229,Table3[[#Headers],[#Data]],4, FALSE)</f>
        <v>37.79</v>
      </c>
      <c r="D229" t="str">
        <f>VLOOKUP('Rough data'!B229,Table3[[#Headers],[#Data]],2,FALSE)</f>
        <v>Kids Cotton Pyjamas 18month</v>
      </c>
      <c r="E229" t="str">
        <f>VLOOKUP(B229,Table3[[#Headers],[#Data]],5,FALSE)</f>
        <v>SELL0043</v>
      </c>
      <c r="F229" t="str">
        <f>VLOOKUP(E229,Table2[[#Headers],[#Data],[seller_id]:[seller_user]],2,FALSE)</f>
        <v>g9x1rt9dw8</v>
      </c>
      <c r="G229">
        <v>1</v>
      </c>
      <c r="H229">
        <f t="shared" si="3"/>
        <v>37.79</v>
      </c>
    </row>
    <row r="230" spans="1:8" x14ac:dyDescent="0.3">
      <c r="A230" t="str">
        <f>VLOOKUP(B230,Table3[[#Headers],[#Data]],3,FALSE)</f>
        <v>Clothes</v>
      </c>
      <c r="B230" t="s">
        <v>273</v>
      </c>
      <c r="C230">
        <f>VLOOKUP(B230,Table3[[#Headers],[#Data]],4, FALSE)</f>
        <v>53.5</v>
      </c>
      <c r="D230" t="str">
        <f>VLOOKUP('Rough data'!B230,Table3[[#Headers],[#Data]],2,FALSE)</f>
        <v>Rain Jacket Red XS</v>
      </c>
      <c r="E230" t="str">
        <f>VLOOKUP(B230,Table3[[#Headers],[#Data]],5,FALSE)</f>
        <v>SELL0043</v>
      </c>
      <c r="F230" t="str">
        <f>VLOOKUP(E230,Table2[[#Headers],[#Data],[seller_id]:[seller_user]],2,FALSE)</f>
        <v>g9x1rt9dw8</v>
      </c>
      <c r="G230">
        <v>1</v>
      </c>
      <c r="H230">
        <f t="shared" si="3"/>
        <v>53.5</v>
      </c>
    </row>
    <row r="231" spans="1:8" x14ac:dyDescent="0.3">
      <c r="A231" t="str">
        <f>VLOOKUP(B231,Table3[[#Headers],[#Data]],3,FALSE)</f>
        <v>Clothes</v>
      </c>
      <c r="B231" t="s">
        <v>273</v>
      </c>
      <c r="C231">
        <f>VLOOKUP(B231,Table3[[#Headers],[#Data]],4, FALSE)</f>
        <v>53.5</v>
      </c>
      <c r="D231" t="str">
        <f>VLOOKUP('Rough data'!B231,Table3[[#Headers],[#Data]],2,FALSE)</f>
        <v>Rain Jacket Red XS</v>
      </c>
      <c r="E231" t="str">
        <f>VLOOKUP(B231,Table3[[#Headers],[#Data]],5,FALSE)</f>
        <v>SELL0043</v>
      </c>
      <c r="F231" t="str">
        <f>VLOOKUP(E231,Table2[[#Headers],[#Data],[seller_id]:[seller_user]],2,FALSE)</f>
        <v>g9x1rt9dw8</v>
      </c>
      <c r="G231">
        <v>1</v>
      </c>
      <c r="H231">
        <f t="shared" si="3"/>
        <v>53.5</v>
      </c>
    </row>
    <row r="232" spans="1:8" x14ac:dyDescent="0.3">
      <c r="A232" t="str">
        <f>VLOOKUP(B232,Table3[[#Headers],[#Data]],3,FALSE)</f>
        <v>Electronics</v>
      </c>
      <c r="B232" t="s">
        <v>277</v>
      </c>
      <c r="C232">
        <f>VLOOKUP(B232,Table3[[#Headers],[#Data]],4, FALSE)</f>
        <v>112.5</v>
      </c>
      <c r="D232" t="str">
        <f>VLOOKUP('Rough data'!B232,Table3[[#Headers],[#Data]],2,FALSE)</f>
        <v>Wireless Bluetooth Earbuds Noise Cancel</v>
      </c>
      <c r="E232" t="str">
        <f>VLOOKUP(B232,Table3[[#Headers],[#Data]],5,FALSE)</f>
        <v>SELL0024</v>
      </c>
      <c r="F232" t="str">
        <f>VLOOKUP(E232,Table2[[#Headers],[#Data],[seller_id]:[seller_user]],2,FALSE)</f>
        <v>ELEC25B</v>
      </c>
      <c r="G232">
        <v>1</v>
      </c>
      <c r="H232">
        <f t="shared" si="3"/>
        <v>112.5</v>
      </c>
    </row>
    <row r="233" spans="1:8" x14ac:dyDescent="0.3">
      <c r="A233" t="str">
        <f>VLOOKUP(B233,Table3[[#Headers],[#Data]],3,FALSE)</f>
        <v>Electronics</v>
      </c>
      <c r="B233" t="s">
        <v>277</v>
      </c>
      <c r="C233">
        <f>VLOOKUP(B233,Table3[[#Headers],[#Data]],4, FALSE)</f>
        <v>112.5</v>
      </c>
      <c r="D233" t="str">
        <f>VLOOKUP('Rough data'!B233,Table3[[#Headers],[#Data]],2,FALSE)</f>
        <v>Wireless Bluetooth Earbuds Noise Cancel</v>
      </c>
      <c r="E233" t="str">
        <f>VLOOKUP(B233,Table3[[#Headers],[#Data]],5,FALSE)</f>
        <v>SELL0024</v>
      </c>
      <c r="F233" t="str">
        <f>VLOOKUP(E233,Table2[[#Headers],[#Data],[seller_id]:[seller_user]],2,FALSE)</f>
        <v>ELEC25B</v>
      </c>
      <c r="G233">
        <v>1</v>
      </c>
      <c r="H233">
        <f t="shared" si="3"/>
        <v>112.5</v>
      </c>
    </row>
    <row r="234" spans="1:8" x14ac:dyDescent="0.3">
      <c r="A234" t="str">
        <f>VLOOKUP(B234,Table3[[#Headers],[#Data]],3,FALSE)</f>
        <v>Outdoor</v>
      </c>
      <c r="B234" t="s">
        <v>279</v>
      </c>
      <c r="C234">
        <f>VLOOKUP(B234,Table3[[#Headers],[#Data]],4, FALSE)</f>
        <v>55.56</v>
      </c>
      <c r="D234" t="str">
        <f>VLOOKUP('Rough data'!B234,Table3[[#Headers],[#Data]],2,FALSE)</f>
        <v>Waterproof Mat Beach</v>
      </c>
      <c r="E234" t="str">
        <f>VLOOKUP(B234,Table3[[#Headers],[#Data]],5,FALSE)</f>
        <v>SELL0044</v>
      </c>
      <c r="F234" t="str">
        <f>VLOOKUP(E234,Table2[[#Headers],[#Data],[seller_id]:[seller_user]],2,FALSE)</f>
        <v>everything_nmore</v>
      </c>
      <c r="G234">
        <v>1</v>
      </c>
      <c r="H234">
        <f t="shared" si="3"/>
        <v>55.56</v>
      </c>
    </row>
    <row r="235" spans="1:8" x14ac:dyDescent="0.3">
      <c r="A235" t="str">
        <f>VLOOKUP(B235,Table3[[#Headers],[#Data]],3,FALSE)</f>
        <v>Jewellery</v>
      </c>
      <c r="B235" t="s">
        <v>282</v>
      </c>
      <c r="C235">
        <f>VLOOKUP(B235,Table3[[#Headers],[#Data]],4, FALSE)</f>
        <v>13.95</v>
      </c>
      <c r="D235" t="str">
        <f>VLOOKUP('Rough data'!B235,Table3[[#Headers],[#Data]],2,FALSE)</f>
        <v>Anklet - Gold</v>
      </c>
      <c r="E235" t="str">
        <f>VLOOKUP(B235,Table3[[#Headers],[#Data]],5,FALSE)</f>
        <v>SELL0044</v>
      </c>
      <c r="F235" t="str">
        <f>VLOOKUP(E235,Table2[[#Headers],[#Data],[seller_id]:[seller_user]],2,FALSE)</f>
        <v>everything_nmore</v>
      </c>
      <c r="G235">
        <v>1</v>
      </c>
      <c r="H235">
        <f t="shared" si="3"/>
        <v>13.95</v>
      </c>
    </row>
    <row r="236" spans="1:8" x14ac:dyDescent="0.3">
      <c r="A236" t="str">
        <f>VLOOKUP(B236,Table3[[#Headers],[#Data]],3,FALSE)</f>
        <v>Clothes</v>
      </c>
      <c r="B236" t="s">
        <v>284</v>
      </c>
      <c r="C236">
        <f>VLOOKUP(B236,Table3[[#Headers],[#Data]],4, FALSE)</f>
        <v>53.17</v>
      </c>
      <c r="D236" t="str">
        <f>VLOOKUP('Rough data'!B236,Table3[[#Headers],[#Data]],2,FALSE)</f>
        <v>Unisex Hoodie - Black XXL</v>
      </c>
      <c r="E236" t="str">
        <f>VLOOKUP(B236,Table3[[#Headers],[#Data]],5,FALSE)</f>
        <v>SELL0044</v>
      </c>
      <c r="F236" t="str">
        <f>VLOOKUP(E236,Table2[[#Headers],[#Data],[seller_id]:[seller_user]],2,FALSE)</f>
        <v>everything_nmore</v>
      </c>
      <c r="G236">
        <v>1</v>
      </c>
      <c r="H236">
        <f t="shared" si="3"/>
        <v>53.17</v>
      </c>
    </row>
    <row r="237" spans="1:8" x14ac:dyDescent="0.3">
      <c r="A237" t="str">
        <f>VLOOKUP(B237,Table3[[#Headers],[#Data]],3,FALSE)</f>
        <v>Clothes</v>
      </c>
      <c r="B237" t="s">
        <v>284</v>
      </c>
      <c r="C237">
        <f>VLOOKUP(B237,Table3[[#Headers],[#Data]],4, FALSE)</f>
        <v>53.17</v>
      </c>
      <c r="D237" t="str">
        <f>VLOOKUP('Rough data'!B237,Table3[[#Headers],[#Data]],2,FALSE)</f>
        <v>Unisex Hoodie - Black XXL</v>
      </c>
      <c r="E237" t="str">
        <f>VLOOKUP(B237,Table3[[#Headers],[#Data]],5,FALSE)</f>
        <v>SELL0044</v>
      </c>
      <c r="F237" t="str">
        <f>VLOOKUP(E237,Table2[[#Headers],[#Data],[seller_id]:[seller_user]],2,FALSE)</f>
        <v>everything_nmore</v>
      </c>
      <c r="G237">
        <v>1</v>
      </c>
      <c r="H237">
        <f t="shared" si="3"/>
        <v>53.17</v>
      </c>
    </row>
    <row r="238" spans="1:8" x14ac:dyDescent="0.3">
      <c r="A238" t="str">
        <f>VLOOKUP(B238,Table3[[#Headers],[#Data]],3,FALSE)</f>
        <v>Outdoor</v>
      </c>
      <c r="B238" t="s">
        <v>286</v>
      </c>
      <c r="C238">
        <f>VLOOKUP(B238,Table3[[#Headers],[#Data]],4, FALSE)</f>
        <v>51.49</v>
      </c>
      <c r="D238" t="str">
        <f>VLOOKUP('Rough data'!B238,Table3[[#Headers],[#Data]],2,FALSE)</f>
        <v>Solar Garden Light</v>
      </c>
      <c r="E238" t="str">
        <f>VLOOKUP(B238,Table3[[#Headers],[#Data]],5,FALSE)</f>
        <v>SELL0045</v>
      </c>
      <c r="F238" t="str">
        <f>VLOOKUP(E238,Table2[[#Headers],[#Data],[seller_id]:[seller_user]],2,FALSE)</f>
        <v>s22ods7z5m</v>
      </c>
      <c r="G238">
        <v>1</v>
      </c>
      <c r="H238">
        <f t="shared" si="3"/>
        <v>51.49</v>
      </c>
    </row>
    <row r="239" spans="1:8" x14ac:dyDescent="0.3">
      <c r="A239" t="str">
        <f>VLOOKUP(B239,Table3[[#Headers],[#Data]],3,FALSE)</f>
        <v>Clothes</v>
      </c>
      <c r="B239" t="s">
        <v>289</v>
      </c>
      <c r="C239">
        <f>VLOOKUP(B239,Table3[[#Headers],[#Data]],4, FALSE)</f>
        <v>25.48</v>
      </c>
      <c r="D239" t="str">
        <f>VLOOKUP('Rough data'!B239,Table3[[#Headers],[#Data]],2,FALSE)</f>
        <v>Rain Jacket Red XXS</v>
      </c>
      <c r="E239" t="str">
        <f>VLOOKUP(B239,Table3[[#Headers],[#Data]],5,FALSE)</f>
        <v>SELL0045</v>
      </c>
      <c r="F239" t="str">
        <f>VLOOKUP(E239,Table2[[#Headers],[#Data],[seller_id]:[seller_user]],2,FALSE)</f>
        <v>s22ods7z5m</v>
      </c>
      <c r="G239">
        <v>1</v>
      </c>
      <c r="H239">
        <f t="shared" si="3"/>
        <v>25.48</v>
      </c>
    </row>
    <row r="240" spans="1:8" x14ac:dyDescent="0.3">
      <c r="A240" t="str">
        <f>VLOOKUP(B240,Table3[[#Headers],[#Data]],3,FALSE)</f>
        <v>Home</v>
      </c>
      <c r="B240" t="s">
        <v>291</v>
      </c>
      <c r="C240">
        <f>VLOOKUP(B240,Table3[[#Headers],[#Data]],4, FALSE)</f>
        <v>16.809999999999999</v>
      </c>
      <c r="D240" t="str">
        <f>VLOOKUP('Rough data'!B240,Table3[[#Headers],[#Data]],2,FALSE)</f>
        <v>Serving Bowl Blue</v>
      </c>
      <c r="E240" t="str">
        <f>VLOOKUP(B240,Table3[[#Headers],[#Data]],5,FALSE)</f>
        <v>SELL0045</v>
      </c>
      <c r="F240" t="str">
        <f>VLOOKUP(E240,Table2[[#Headers],[#Data],[seller_id]:[seller_user]],2,FALSE)</f>
        <v>s22ods7z5m</v>
      </c>
      <c r="G240">
        <v>1</v>
      </c>
      <c r="H240">
        <f t="shared" si="3"/>
        <v>16.809999999999999</v>
      </c>
    </row>
    <row r="241" spans="1:8" x14ac:dyDescent="0.3">
      <c r="A241" t="str">
        <f>VLOOKUP(B241,Table3[[#Headers],[#Data]],3,FALSE)</f>
        <v>Beauty</v>
      </c>
      <c r="B241" t="s">
        <v>293</v>
      </c>
      <c r="C241">
        <f>VLOOKUP(B241,Table3[[#Headers],[#Data]],4, FALSE)</f>
        <v>9.81</v>
      </c>
      <c r="D241" t="str">
        <f>VLOOKUP('Rough data'!B241,Table3[[#Headers],[#Data]],2,FALSE)</f>
        <v>Scented Candle Rose</v>
      </c>
      <c r="E241" t="str">
        <f>VLOOKUP(B241,Table3[[#Headers],[#Data]],5,FALSE)</f>
        <v>SELL0045</v>
      </c>
      <c r="F241" t="str">
        <f>VLOOKUP(E241,Table2[[#Headers],[#Data],[seller_id]:[seller_user]],2,FALSE)</f>
        <v>s22ods7z5m</v>
      </c>
      <c r="G241">
        <v>1</v>
      </c>
      <c r="H241">
        <f t="shared" si="3"/>
        <v>9.81</v>
      </c>
    </row>
    <row r="242" spans="1:8" x14ac:dyDescent="0.3">
      <c r="A242" t="str">
        <f>VLOOKUP(B242,Table3[[#Headers],[#Data]],3,FALSE)</f>
        <v>Beauty</v>
      </c>
      <c r="B242" t="s">
        <v>293</v>
      </c>
      <c r="C242">
        <f>VLOOKUP(B242,Table3[[#Headers],[#Data]],4, FALSE)</f>
        <v>9.81</v>
      </c>
      <c r="D242" t="str">
        <f>VLOOKUP('Rough data'!B242,Table3[[#Headers],[#Data]],2,FALSE)</f>
        <v>Scented Candle Rose</v>
      </c>
      <c r="E242" t="str">
        <f>VLOOKUP(B242,Table3[[#Headers],[#Data]],5,FALSE)</f>
        <v>SELL0045</v>
      </c>
      <c r="F242" t="str">
        <f>VLOOKUP(E242,Table2[[#Headers],[#Data],[seller_id]:[seller_user]],2,FALSE)</f>
        <v>s22ods7z5m</v>
      </c>
      <c r="G242">
        <v>1</v>
      </c>
      <c r="H242">
        <f t="shared" si="3"/>
        <v>9.81</v>
      </c>
    </row>
    <row r="243" spans="1:8" x14ac:dyDescent="0.3">
      <c r="A243" t="str">
        <f>VLOOKUP(B243,Table3[[#Headers],[#Data]],3,FALSE)</f>
        <v>Home</v>
      </c>
      <c r="B243" t="s">
        <v>297</v>
      </c>
      <c r="C243">
        <f>VLOOKUP(B243,Table3[[#Headers],[#Data]],4, FALSE)</f>
        <v>84.85</v>
      </c>
      <c r="D243" t="str">
        <f>VLOOKUP('Rough data'!B243,Table3[[#Headers],[#Data]],2,FALSE)</f>
        <v>Pillowcase Silk Navy Pair</v>
      </c>
      <c r="E243" t="str">
        <f>VLOOKUP(B243,Table3[[#Headers],[#Data]],5,FALSE)</f>
        <v>SELL0046</v>
      </c>
      <c r="F243" t="str">
        <f>VLOOKUP(E243,Table2[[#Headers],[#Data],[seller_id]:[seller_user]],2,FALSE)</f>
        <v>find_what_u_need</v>
      </c>
      <c r="G243">
        <v>1</v>
      </c>
      <c r="H243">
        <f t="shared" si="3"/>
        <v>84.85</v>
      </c>
    </row>
    <row r="244" spans="1:8" x14ac:dyDescent="0.3">
      <c r="A244" t="str">
        <f>VLOOKUP(B244,Table3[[#Headers],[#Data]],3,FALSE)</f>
        <v>Jewellery</v>
      </c>
      <c r="B244" t="s">
        <v>300</v>
      </c>
      <c r="C244">
        <f>VLOOKUP(B244,Table3[[#Headers],[#Data]],4, FALSE)</f>
        <v>13.79</v>
      </c>
      <c r="D244" t="str">
        <f>VLOOKUP('Rough data'!B244,Table3[[#Headers],[#Data]],2,FALSE)</f>
        <v>Charm Bracelet gold</v>
      </c>
      <c r="E244" t="str">
        <f>VLOOKUP(B244,Table3[[#Headers],[#Data]],5,FALSE)</f>
        <v>SELL0046</v>
      </c>
      <c r="F244" t="str">
        <f>VLOOKUP(E244,Table2[[#Headers],[#Data],[seller_id]:[seller_user]],2,FALSE)</f>
        <v>find_what_u_need</v>
      </c>
      <c r="G244">
        <v>1</v>
      </c>
      <c r="H244">
        <f t="shared" si="3"/>
        <v>13.79</v>
      </c>
    </row>
    <row r="245" spans="1:8" x14ac:dyDescent="0.3">
      <c r="A245" t="str">
        <f>VLOOKUP(B245,Table3[[#Headers],[#Data]],3,FALSE)</f>
        <v>Jewellery</v>
      </c>
      <c r="B245" t="s">
        <v>300</v>
      </c>
      <c r="C245">
        <f>VLOOKUP(B245,Table3[[#Headers],[#Data]],4, FALSE)</f>
        <v>13.79</v>
      </c>
      <c r="D245" t="str">
        <f>VLOOKUP('Rough data'!B245,Table3[[#Headers],[#Data]],2,FALSE)</f>
        <v>Charm Bracelet gold</v>
      </c>
      <c r="E245" t="str">
        <f>VLOOKUP(B245,Table3[[#Headers],[#Data]],5,FALSE)</f>
        <v>SELL0046</v>
      </c>
      <c r="F245" t="str">
        <f>VLOOKUP(E245,Table2[[#Headers],[#Data],[seller_id]:[seller_user]],2,FALSE)</f>
        <v>find_what_u_need</v>
      </c>
      <c r="G245">
        <v>2</v>
      </c>
      <c r="H245">
        <f t="shared" si="3"/>
        <v>27.58</v>
      </c>
    </row>
    <row r="246" spans="1:8" x14ac:dyDescent="0.3">
      <c r="A246" t="str">
        <f>VLOOKUP(B246,Table3[[#Headers],[#Data]],3,FALSE)</f>
        <v>Stationery</v>
      </c>
      <c r="B246" t="s">
        <v>302</v>
      </c>
      <c r="C246">
        <f>VLOOKUP(B246,Table3[[#Headers],[#Data]],4, FALSE)</f>
        <v>5.49</v>
      </c>
      <c r="D246" t="str">
        <f>VLOOKUP('Rough data'!B246,Table3[[#Headers],[#Data]],2,FALSE)</f>
        <v>Whiteboard Markers 6pc</v>
      </c>
      <c r="E246" t="str">
        <f>VLOOKUP(B246,Table3[[#Headers],[#Data]],5,FALSE)</f>
        <v>SELL0046</v>
      </c>
      <c r="F246" t="str">
        <f>VLOOKUP(E246,Table2[[#Headers],[#Data],[seller_id]:[seller_user]],2,FALSE)</f>
        <v>find_what_u_need</v>
      </c>
      <c r="G246">
        <v>1</v>
      </c>
      <c r="H246">
        <f t="shared" si="3"/>
        <v>5.49</v>
      </c>
    </row>
    <row r="247" spans="1:8" x14ac:dyDescent="0.3">
      <c r="A247" t="str">
        <f>VLOOKUP(B247,Table3[[#Headers],[#Data]],3,FALSE)</f>
        <v>Stationery</v>
      </c>
      <c r="B247" t="s">
        <v>302</v>
      </c>
      <c r="C247">
        <f>VLOOKUP(B247,Table3[[#Headers],[#Data]],4, FALSE)</f>
        <v>5.49</v>
      </c>
      <c r="D247" t="str">
        <f>VLOOKUP('Rough data'!B247,Table3[[#Headers],[#Data]],2,FALSE)</f>
        <v>Whiteboard Markers 6pc</v>
      </c>
      <c r="E247" t="str">
        <f>VLOOKUP(B247,Table3[[#Headers],[#Data]],5,FALSE)</f>
        <v>SELL0046</v>
      </c>
      <c r="F247" t="str">
        <f>VLOOKUP(E247,Table2[[#Headers],[#Data],[seller_id]:[seller_user]],2,FALSE)</f>
        <v>find_what_u_need</v>
      </c>
      <c r="G247">
        <v>1</v>
      </c>
      <c r="H247">
        <f t="shared" si="3"/>
        <v>5.49</v>
      </c>
    </row>
    <row r="248" spans="1:8" x14ac:dyDescent="0.3">
      <c r="A248" t="str">
        <f>VLOOKUP(B248,Table3[[#Headers],[#Data]],3,FALSE)</f>
        <v>Stationery</v>
      </c>
      <c r="B248" t="s">
        <v>302</v>
      </c>
      <c r="C248">
        <f>VLOOKUP(B248,Table3[[#Headers],[#Data]],4, FALSE)</f>
        <v>5.49</v>
      </c>
      <c r="D248" t="str">
        <f>VLOOKUP('Rough data'!B248,Table3[[#Headers],[#Data]],2,FALSE)</f>
        <v>Whiteboard Markers 6pc</v>
      </c>
      <c r="E248" t="str">
        <f>VLOOKUP(B248,Table3[[#Headers],[#Data]],5,FALSE)</f>
        <v>SELL0046</v>
      </c>
      <c r="F248" t="str">
        <f>VLOOKUP(E248,Table2[[#Headers],[#Data],[seller_id]:[seller_user]],2,FALSE)</f>
        <v>find_what_u_need</v>
      </c>
      <c r="G248">
        <v>1</v>
      </c>
      <c r="H248">
        <f t="shared" si="3"/>
        <v>5.49</v>
      </c>
    </row>
    <row r="249" spans="1:8" x14ac:dyDescent="0.3">
      <c r="A249" t="str">
        <f>VLOOKUP(B249,Table3[[#Headers],[#Data]],3,FALSE)</f>
        <v>Outdoor</v>
      </c>
      <c r="B249" t="s">
        <v>304</v>
      </c>
      <c r="C249">
        <f>VLOOKUP(B249,Table3[[#Headers],[#Data]],4, FALSE)</f>
        <v>92.15</v>
      </c>
      <c r="D249" t="str">
        <f>VLOOKUP('Rough data'!B249,Table3[[#Headers],[#Data]],2,FALSE)</f>
        <v>Hickory Wood Chips Large Bag</v>
      </c>
      <c r="E249" t="str">
        <f>VLOOKUP(B249,Table3[[#Headers],[#Data]],5,FALSE)</f>
        <v>SELL0046</v>
      </c>
      <c r="F249" t="str">
        <f>VLOOKUP(E249,Table2[[#Headers],[#Data],[seller_id]:[seller_user]],2,FALSE)</f>
        <v>find_what_u_need</v>
      </c>
      <c r="G249">
        <v>1</v>
      </c>
      <c r="H249">
        <f t="shared" si="3"/>
        <v>92.15</v>
      </c>
    </row>
    <row r="250" spans="1:8" x14ac:dyDescent="0.3">
      <c r="A250" t="str">
        <f>VLOOKUP(B250,Table3[[#Headers],[#Data]],3,FALSE)</f>
        <v>Gift_Sets</v>
      </c>
      <c r="B250" t="s">
        <v>306</v>
      </c>
      <c r="C250">
        <f>VLOOKUP(B250,Table3[[#Headers],[#Data]],4, FALSE)</f>
        <v>37.340000000000003</v>
      </c>
      <c r="D250" t="str">
        <f>VLOOKUP('Rough data'!B250,Table3[[#Headers],[#Data]],2,FALSE)</f>
        <v>Spa Pamper Gift Set For Him</v>
      </c>
      <c r="E250" t="str">
        <f>VLOOKUP(B250,Table3[[#Headers],[#Data]],5,FALSE)</f>
        <v>SELL0046</v>
      </c>
      <c r="F250" t="str">
        <f>VLOOKUP(E250,Table2[[#Headers],[#Data],[seller_id]:[seller_user]],2,FALSE)</f>
        <v>find_what_u_need</v>
      </c>
      <c r="G250">
        <v>1</v>
      </c>
      <c r="H250">
        <f t="shared" si="3"/>
        <v>37.340000000000003</v>
      </c>
    </row>
    <row r="251" spans="1:8" x14ac:dyDescent="0.3">
      <c r="A251" t="str">
        <f>VLOOKUP(B251,Table3[[#Headers],[#Data]],3,FALSE)</f>
        <v>Gift_Sets</v>
      </c>
      <c r="B251" t="s">
        <v>306</v>
      </c>
      <c r="C251">
        <f>VLOOKUP(B251,Table3[[#Headers],[#Data]],4, FALSE)</f>
        <v>37.340000000000003</v>
      </c>
      <c r="D251" t="str">
        <f>VLOOKUP('Rough data'!B251,Table3[[#Headers],[#Data]],2,FALSE)</f>
        <v>Spa Pamper Gift Set For Him</v>
      </c>
      <c r="E251" t="str">
        <f>VLOOKUP(B251,Table3[[#Headers],[#Data]],5,FALSE)</f>
        <v>SELL0046</v>
      </c>
      <c r="F251" t="str">
        <f>VLOOKUP(E251,Table2[[#Headers],[#Data],[seller_id]:[seller_user]],2,FALSE)</f>
        <v>find_what_u_need</v>
      </c>
      <c r="G251">
        <v>1</v>
      </c>
      <c r="H251">
        <f t="shared" si="3"/>
        <v>37.340000000000003</v>
      </c>
    </row>
    <row r="252" spans="1:8" x14ac:dyDescent="0.3">
      <c r="A252" t="str">
        <f>VLOOKUP(B252,Table3[[#Headers],[#Data]],3,FALSE)</f>
        <v>Gift_Sets</v>
      </c>
      <c r="B252" t="s">
        <v>306</v>
      </c>
      <c r="C252">
        <f>VLOOKUP(B252,Table3[[#Headers],[#Data]],4, FALSE)</f>
        <v>37.340000000000003</v>
      </c>
      <c r="D252" t="str">
        <f>VLOOKUP('Rough data'!B252,Table3[[#Headers],[#Data]],2,FALSE)</f>
        <v>Spa Pamper Gift Set For Him</v>
      </c>
      <c r="E252" t="str">
        <f>VLOOKUP(B252,Table3[[#Headers],[#Data]],5,FALSE)</f>
        <v>SELL0046</v>
      </c>
      <c r="F252" t="str">
        <f>VLOOKUP(E252,Table2[[#Headers],[#Data],[seller_id]:[seller_user]],2,FALSE)</f>
        <v>find_what_u_need</v>
      </c>
      <c r="G252">
        <v>1</v>
      </c>
      <c r="H252">
        <f t="shared" si="3"/>
        <v>37.340000000000003</v>
      </c>
    </row>
    <row r="253" spans="1:8" x14ac:dyDescent="0.3">
      <c r="A253" t="str">
        <f>VLOOKUP(B253,Table3[[#Headers],[#Data]],3,FALSE)</f>
        <v>Gift_Sets</v>
      </c>
      <c r="B253" t="s">
        <v>306</v>
      </c>
      <c r="C253">
        <f>VLOOKUP(B253,Table3[[#Headers],[#Data]],4, FALSE)</f>
        <v>37.340000000000003</v>
      </c>
      <c r="D253" t="str">
        <f>VLOOKUP('Rough data'!B253,Table3[[#Headers],[#Data]],2,FALSE)</f>
        <v>Spa Pamper Gift Set For Him</v>
      </c>
      <c r="E253" t="str">
        <f>VLOOKUP(B253,Table3[[#Headers],[#Data]],5,FALSE)</f>
        <v>SELL0046</v>
      </c>
      <c r="F253" t="str">
        <f>VLOOKUP(E253,Table2[[#Headers],[#Data],[seller_id]:[seller_user]],2,FALSE)</f>
        <v>find_what_u_need</v>
      </c>
      <c r="G253">
        <v>2</v>
      </c>
      <c r="H253">
        <f t="shared" si="3"/>
        <v>74.680000000000007</v>
      </c>
    </row>
    <row r="254" spans="1:8" x14ac:dyDescent="0.3">
      <c r="A254" t="str">
        <f>VLOOKUP(B254,Table3[[#Headers],[#Data]],3,FALSE)</f>
        <v>Toys</v>
      </c>
      <c r="B254" t="s">
        <v>311</v>
      </c>
      <c r="C254">
        <f>VLOOKUP(B254,Table3[[#Headers],[#Data]],4, FALSE)</f>
        <v>12.31</v>
      </c>
      <c r="D254" t="str">
        <f>VLOOKUP('Rough data'!B254,Table3[[#Headers],[#Data]],2,FALSE)</f>
        <v>Kite Glitter</v>
      </c>
      <c r="E254" t="str">
        <f>VLOOKUP(B254,Table3[[#Headers],[#Data]],5,FALSE)</f>
        <v>SELL0047</v>
      </c>
      <c r="F254" t="str">
        <f>VLOOKUP(E254,Table2[[#Headers],[#Data],[seller_id]:[seller_user]],2,FALSE)</f>
        <v>toymajoy</v>
      </c>
      <c r="G254">
        <v>1</v>
      </c>
      <c r="H254">
        <f t="shared" si="3"/>
        <v>12.31</v>
      </c>
    </row>
    <row r="255" spans="1:8" x14ac:dyDescent="0.3">
      <c r="A255" t="str">
        <f>VLOOKUP(B255,Table3[[#Headers],[#Data]],3,FALSE)</f>
        <v>Toys</v>
      </c>
      <c r="B255" t="s">
        <v>311</v>
      </c>
      <c r="C255">
        <f>VLOOKUP(B255,Table3[[#Headers],[#Data]],4, FALSE)</f>
        <v>12.31</v>
      </c>
      <c r="D255" t="str">
        <f>VLOOKUP('Rough data'!B255,Table3[[#Headers],[#Data]],2,FALSE)</f>
        <v>Kite Glitter</v>
      </c>
      <c r="E255" t="str">
        <f>VLOOKUP(B255,Table3[[#Headers],[#Data]],5,FALSE)</f>
        <v>SELL0047</v>
      </c>
      <c r="F255" t="str">
        <f>VLOOKUP(E255,Table2[[#Headers],[#Data],[seller_id]:[seller_user]],2,FALSE)</f>
        <v>toymajoy</v>
      </c>
      <c r="G255">
        <v>1</v>
      </c>
      <c r="H255">
        <f t="shared" si="3"/>
        <v>12.31</v>
      </c>
    </row>
    <row r="256" spans="1:8" x14ac:dyDescent="0.3">
      <c r="A256" t="str">
        <f>VLOOKUP(B256,Table3[[#Headers],[#Data]],3,FALSE)</f>
        <v>Toys</v>
      </c>
      <c r="B256" t="s">
        <v>311</v>
      </c>
      <c r="C256">
        <f>VLOOKUP(B256,Table3[[#Headers],[#Data]],4, FALSE)</f>
        <v>12.31</v>
      </c>
      <c r="D256" t="str">
        <f>VLOOKUP('Rough data'!B256,Table3[[#Headers],[#Data]],2,FALSE)</f>
        <v>Kite Glitter</v>
      </c>
      <c r="E256" t="str">
        <f>VLOOKUP(B256,Table3[[#Headers],[#Data]],5,FALSE)</f>
        <v>SELL0047</v>
      </c>
      <c r="F256" t="str">
        <f>VLOOKUP(E256,Table2[[#Headers],[#Data],[seller_id]:[seller_user]],2,FALSE)</f>
        <v>toymajoy</v>
      </c>
      <c r="G256">
        <v>1</v>
      </c>
      <c r="H256">
        <f t="shared" si="3"/>
        <v>12.31</v>
      </c>
    </row>
    <row r="257" spans="1:8" x14ac:dyDescent="0.3">
      <c r="A257" t="str">
        <f>VLOOKUP(B257,Table3[[#Headers],[#Data]],3,FALSE)</f>
        <v>Toys</v>
      </c>
      <c r="B257" t="s">
        <v>311</v>
      </c>
      <c r="C257">
        <f>VLOOKUP(B257,Table3[[#Headers],[#Data]],4, FALSE)</f>
        <v>12.31</v>
      </c>
      <c r="D257" t="str">
        <f>VLOOKUP('Rough data'!B257,Table3[[#Headers],[#Data]],2,FALSE)</f>
        <v>Kite Glitter</v>
      </c>
      <c r="E257" t="str">
        <f>VLOOKUP(B257,Table3[[#Headers],[#Data]],5,FALSE)</f>
        <v>SELL0047</v>
      </c>
      <c r="F257" t="str">
        <f>VLOOKUP(E257,Table2[[#Headers],[#Data],[seller_id]:[seller_user]],2,FALSE)</f>
        <v>toymajoy</v>
      </c>
      <c r="G257">
        <v>2</v>
      </c>
      <c r="H257">
        <f t="shared" si="3"/>
        <v>24.62</v>
      </c>
    </row>
    <row r="258" spans="1:8" x14ac:dyDescent="0.3">
      <c r="A258" t="str">
        <f>VLOOKUP(B258,Table3[[#Headers],[#Data]],3,FALSE)</f>
        <v>Toys</v>
      </c>
      <c r="B258" t="s">
        <v>311</v>
      </c>
      <c r="C258">
        <f>VLOOKUP(B258,Table3[[#Headers],[#Data]],4, FALSE)</f>
        <v>12.31</v>
      </c>
      <c r="D258" t="str">
        <f>VLOOKUP('Rough data'!B258,Table3[[#Headers],[#Data]],2,FALSE)</f>
        <v>Kite Glitter</v>
      </c>
      <c r="E258" t="str">
        <f>VLOOKUP(B258,Table3[[#Headers],[#Data]],5,FALSE)</f>
        <v>SELL0047</v>
      </c>
      <c r="F258" t="str">
        <f>VLOOKUP(E258,Table2[[#Headers],[#Data],[seller_id]:[seller_user]],2,FALSE)</f>
        <v>toymajoy</v>
      </c>
      <c r="G258">
        <v>2</v>
      </c>
      <c r="H258">
        <f t="shared" ref="H258:H321" si="4">G258*C258</f>
        <v>24.62</v>
      </c>
    </row>
    <row r="259" spans="1:8" x14ac:dyDescent="0.3">
      <c r="A259" t="str">
        <f>VLOOKUP(B259,Table3[[#Headers],[#Data]],3,FALSE)</f>
        <v>Toys</v>
      </c>
      <c r="B259" t="s">
        <v>313</v>
      </c>
      <c r="C259">
        <f>VLOOKUP(B259,Table3[[#Headers],[#Data]],4, FALSE)</f>
        <v>37.72</v>
      </c>
      <c r="D259" t="str">
        <f>VLOOKUP('Rough data'!B259,Table3[[#Headers],[#Data]],2,FALSE)</f>
        <v>Koala Stuffed Toy</v>
      </c>
      <c r="E259" t="str">
        <f>VLOOKUP(B259,Table3[[#Headers],[#Data]],5,FALSE)</f>
        <v>SELL0047</v>
      </c>
      <c r="F259" t="str">
        <f>VLOOKUP(E259,Table2[[#Headers],[#Data],[seller_id]:[seller_user]],2,FALSE)</f>
        <v>toymajoy</v>
      </c>
      <c r="G259">
        <v>1</v>
      </c>
      <c r="H259">
        <f t="shared" si="4"/>
        <v>37.72</v>
      </c>
    </row>
    <row r="260" spans="1:8" x14ac:dyDescent="0.3">
      <c r="A260" t="str">
        <f>VLOOKUP(B260,Table3[[#Headers],[#Data]],3,FALSE)</f>
        <v>Toys</v>
      </c>
      <c r="B260" t="s">
        <v>317</v>
      </c>
      <c r="C260">
        <f>VLOOKUP(B260,Table3[[#Headers],[#Data]],4, FALSE)</f>
        <v>35.11</v>
      </c>
      <c r="D260" t="str">
        <f>VLOOKUP('Rough data'!B260,Table3[[#Headers],[#Data]],2,FALSE)</f>
        <v>Building Blocks 300 pcs Special Edition space</v>
      </c>
      <c r="E260" t="str">
        <f>VLOOKUP(B260,Table3[[#Headers],[#Data]],5,FALSE)</f>
        <v>SELL0047</v>
      </c>
      <c r="F260" t="str">
        <f>VLOOKUP(E260,Table2[[#Headers],[#Data],[seller_id]:[seller_user]],2,FALSE)</f>
        <v>toymajoy</v>
      </c>
      <c r="G260">
        <v>1</v>
      </c>
      <c r="H260">
        <f t="shared" si="4"/>
        <v>35.11</v>
      </c>
    </row>
    <row r="261" spans="1:8" x14ac:dyDescent="0.3">
      <c r="A261" t="str">
        <f>VLOOKUP(B261,Table3[[#Headers],[#Data]],3,FALSE)</f>
        <v>Outdoor</v>
      </c>
      <c r="B261" t="s">
        <v>322</v>
      </c>
      <c r="C261">
        <f>VLOOKUP(B261,Table3[[#Headers],[#Data]],4, FALSE)</f>
        <v>48.81</v>
      </c>
      <c r="D261" t="str">
        <f>VLOOKUP('Rough data'!B261,Table3[[#Headers],[#Data]],2,FALSE)</f>
        <v>Garden Light Sun Powered No Recharge</v>
      </c>
      <c r="E261" t="str">
        <f>VLOOKUP(B261,Table3[[#Headers],[#Data]],5,FALSE)</f>
        <v>SELL0048</v>
      </c>
      <c r="F261" t="str">
        <f>VLOOKUP(E261,Table2[[#Headers],[#Data],[seller_id]:[seller_user]],2,FALSE)</f>
        <v>jy9binq4v9</v>
      </c>
      <c r="G261">
        <v>1</v>
      </c>
      <c r="H261">
        <f t="shared" si="4"/>
        <v>48.81</v>
      </c>
    </row>
    <row r="262" spans="1:8" x14ac:dyDescent="0.3">
      <c r="A262" t="str">
        <f>VLOOKUP(B262,Table3[[#Headers],[#Data]],3,FALSE)</f>
        <v>Outdoor</v>
      </c>
      <c r="B262" t="s">
        <v>322</v>
      </c>
      <c r="C262">
        <f>VLOOKUP(B262,Table3[[#Headers],[#Data]],4, FALSE)</f>
        <v>48.81</v>
      </c>
      <c r="D262" t="str">
        <f>VLOOKUP('Rough data'!B262,Table3[[#Headers],[#Data]],2,FALSE)</f>
        <v>Garden Light Sun Powered No Recharge</v>
      </c>
      <c r="E262" t="str">
        <f>VLOOKUP(B262,Table3[[#Headers],[#Data]],5,FALSE)</f>
        <v>SELL0048</v>
      </c>
      <c r="F262" t="str">
        <f>VLOOKUP(E262,Table2[[#Headers],[#Data],[seller_id]:[seller_user]],2,FALSE)</f>
        <v>jy9binq4v9</v>
      </c>
      <c r="G262">
        <v>6</v>
      </c>
      <c r="H262">
        <f t="shared" si="4"/>
        <v>292.86</v>
      </c>
    </row>
    <row r="263" spans="1:8" x14ac:dyDescent="0.3">
      <c r="A263" t="str">
        <f>VLOOKUP(B263,Table3[[#Headers],[#Data]],3,FALSE)</f>
        <v>Outdoor</v>
      </c>
      <c r="B263" t="s">
        <v>322</v>
      </c>
      <c r="C263">
        <f>VLOOKUP(B263,Table3[[#Headers],[#Data]],4, FALSE)</f>
        <v>48.81</v>
      </c>
      <c r="D263" t="str">
        <f>VLOOKUP('Rough data'!B263,Table3[[#Headers],[#Data]],2,FALSE)</f>
        <v>Garden Light Sun Powered No Recharge</v>
      </c>
      <c r="E263" t="str">
        <f>VLOOKUP(B263,Table3[[#Headers],[#Data]],5,FALSE)</f>
        <v>SELL0048</v>
      </c>
      <c r="F263" t="str">
        <f>VLOOKUP(E263,Table2[[#Headers],[#Data],[seller_id]:[seller_user]],2,FALSE)</f>
        <v>jy9binq4v9</v>
      </c>
      <c r="G263">
        <v>1</v>
      </c>
      <c r="H263">
        <f t="shared" si="4"/>
        <v>48.81</v>
      </c>
    </row>
    <row r="264" spans="1:8" x14ac:dyDescent="0.3">
      <c r="A264" t="str">
        <f>VLOOKUP(B264,Table3[[#Headers],[#Data]],3,FALSE)</f>
        <v>Outdoor</v>
      </c>
      <c r="B264" t="s">
        <v>322</v>
      </c>
      <c r="C264">
        <f>VLOOKUP(B264,Table3[[#Headers],[#Data]],4, FALSE)</f>
        <v>48.81</v>
      </c>
      <c r="D264" t="str">
        <f>VLOOKUP('Rough data'!B264,Table3[[#Headers],[#Data]],2,FALSE)</f>
        <v>Garden Light Sun Powered No Recharge</v>
      </c>
      <c r="E264" t="str">
        <f>VLOOKUP(B264,Table3[[#Headers],[#Data]],5,FALSE)</f>
        <v>SELL0048</v>
      </c>
      <c r="F264" t="str">
        <f>VLOOKUP(E264,Table2[[#Headers],[#Data],[seller_id]:[seller_user]],2,FALSE)</f>
        <v>jy9binq4v9</v>
      </c>
      <c r="G264">
        <v>1</v>
      </c>
      <c r="H264">
        <f t="shared" si="4"/>
        <v>48.81</v>
      </c>
    </row>
    <row r="265" spans="1:8" x14ac:dyDescent="0.3">
      <c r="A265" t="str">
        <f>VLOOKUP(B265,Table3[[#Headers],[#Data]],3,FALSE)</f>
        <v>Toys</v>
      </c>
      <c r="B265" t="s">
        <v>324</v>
      </c>
      <c r="C265">
        <f>VLOOKUP(B265,Table3[[#Headers],[#Data]],4, FALSE)</f>
        <v>20.309999999999999</v>
      </c>
      <c r="D265" t="str">
        <f>VLOOKUP('Rough data'!B265,Table3[[#Headers],[#Data]],2,FALSE)</f>
        <v>Rainbow Kite - Light-Up</v>
      </c>
      <c r="E265" t="str">
        <f>VLOOKUP(B265,Table3[[#Headers],[#Data]],5,FALSE)</f>
        <v>SELL0049</v>
      </c>
      <c r="F265" t="str">
        <f>VLOOKUP(E265,Table2[[#Headers],[#Data],[seller_id]:[seller_user]],2,FALSE)</f>
        <v>beautifullife472</v>
      </c>
      <c r="G265">
        <v>2</v>
      </c>
      <c r="H265">
        <f t="shared" si="4"/>
        <v>40.619999999999997</v>
      </c>
    </row>
    <row r="266" spans="1:8" x14ac:dyDescent="0.3">
      <c r="A266" t="str">
        <f>VLOOKUP(B266,Table3[[#Headers],[#Data]],3,FALSE)</f>
        <v>Toys</v>
      </c>
      <c r="B266" t="s">
        <v>324</v>
      </c>
      <c r="C266">
        <f>VLOOKUP(B266,Table3[[#Headers],[#Data]],4, FALSE)</f>
        <v>20.309999999999999</v>
      </c>
      <c r="D266" t="str">
        <f>VLOOKUP('Rough data'!B266,Table3[[#Headers],[#Data]],2,FALSE)</f>
        <v>Rainbow Kite - Light-Up</v>
      </c>
      <c r="E266" t="str">
        <f>VLOOKUP(B266,Table3[[#Headers],[#Data]],5,FALSE)</f>
        <v>SELL0049</v>
      </c>
      <c r="F266" t="str">
        <f>VLOOKUP(E266,Table2[[#Headers],[#Data],[seller_id]:[seller_user]],2,FALSE)</f>
        <v>beautifullife472</v>
      </c>
      <c r="G266">
        <v>1</v>
      </c>
      <c r="H266">
        <f t="shared" si="4"/>
        <v>20.309999999999999</v>
      </c>
    </row>
    <row r="267" spans="1:8" x14ac:dyDescent="0.3">
      <c r="A267" t="str">
        <f>VLOOKUP(B267,Table3[[#Headers],[#Data]],3,FALSE)</f>
        <v>Toys</v>
      </c>
      <c r="B267" t="s">
        <v>324</v>
      </c>
      <c r="C267">
        <f>VLOOKUP(B267,Table3[[#Headers],[#Data]],4, FALSE)</f>
        <v>20.309999999999999</v>
      </c>
      <c r="D267" t="str">
        <f>VLOOKUP('Rough data'!B267,Table3[[#Headers],[#Data]],2,FALSE)</f>
        <v>Rainbow Kite - Light-Up</v>
      </c>
      <c r="E267" t="str">
        <f>VLOOKUP(B267,Table3[[#Headers],[#Data]],5,FALSE)</f>
        <v>SELL0049</v>
      </c>
      <c r="F267" t="str">
        <f>VLOOKUP(E267,Table2[[#Headers],[#Data],[seller_id]:[seller_user]],2,FALSE)</f>
        <v>beautifullife472</v>
      </c>
      <c r="G267">
        <v>1</v>
      </c>
      <c r="H267">
        <f t="shared" si="4"/>
        <v>20.309999999999999</v>
      </c>
    </row>
    <row r="268" spans="1:8" x14ac:dyDescent="0.3">
      <c r="A268" t="str">
        <f>VLOOKUP(B268,Table3[[#Headers],[#Data]],3,FALSE)</f>
        <v>Stationery</v>
      </c>
      <c r="B268" t="s">
        <v>327</v>
      </c>
      <c r="C268">
        <f>VLOOKUP(B268,Table3[[#Headers],[#Data]],4, FALSE)</f>
        <v>7.57</v>
      </c>
      <c r="D268" t="str">
        <f>VLOOKUP('Rough data'!B268,Table3[[#Headers],[#Data]],2,FALSE)</f>
        <v>Whiteoard Markers - 3 pack</v>
      </c>
      <c r="E268" t="str">
        <f>VLOOKUP(B268,Table3[[#Headers],[#Data]],5,FALSE)</f>
        <v>SELL0049</v>
      </c>
      <c r="F268" t="str">
        <f>VLOOKUP(E268,Table2[[#Headers],[#Data],[seller_id]:[seller_user]],2,FALSE)</f>
        <v>beautifullife472</v>
      </c>
      <c r="G268">
        <v>1</v>
      </c>
      <c r="H268">
        <f t="shared" si="4"/>
        <v>7.57</v>
      </c>
    </row>
    <row r="269" spans="1:8" x14ac:dyDescent="0.3">
      <c r="A269" t="str">
        <f>VLOOKUP(B269,Table3[[#Headers],[#Data]],3,FALSE)</f>
        <v>Stationery</v>
      </c>
      <c r="B269" t="s">
        <v>327</v>
      </c>
      <c r="C269">
        <f>VLOOKUP(B269,Table3[[#Headers],[#Data]],4, FALSE)</f>
        <v>7.57</v>
      </c>
      <c r="D269" t="str">
        <f>VLOOKUP('Rough data'!B269,Table3[[#Headers],[#Data]],2,FALSE)</f>
        <v>Whiteoard Markers - 3 pack</v>
      </c>
      <c r="E269" t="str">
        <f>VLOOKUP(B269,Table3[[#Headers],[#Data]],5,FALSE)</f>
        <v>SELL0049</v>
      </c>
      <c r="F269" t="str">
        <f>VLOOKUP(E269,Table2[[#Headers],[#Data],[seller_id]:[seller_user]],2,FALSE)</f>
        <v>beautifullife472</v>
      </c>
      <c r="G269">
        <v>1</v>
      </c>
      <c r="H269">
        <f t="shared" si="4"/>
        <v>7.57</v>
      </c>
    </row>
    <row r="270" spans="1:8" x14ac:dyDescent="0.3">
      <c r="A270" t="str">
        <f>VLOOKUP(B270,Table3[[#Headers],[#Data]],3,FALSE)</f>
        <v>Stationery</v>
      </c>
      <c r="B270" t="s">
        <v>327</v>
      </c>
      <c r="C270">
        <f>VLOOKUP(B270,Table3[[#Headers],[#Data]],4, FALSE)</f>
        <v>7.57</v>
      </c>
      <c r="D270" t="str">
        <f>VLOOKUP('Rough data'!B270,Table3[[#Headers],[#Data]],2,FALSE)</f>
        <v>Whiteoard Markers - 3 pack</v>
      </c>
      <c r="E270" t="str">
        <f>VLOOKUP(B270,Table3[[#Headers],[#Data]],5,FALSE)</f>
        <v>SELL0049</v>
      </c>
      <c r="F270" t="str">
        <f>VLOOKUP(E270,Table2[[#Headers],[#Data],[seller_id]:[seller_user]],2,FALSE)</f>
        <v>beautifullife472</v>
      </c>
      <c r="G270">
        <v>1</v>
      </c>
      <c r="H270">
        <f t="shared" si="4"/>
        <v>7.57</v>
      </c>
    </row>
    <row r="271" spans="1:8" x14ac:dyDescent="0.3">
      <c r="A271" t="str">
        <f>VLOOKUP(B271,Table3[[#Headers],[#Data]],3,FALSE)</f>
        <v>Stationery</v>
      </c>
      <c r="B271" t="s">
        <v>329</v>
      </c>
      <c r="C271">
        <f>VLOOKUP(B271,Table3[[#Headers],[#Data]],4, FALSE)</f>
        <v>8.36</v>
      </c>
      <c r="D271" t="str">
        <f>VLOOKUP('Rough data'!B271,Table3[[#Headers],[#Data]],2,FALSE)</f>
        <v>Premium Pencil Case (Glitter)</v>
      </c>
      <c r="E271" t="str">
        <f>VLOOKUP(B271,Table3[[#Headers],[#Data]],5,FALSE)</f>
        <v>SELL0049</v>
      </c>
      <c r="F271" t="str">
        <f>VLOOKUP(E271,Table2[[#Headers],[#Data],[seller_id]:[seller_user]],2,FALSE)</f>
        <v>beautifullife472</v>
      </c>
      <c r="G271">
        <v>1</v>
      </c>
      <c r="H271">
        <f t="shared" si="4"/>
        <v>8.36</v>
      </c>
    </row>
    <row r="272" spans="1:8" x14ac:dyDescent="0.3">
      <c r="A272" t="str">
        <f>VLOOKUP(B272,Table3[[#Headers],[#Data]],3,FALSE)</f>
        <v>Electronics</v>
      </c>
      <c r="B272" t="s">
        <v>333</v>
      </c>
      <c r="C272">
        <f>VLOOKUP(B272,Table3[[#Headers],[#Data]],4, FALSE)</f>
        <v>81.81</v>
      </c>
      <c r="D272" t="str">
        <f>VLOOKUP('Rough data'!B272,Table3[[#Headers],[#Data]],2,FALSE)</f>
        <v>Wireless Bluetooth Earbuds</v>
      </c>
      <c r="E272" t="str">
        <f>VLOOKUP(B272,Table3[[#Headers],[#Data]],5,FALSE)</f>
        <v>SELL0049</v>
      </c>
      <c r="F272" t="str">
        <f>VLOOKUP(E272,Table2[[#Headers],[#Data],[seller_id]:[seller_user]],2,FALSE)</f>
        <v>beautifullife472</v>
      </c>
      <c r="G272">
        <v>1</v>
      </c>
      <c r="H272">
        <f t="shared" si="4"/>
        <v>81.81</v>
      </c>
    </row>
    <row r="273" spans="1:8" x14ac:dyDescent="0.3">
      <c r="A273" t="str">
        <f>VLOOKUP(B273,Table3[[#Headers],[#Data]],3,FALSE)</f>
        <v>Electronics</v>
      </c>
      <c r="B273" t="s">
        <v>333</v>
      </c>
      <c r="C273">
        <f>VLOOKUP(B273,Table3[[#Headers],[#Data]],4, FALSE)</f>
        <v>81.81</v>
      </c>
      <c r="D273" t="str">
        <f>VLOOKUP('Rough data'!B273,Table3[[#Headers],[#Data]],2,FALSE)</f>
        <v>Wireless Bluetooth Earbuds</v>
      </c>
      <c r="E273" t="str">
        <f>VLOOKUP(B273,Table3[[#Headers],[#Data]],5,FALSE)</f>
        <v>SELL0049</v>
      </c>
      <c r="F273" t="str">
        <f>VLOOKUP(E273,Table2[[#Headers],[#Data],[seller_id]:[seller_user]],2,FALSE)</f>
        <v>beautifullife472</v>
      </c>
      <c r="G273">
        <v>1</v>
      </c>
      <c r="H273">
        <f t="shared" si="4"/>
        <v>81.81</v>
      </c>
    </row>
    <row r="274" spans="1:8" x14ac:dyDescent="0.3">
      <c r="A274" t="str">
        <f>VLOOKUP(B274,Table3[[#Headers],[#Data]],3,FALSE)</f>
        <v>Electronics</v>
      </c>
      <c r="B274" t="s">
        <v>338</v>
      </c>
      <c r="C274">
        <f>VLOOKUP(B274,Table3[[#Headers],[#Data]],4, FALSE)</f>
        <v>62.17</v>
      </c>
      <c r="D274" t="str">
        <f>VLOOKUP('Rough data'!B274,Table3[[#Headers],[#Data]],2,FALSE)</f>
        <v>Bluetooth Speaker - Portable</v>
      </c>
      <c r="E274" t="str">
        <f>VLOOKUP(B274,Table3[[#Headers],[#Data]],5,FALSE)</f>
        <v>SELL0051</v>
      </c>
      <c r="F274" t="str">
        <f>VLOOKUP(E274,Table2[[#Headers],[#Data],[seller_id]:[seller_user]],2,FALSE)</f>
        <v>healthway</v>
      </c>
      <c r="G274">
        <v>1</v>
      </c>
      <c r="H274">
        <f t="shared" si="4"/>
        <v>62.17</v>
      </c>
    </row>
    <row r="275" spans="1:8" x14ac:dyDescent="0.3">
      <c r="A275" t="str">
        <f>VLOOKUP(B275,Table3[[#Headers],[#Data]],3,FALSE)</f>
        <v>Health</v>
      </c>
      <c r="B275" t="s">
        <v>341</v>
      </c>
      <c r="C275">
        <f>VLOOKUP(B275,Table3[[#Headers],[#Data]],4, FALSE)</f>
        <v>49.21</v>
      </c>
      <c r="D275" t="str">
        <f>VLOOKUP('Rough data'!B275,Table3[[#Headers],[#Data]],2,FALSE)</f>
        <v>Foam Roller - Firm Blue Large</v>
      </c>
      <c r="E275" t="str">
        <f>VLOOKUP(B275,Table3[[#Headers],[#Data]],5,FALSE)</f>
        <v>SELL0051</v>
      </c>
      <c r="F275" t="str">
        <f>VLOOKUP(E275,Table2[[#Headers],[#Data],[seller_id]:[seller_user]],2,FALSE)</f>
        <v>healthway</v>
      </c>
      <c r="G275">
        <v>1</v>
      </c>
      <c r="H275">
        <f t="shared" si="4"/>
        <v>49.21</v>
      </c>
    </row>
    <row r="276" spans="1:8" x14ac:dyDescent="0.3">
      <c r="A276" t="str">
        <f>VLOOKUP(B276,Table3[[#Headers],[#Data]],3,FALSE)</f>
        <v>Health</v>
      </c>
      <c r="B276" t="s">
        <v>341</v>
      </c>
      <c r="C276">
        <f>VLOOKUP(B276,Table3[[#Headers],[#Data]],4, FALSE)</f>
        <v>49.21</v>
      </c>
      <c r="D276" t="str">
        <f>VLOOKUP('Rough data'!B276,Table3[[#Headers],[#Data]],2,FALSE)</f>
        <v>Foam Roller - Firm Blue Large</v>
      </c>
      <c r="E276" t="str">
        <f>VLOOKUP(B276,Table3[[#Headers],[#Data]],5,FALSE)</f>
        <v>SELL0051</v>
      </c>
      <c r="F276" t="str">
        <f>VLOOKUP(E276,Table2[[#Headers],[#Data],[seller_id]:[seller_user]],2,FALSE)</f>
        <v>healthway</v>
      </c>
      <c r="G276">
        <v>1</v>
      </c>
      <c r="H276">
        <f t="shared" si="4"/>
        <v>49.21</v>
      </c>
    </row>
    <row r="277" spans="1:8" x14ac:dyDescent="0.3">
      <c r="A277" t="str">
        <f>VLOOKUP(B277,Table3[[#Headers],[#Data]],3,FALSE)</f>
        <v>Outdoor</v>
      </c>
      <c r="B277" t="s">
        <v>351</v>
      </c>
      <c r="C277">
        <f>VLOOKUP(B277,Table3[[#Headers],[#Data]],4, FALSE)</f>
        <v>88.21</v>
      </c>
      <c r="D277" t="str">
        <f>VLOOKUP('Rough data'!B277,Table3[[#Headers],[#Data]],2,FALSE)</f>
        <v>Portable Mini Grill Gas Fire</v>
      </c>
      <c r="E277" t="str">
        <f>VLOOKUP(B277,Table3[[#Headers],[#Data]],5,FALSE)</f>
        <v>SELL0053</v>
      </c>
      <c r="F277" t="str">
        <f>VLOOKUP(E277,Table2[[#Headers],[#Data],[seller_id]:[seller_user]],2,FALSE)</f>
        <v>homedeliver</v>
      </c>
      <c r="G277">
        <v>1</v>
      </c>
      <c r="H277">
        <f t="shared" si="4"/>
        <v>88.21</v>
      </c>
    </row>
    <row r="278" spans="1:8" x14ac:dyDescent="0.3">
      <c r="A278" t="str">
        <f>VLOOKUP(B278,Table3[[#Headers],[#Data]],3,FALSE)</f>
        <v>Outdoor</v>
      </c>
      <c r="B278" t="s">
        <v>351</v>
      </c>
      <c r="C278">
        <f>VLOOKUP(B278,Table3[[#Headers],[#Data]],4, FALSE)</f>
        <v>88.21</v>
      </c>
      <c r="D278" t="str">
        <f>VLOOKUP('Rough data'!B278,Table3[[#Headers],[#Data]],2,FALSE)</f>
        <v>Portable Mini Grill Gas Fire</v>
      </c>
      <c r="E278" t="str">
        <f>VLOOKUP(B278,Table3[[#Headers],[#Data]],5,FALSE)</f>
        <v>SELL0053</v>
      </c>
      <c r="F278" t="str">
        <f>VLOOKUP(E278,Table2[[#Headers],[#Data],[seller_id]:[seller_user]],2,FALSE)</f>
        <v>homedeliver</v>
      </c>
      <c r="G278">
        <v>1</v>
      </c>
      <c r="H278">
        <f t="shared" si="4"/>
        <v>88.21</v>
      </c>
    </row>
    <row r="279" spans="1:8" x14ac:dyDescent="0.3">
      <c r="A279" t="str">
        <f>VLOOKUP(B279,Table3[[#Headers],[#Data]],3,FALSE)</f>
        <v>Outdoor</v>
      </c>
      <c r="B279" t="s">
        <v>351</v>
      </c>
      <c r="C279">
        <f>VLOOKUP(B279,Table3[[#Headers],[#Data]],4, FALSE)</f>
        <v>88.21</v>
      </c>
      <c r="D279" t="str">
        <f>VLOOKUP('Rough data'!B279,Table3[[#Headers],[#Data]],2,FALSE)</f>
        <v>Portable Mini Grill Gas Fire</v>
      </c>
      <c r="E279" t="str">
        <f>VLOOKUP(B279,Table3[[#Headers],[#Data]],5,FALSE)</f>
        <v>SELL0053</v>
      </c>
      <c r="F279" t="str">
        <f>VLOOKUP(E279,Table2[[#Headers],[#Data],[seller_id]:[seller_user]],2,FALSE)</f>
        <v>homedeliver</v>
      </c>
      <c r="G279">
        <v>1</v>
      </c>
      <c r="H279">
        <f t="shared" si="4"/>
        <v>88.21</v>
      </c>
    </row>
    <row r="280" spans="1:8" x14ac:dyDescent="0.3">
      <c r="A280" t="str">
        <f>VLOOKUP(B280,Table3[[#Headers],[#Data]],3,FALSE)</f>
        <v>Jewellery</v>
      </c>
      <c r="B280" t="s">
        <v>353</v>
      </c>
      <c r="C280">
        <f>VLOOKUP(B280,Table3[[#Headers],[#Data]],4, FALSE)</f>
        <v>35.020000000000003</v>
      </c>
      <c r="D280" t="str">
        <f>VLOOKUP('Rough data'!B280,Table3[[#Headers],[#Data]],2,FALSE)</f>
        <v>Jewellery Box Birch</v>
      </c>
      <c r="E280" t="str">
        <f>VLOOKUP(B280,Table3[[#Headers],[#Data]],5,FALSE)</f>
        <v>SELL0053</v>
      </c>
      <c r="F280" t="str">
        <f>VLOOKUP(E280,Table2[[#Headers],[#Data],[seller_id]:[seller_user]],2,FALSE)</f>
        <v>homedeliver</v>
      </c>
      <c r="G280">
        <v>1</v>
      </c>
      <c r="H280">
        <f t="shared" si="4"/>
        <v>35.020000000000003</v>
      </c>
    </row>
    <row r="281" spans="1:8" x14ac:dyDescent="0.3">
      <c r="A281" t="str">
        <f>VLOOKUP(B281,Table3[[#Headers],[#Data]],3,FALSE)</f>
        <v>Gift_Sets</v>
      </c>
      <c r="B281" t="s">
        <v>355</v>
      </c>
      <c r="C281">
        <f>VLOOKUP(B281,Table3[[#Headers],[#Data]],4, FALSE)</f>
        <v>14.62</v>
      </c>
      <c r="D281" t="str">
        <f>VLOOKUP('Rough data'!B281,Table3[[#Headers],[#Data]],2,FALSE)</f>
        <v>Tea Lovers Hamper Vegemite Edition</v>
      </c>
      <c r="E281" t="str">
        <f>VLOOKUP(B281,Table3[[#Headers],[#Data]],5,FALSE)</f>
        <v>SELL0053</v>
      </c>
      <c r="F281" t="str">
        <f>VLOOKUP(E281,Table2[[#Headers],[#Data],[seller_id]:[seller_user]],2,FALSE)</f>
        <v>homedeliver</v>
      </c>
      <c r="G281">
        <v>1</v>
      </c>
      <c r="H281">
        <f t="shared" si="4"/>
        <v>14.62</v>
      </c>
    </row>
    <row r="282" spans="1:8" x14ac:dyDescent="0.3">
      <c r="A282" t="str">
        <f>VLOOKUP(B282,Table3[[#Headers],[#Data]],3,FALSE)</f>
        <v>Toys</v>
      </c>
      <c r="B282" t="s">
        <v>360</v>
      </c>
      <c r="C282">
        <f>VLOOKUP(B282,Table3[[#Headers],[#Data]],4, FALSE)</f>
        <v>24.94</v>
      </c>
      <c r="D282" t="str">
        <f>VLOOKUP('Rough data'!B282,Table3[[#Headers],[#Data]],2,FALSE)</f>
        <v>Kite Blue</v>
      </c>
      <c r="E282" t="str">
        <f>VLOOKUP(B282,Table3[[#Headers],[#Data]],5,FALSE)</f>
        <v>SELL0021</v>
      </c>
      <c r="F282" t="str">
        <f>VLOOKUP(E282,Table2[[#Headers],[#Data],[seller_id]:[seller_user]],2,FALSE)</f>
        <v>stuff-on-sale</v>
      </c>
      <c r="G282">
        <v>1</v>
      </c>
      <c r="H282">
        <f t="shared" si="4"/>
        <v>24.94</v>
      </c>
    </row>
    <row r="283" spans="1:8" x14ac:dyDescent="0.3">
      <c r="A283" t="str">
        <f>VLOOKUP(B283,Table3[[#Headers],[#Data]],3,FALSE)</f>
        <v>Clothes</v>
      </c>
      <c r="B283" t="s">
        <v>361</v>
      </c>
      <c r="C283">
        <f>VLOOKUP(B283,Table3[[#Headers],[#Data]],4, FALSE)</f>
        <v>42.11</v>
      </c>
      <c r="D283" t="str">
        <f>VLOOKUP('Rough data'!B283,Table3[[#Headers],[#Data]],2,FALSE)</f>
        <v>Women’s Active Leggings L</v>
      </c>
      <c r="E283" t="str">
        <f>VLOOKUP(B283,Table3[[#Headers],[#Data]],5,FALSE)</f>
        <v>SELL0054</v>
      </c>
      <c r="F283" t="str">
        <f>VLOOKUP(E283,Table2[[#Headers],[#Data],[seller_id]:[seller_user]],2,FALSE)</f>
        <v>b8iv8o4c65</v>
      </c>
      <c r="G283">
        <v>1</v>
      </c>
      <c r="H283">
        <f t="shared" si="4"/>
        <v>42.11</v>
      </c>
    </row>
    <row r="284" spans="1:8" x14ac:dyDescent="0.3">
      <c r="A284" t="str">
        <f>VLOOKUP(B284,Table3[[#Headers],[#Data]],3,FALSE)</f>
        <v>Clothes</v>
      </c>
      <c r="B284" t="s">
        <v>361</v>
      </c>
      <c r="C284">
        <f>VLOOKUP(B284,Table3[[#Headers],[#Data]],4, FALSE)</f>
        <v>42.11</v>
      </c>
      <c r="D284" t="str">
        <f>VLOOKUP('Rough data'!B284,Table3[[#Headers],[#Data]],2,FALSE)</f>
        <v>Women’s Active Leggings L</v>
      </c>
      <c r="E284" t="str">
        <f>VLOOKUP(B284,Table3[[#Headers],[#Data]],5,FALSE)</f>
        <v>SELL0054</v>
      </c>
      <c r="F284" t="str">
        <f>VLOOKUP(E284,Table2[[#Headers],[#Data],[seller_id]:[seller_user]],2,FALSE)</f>
        <v>b8iv8o4c65</v>
      </c>
      <c r="G284">
        <v>1</v>
      </c>
      <c r="H284">
        <f t="shared" si="4"/>
        <v>42.11</v>
      </c>
    </row>
    <row r="285" spans="1:8" x14ac:dyDescent="0.3">
      <c r="A285" t="str">
        <f>VLOOKUP(B285,Table3[[#Headers],[#Data]],3,FALSE)</f>
        <v>Health</v>
      </c>
      <c r="B285" t="s">
        <v>363</v>
      </c>
      <c r="C285">
        <f>VLOOKUP(B285,Table3[[#Headers],[#Data]],4, FALSE)</f>
        <v>48.8</v>
      </c>
      <c r="D285" t="str">
        <f>VLOOKUP('Rough data'!B285,Table3[[#Headers],[#Data]],2,FALSE)</f>
        <v>Digital Thermometer Battery Powered</v>
      </c>
      <c r="E285" t="str">
        <f>VLOOKUP(B285,Table3[[#Headers],[#Data]],5,FALSE)</f>
        <v>SELL0054</v>
      </c>
      <c r="F285" t="str">
        <f>VLOOKUP(E285,Table2[[#Headers],[#Data],[seller_id]:[seller_user]],2,FALSE)</f>
        <v>b8iv8o4c65</v>
      </c>
      <c r="G285">
        <v>1</v>
      </c>
      <c r="H285">
        <f t="shared" si="4"/>
        <v>48.8</v>
      </c>
    </row>
    <row r="286" spans="1:8" x14ac:dyDescent="0.3">
      <c r="A286" t="str">
        <f>VLOOKUP(B286,Table3[[#Headers],[#Data]],3,FALSE)</f>
        <v>Beauty</v>
      </c>
      <c r="B286" t="s">
        <v>365</v>
      </c>
      <c r="C286">
        <f>VLOOKUP(B286,Table3[[#Headers],[#Data]],4, FALSE)</f>
        <v>23.68</v>
      </c>
      <c r="D286" t="str">
        <f>VLOOKUP('Rough data'!B286,Table3[[#Headers],[#Data]],2,FALSE)</f>
        <v>Pendant Necklace Silver</v>
      </c>
      <c r="E286" t="str">
        <f>VLOOKUP(B286,Table3[[#Headers],[#Data]],5,FALSE)</f>
        <v>SELL0055</v>
      </c>
      <c r="F286" t="str">
        <f>VLOOKUP(E286,Table2[[#Headers],[#Data],[seller_id]:[seller_user]],2,FALSE)</f>
        <v>hill25doors</v>
      </c>
      <c r="G286">
        <v>1</v>
      </c>
      <c r="H286">
        <f t="shared" si="4"/>
        <v>23.68</v>
      </c>
    </row>
    <row r="287" spans="1:8" x14ac:dyDescent="0.3">
      <c r="A287" t="str">
        <f>VLOOKUP(B287,Table3[[#Headers],[#Data]],3,FALSE)</f>
        <v>Toys</v>
      </c>
      <c r="B287" t="s">
        <v>368</v>
      </c>
      <c r="C287">
        <f>VLOOKUP(B287,Table3[[#Headers],[#Data]],4, FALSE)</f>
        <v>16.22</v>
      </c>
      <c r="D287" t="str">
        <f>VLOOKUP('Rough data'!B287,Table3[[#Headers],[#Data]],2,FALSE)</f>
        <v>Kids Paint Kit</v>
      </c>
      <c r="E287" t="str">
        <f>VLOOKUP(B287,Table3[[#Headers],[#Data]],5,FALSE)</f>
        <v>SELL0055</v>
      </c>
      <c r="F287" t="str">
        <f>VLOOKUP(E287,Table2[[#Headers],[#Data],[seller_id]:[seller_user]],2,FALSE)</f>
        <v>hill25doors</v>
      </c>
      <c r="G287">
        <v>1</v>
      </c>
      <c r="H287">
        <f t="shared" si="4"/>
        <v>16.22</v>
      </c>
    </row>
    <row r="288" spans="1:8" x14ac:dyDescent="0.3">
      <c r="A288" t="str">
        <f>VLOOKUP(B288,Table3[[#Headers],[#Data]],3,FALSE)</f>
        <v>Toys</v>
      </c>
      <c r="B288" t="s">
        <v>368</v>
      </c>
      <c r="C288">
        <f>VLOOKUP(B288,Table3[[#Headers],[#Data]],4, FALSE)</f>
        <v>16.22</v>
      </c>
      <c r="D288" t="str">
        <f>VLOOKUP('Rough data'!B288,Table3[[#Headers],[#Data]],2,FALSE)</f>
        <v>Kids Paint Kit</v>
      </c>
      <c r="E288" t="str">
        <f>VLOOKUP(B288,Table3[[#Headers],[#Data]],5,FALSE)</f>
        <v>SELL0055</v>
      </c>
      <c r="F288" t="str">
        <f>VLOOKUP(E288,Table2[[#Headers],[#Data],[seller_id]:[seller_user]],2,FALSE)</f>
        <v>hill25doors</v>
      </c>
      <c r="G288">
        <v>1</v>
      </c>
      <c r="H288">
        <f t="shared" si="4"/>
        <v>16.22</v>
      </c>
    </row>
    <row r="289" spans="1:8" x14ac:dyDescent="0.3">
      <c r="A289" t="str">
        <f>VLOOKUP(B289,Table3[[#Headers],[#Data]],3,FALSE)</f>
        <v>Clothes</v>
      </c>
      <c r="B289" t="s">
        <v>370</v>
      </c>
      <c r="C289">
        <f>VLOOKUP(B289,Table3[[#Headers],[#Data]],4, FALSE)</f>
        <v>37.99</v>
      </c>
      <c r="D289" t="str">
        <f>VLOOKUP('Rough data'!B289,Table3[[#Headers],[#Data]],2,FALSE)</f>
        <v>Cotton T‑Shirt Black M</v>
      </c>
      <c r="E289" t="str">
        <f>VLOOKUP(B289,Table3[[#Headers],[#Data]],5,FALSE)</f>
        <v>SELL0056</v>
      </c>
      <c r="F289" t="str">
        <f>VLOOKUP(E289,Table2[[#Headers],[#Data],[seller_id]:[seller_user]],2,FALSE)</f>
        <v>feelgood_attire</v>
      </c>
      <c r="G289">
        <v>1</v>
      </c>
      <c r="H289">
        <f t="shared" si="4"/>
        <v>37.99</v>
      </c>
    </row>
    <row r="290" spans="1:8" x14ac:dyDescent="0.3">
      <c r="A290" t="str">
        <f>VLOOKUP(B290,Table3[[#Headers],[#Data]],3,FALSE)</f>
        <v>Clothes</v>
      </c>
      <c r="B290" t="s">
        <v>370</v>
      </c>
      <c r="C290">
        <f>VLOOKUP(B290,Table3[[#Headers],[#Data]],4, FALSE)</f>
        <v>37.99</v>
      </c>
      <c r="D290" t="str">
        <f>VLOOKUP('Rough data'!B290,Table3[[#Headers],[#Data]],2,FALSE)</f>
        <v>Cotton T‑Shirt Black M</v>
      </c>
      <c r="E290" t="str">
        <f>VLOOKUP(B290,Table3[[#Headers],[#Data]],5,FALSE)</f>
        <v>SELL0056</v>
      </c>
      <c r="F290" t="str">
        <f>VLOOKUP(E290,Table2[[#Headers],[#Data],[seller_id]:[seller_user]],2,FALSE)</f>
        <v>feelgood_attire</v>
      </c>
      <c r="G290">
        <v>1</v>
      </c>
      <c r="H290">
        <f t="shared" si="4"/>
        <v>37.99</v>
      </c>
    </row>
    <row r="291" spans="1:8" x14ac:dyDescent="0.3">
      <c r="A291" t="str">
        <f>VLOOKUP(B291,Table3[[#Headers],[#Data]],3,FALSE)</f>
        <v>Beauty</v>
      </c>
      <c r="B291" t="s">
        <v>373</v>
      </c>
      <c r="C291">
        <f>VLOOKUP(B291,Table3[[#Headers],[#Data]],4, FALSE)</f>
        <v>16.149999999999999</v>
      </c>
      <c r="D291" t="str">
        <f>VLOOKUP('Rough data'!B291,Table3[[#Headers],[#Data]],2,FALSE)</f>
        <v>Organic Lip Balm - Mint</v>
      </c>
      <c r="E291" t="str">
        <f>VLOOKUP(B291,Table3[[#Headers],[#Data]],5,FALSE)</f>
        <v>SELL0057</v>
      </c>
      <c r="F291" t="str">
        <f>VLOOKUP(E291,Table2[[#Headers],[#Data],[seller_id]:[seller_user]],2,FALSE)</f>
        <v>buildmydream</v>
      </c>
      <c r="G291">
        <v>2</v>
      </c>
      <c r="H291">
        <f t="shared" si="4"/>
        <v>32.299999999999997</v>
      </c>
    </row>
    <row r="292" spans="1:8" x14ac:dyDescent="0.3">
      <c r="A292" t="str">
        <f>VLOOKUP(B292,Table3[[#Headers],[#Data]],3,FALSE)</f>
        <v>Electronics</v>
      </c>
      <c r="B292" t="s">
        <v>376</v>
      </c>
      <c r="C292">
        <f>VLOOKUP(B292,Table3[[#Headers],[#Data]],4, FALSE)</f>
        <v>88.29</v>
      </c>
      <c r="D292" t="str">
        <f>VLOOKUP('Rough data'!B292,Table3[[#Headers],[#Data]],2,FALSE)</f>
        <v>LED Light Bulb Reusable</v>
      </c>
      <c r="E292" t="str">
        <f>VLOOKUP(B292,Table3[[#Headers],[#Data]],5,FALSE)</f>
        <v>SELL0057</v>
      </c>
      <c r="F292" t="str">
        <f>VLOOKUP(E292,Table2[[#Headers],[#Data],[seller_id]:[seller_user]],2,FALSE)</f>
        <v>buildmydream</v>
      </c>
      <c r="G292">
        <v>1</v>
      </c>
      <c r="H292">
        <f t="shared" si="4"/>
        <v>88.29</v>
      </c>
    </row>
    <row r="293" spans="1:8" x14ac:dyDescent="0.3">
      <c r="A293" t="str">
        <f>VLOOKUP(B293,Table3[[#Headers],[#Data]],3,FALSE)</f>
        <v>Electronics</v>
      </c>
      <c r="B293" t="s">
        <v>376</v>
      </c>
      <c r="C293">
        <f>VLOOKUP(B293,Table3[[#Headers],[#Data]],4, FALSE)</f>
        <v>88.29</v>
      </c>
      <c r="D293" t="str">
        <f>VLOOKUP('Rough data'!B293,Table3[[#Headers],[#Data]],2,FALSE)</f>
        <v>LED Light Bulb Reusable</v>
      </c>
      <c r="E293" t="str">
        <f>VLOOKUP(B293,Table3[[#Headers],[#Data]],5,FALSE)</f>
        <v>SELL0057</v>
      </c>
      <c r="F293" t="str">
        <f>VLOOKUP(E293,Table2[[#Headers],[#Data],[seller_id]:[seller_user]],2,FALSE)</f>
        <v>buildmydream</v>
      </c>
      <c r="G293">
        <v>1</v>
      </c>
      <c r="H293">
        <f t="shared" si="4"/>
        <v>88.29</v>
      </c>
    </row>
    <row r="294" spans="1:8" x14ac:dyDescent="0.3">
      <c r="A294" t="str">
        <f>VLOOKUP(B294,Table3[[#Headers],[#Data]],3,FALSE)</f>
        <v>Electronics</v>
      </c>
      <c r="B294" t="s">
        <v>376</v>
      </c>
      <c r="C294">
        <f>VLOOKUP(B294,Table3[[#Headers],[#Data]],4, FALSE)</f>
        <v>88.29</v>
      </c>
      <c r="D294" t="str">
        <f>VLOOKUP('Rough data'!B294,Table3[[#Headers],[#Data]],2,FALSE)</f>
        <v>LED Light Bulb Reusable</v>
      </c>
      <c r="E294" t="str">
        <f>VLOOKUP(B294,Table3[[#Headers],[#Data]],5,FALSE)</f>
        <v>SELL0057</v>
      </c>
      <c r="F294" t="str">
        <f>VLOOKUP(E294,Table2[[#Headers],[#Data],[seller_id]:[seller_user]],2,FALSE)</f>
        <v>buildmydream</v>
      </c>
      <c r="G294">
        <v>1</v>
      </c>
      <c r="H294">
        <f t="shared" si="4"/>
        <v>88.29</v>
      </c>
    </row>
    <row r="295" spans="1:8" x14ac:dyDescent="0.3">
      <c r="A295" t="str">
        <f>VLOOKUP(B295,Table3[[#Headers],[#Data]],3,FALSE)</f>
        <v>Electronics</v>
      </c>
      <c r="B295" t="s">
        <v>376</v>
      </c>
      <c r="C295">
        <f>VLOOKUP(B295,Table3[[#Headers],[#Data]],4, FALSE)</f>
        <v>88.29</v>
      </c>
      <c r="D295" t="str">
        <f>VLOOKUP('Rough data'!B295,Table3[[#Headers],[#Data]],2,FALSE)</f>
        <v>LED Light Bulb Reusable</v>
      </c>
      <c r="E295" t="str">
        <f>VLOOKUP(B295,Table3[[#Headers],[#Data]],5,FALSE)</f>
        <v>SELL0057</v>
      </c>
      <c r="F295" t="str">
        <f>VLOOKUP(E295,Table2[[#Headers],[#Data],[seller_id]:[seller_user]],2,FALSE)</f>
        <v>buildmydream</v>
      </c>
      <c r="G295">
        <v>1</v>
      </c>
      <c r="H295">
        <f t="shared" si="4"/>
        <v>88.29</v>
      </c>
    </row>
    <row r="296" spans="1:8" x14ac:dyDescent="0.3">
      <c r="A296" t="str">
        <f>VLOOKUP(B296,Table3[[#Headers],[#Data]],3,FALSE)</f>
        <v>Toys</v>
      </c>
      <c r="B296" t="s">
        <v>378</v>
      </c>
      <c r="C296">
        <f>VLOOKUP(B296,Table3[[#Headers],[#Data]],4, FALSE)</f>
        <v>13.7</v>
      </c>
      <c r="D296" t="str">
        <f>VLOOKUP('Rough data'!B296,Table3[[#Headers],[#Data]],2,FALSE)</f>
        <v>Kids Paint Kit (Blue)</v>
      </c>
      <c r="E296" t="str">
        <f>VLOOKUP(B296,Table3[[#Headers],[#Data]],5,FALSE)</f>
        <v>SELL0047</v>
      </c>
      <c r="F296" t="str">
        <f>VLOOKUP(E296,Table2[[#Headers],[#Data],[seller_id]:[seller_user]],2,FALSE)</f>
        <v>toymajoy</v>
      </c>
      <c r="G296">
        <v>1</v>
      </c>
      <c r="H296">
        <f t="shared" si="4"/>
        <v>13.7</v>
      </c>
    </row>
    <row r="297" spans="1:8" x14ac:dyDescent="0.3">
      <c r="A297" t="str">
        <f>VLOOKUP(B297,Table3[[#Headers],[#Data]],3,FALSE)</f>
        <v>Toys</v>
      </c>
      <c r="B297" t="s">
        <v>378</v>
      </c>
      <c r="C297">
        <f>VLOOKUP(B297,Table3[[#Headers],[#Data]],4, FALSE)</f>
        <v>13.7</v>
      </c>
      <c r="D297" t="str">
        <f>VLOOKUP('Rough data'!B297,Table3[[#Headers],[#Data]],2,FALSE)</f>
        <v>Kids Paint Kit (Blue)</v>
      </c>
      <c r="E297" t="str">
        <f>VLOOKUP(B297,Table3[[#Headers],[#Data]],5,FALSE)</f>
        <v>SELL0047</v>
      </c>
      <c r="F297" t="str">
        <f>VLOOKUP(E297,Table2[[#Headers],[#Data],[seller_id]:[seller_user]],2,FALSE)</f>
        <v>toymajoy</v>
      </c>
      <c r="G297">
        <v>1</v>
      </c>
      <c r="H297">
        <f t="shared" si="4"/>
        <v>13.7</v>
      </c>
    </row>
    <row r="298" spans="1:8" x14ac:dyDescent="0.3">
      <c r="A298" t="str">
        <f>VLOOKUP(B298,Table3[[#Headers],[#Data]],3,FALSE)</f>
        <v>Toys</v>
      </c>
      <c r="B298" t="s">
        <v>378</v>
      </c>
      <c r="C298">
        <f>VLOOKUP(B298,Table3[[#Headers],[#Data]],4, FALSE)</f>
        <v>13.7</v>
      </c>
      <c r="D298" t="str">
        <f>VLOOKUP('Rough data'!B298,Table3[[#Headers],[#Data]],2,FALSE)</f>
        <v>Kids Paint Kit (Blue)</v>
      </c>
      <c r="E298" t="str">
        <f>VLOOKUP(B298,Table3[[#Headers],[#Data]],5,FALSE)</f>
        <v>SELL0047</v>
      </c>
      <c r="F298" t="str">
        <f>VLOOKUP(E298,Table2[[#Headers],[#Data],[seller_id]:[seller_user]],2,FALSE)</f>
        <v>toymajoy</v>
      </c>
      <c r="G298">
        <v>2</v>
      </c>
      <c r="H298">
        <f t="shared" si="4"/>
        <v>27.4</v>
      </c>
    </row>
    <row r="299" spans="1:8" x14ac:dyDescent="0.3">
      <c r="A299" t="str">
        <f>VLOOKUP(B299,Table3[[#Headers],[#Data]],3,FALSE)</f>
        <v>Toys</v>
      </c>
      <c r="B299" t="s">
        <v>378</v>
      </c>
      <c r="C299">
        <f>VLOOKUP(B299,Table3[[#Headers],[#Data]],4, FALSE)</f>
        <v>13.7</v>
      </c>
      <c r="D299" t="str">
        <f>VLOOKUP('Rough data'!B299,Table3[[#Headers],[#Data]],2,FALSE)</f>
        <v>Kids Paint Kit (Blue)</v>
      </c>
      <c r="E299" t="str">
        <f>VLOOKUP(B299,Table3[[#Headers],[#Data]],5,FALSE)</f>
        <v>SELL0047</v>
      </c>
      <c r="F299" t="str">
        <f>VLOOKUP(E299,Table2[[#Headers],[#Data],[seller_id]:[seller_user]],2,FALSE)</f>
        <v>toymajoy</v>
      </c>
      <c r="G299">
        <v>1</v>
      </c>
      <c r="H299">
        <f t="shared" si="4"/>
        <v>13.7</v>
      </c>
    </row>
    <row r="300" spans="1:8" x14ac:dyDescent="0.3">
      <c r="A300" t="str">
        <f>VLOOKUP(B300,Table3[[#Headers],[#Data]],3,FALSE)</f>
        <v>Home</v>
      </c>
      <c r="B300" t="s">
        <v>388</v>
      </c>
      <c r="C300">
        <f>VLOOKUP(B300,Table3[[#Headers],[#Data]],4, FALSE)</f>
        <v>89.07</v>
      </c>
      <c r="D300" t="str">
        <f>VLOOKUP('Rough data'!B300,Table3[[#Headers],[#Data]],2,FALSE)</f>
        <v>Ceramic Vase - Sand Finish</v>
      </c>
      <c r="E300" t="str">
        <f>VLOOKUP(B300,Table3[[#Headers],[#Data]],5,FALSE)</f>
        <v>SELL0057</v>
      </c>
      <c r="F300" t="str">
        <f>VLOOKUP(E300,Table2[[#Headers],[#Data],[seller_id]:[seller_user]],2,FALSE)</f>
        <v>buildmydream</v>
      </c>
      <c r="G300">
        <v>1</v>
      </c>
      <c r="H300">
        <f t="shared" si="4"/>
        <v>89.07</v>
      </c>
    </row>
    <row r="301" spans="1:8" x14ac:dyDescent="0.3">
      <c r="A301" t="str">
        <f>VLOOKUP(B301,Table3[[#Headers],[#Data]],3,FALSE)</f>
        <v>Stationery</v>
      </c>
      <c r="B301" t="s">
        <v>394</v>
      </c>
      <c r="C301">
        <f>VLOOKUP(B301,Table3[[#Headers],[#Data]],4, FALSE)</f>
        <v>12.82</v>
      </c>
      <c r="D301" t="str">
        <f>VLOOKUP('Rough data'!B301,Table3[[#Headers],[#Data]],2,FALSE)</f>
        <v>Scented gel pen 20 pack pastel party</v>
      </c>
      <c r="E301" t="str">
        <f>VLOOKUP(B301,Table3[[#Headers],[#Data]],5,FALSE)</f>
        <v>SELL0057</v>
      </c>
      <c r="F301" t="str">
        <f>VLOOKUP(E301,Table2[[#Headers],[#Data],[seller_id]:[seller_user]],2,FALSE)</f>
        <v>buildmydream</v>
      </c>
      <c r="G301">
        <v>1</v>
      </c>
      <c r="H301">
        <f t="shared" si="4"/>
        <v>12.82</v>
      </c>
    </row>
    <row r="302" spans="1:8" x14ac:dyDescent="0.3">
      <c r="A302" t="str">
        <f>VLOOKUP(B302,Table3[[#Headers],[#Data]],3,FALSE)</f>
        <v>Jewellery</v>
      </c>
      <c r="B302" t="s">
        <v>396</v>
      </c>
      <c r="C302">
        <f>VLOOKUP(B302,Table3[[#Headers],[#Data]],4, FALSE)</f>
        <v>33.36</v>
      </c>
      <c r="D302" t="str">
        <f>VLOOKUP('Rough data'!B302,Table3[[#Headers],[#Data]],2,FALSE)</f>
        <v>Pearl Stud Earrings</v>
      </c>
      <c r="E302" t="str">
        <f>VLOOKUP(B302,Table3[[#Headers],[#Data]],5,FALSE)</f>
        <v>SELL0058</v>
      </c>
      <c r="F302" t="str">
        <f>VLOOKUP(E302,Table2[[#Headers],[#Data],[seller_id]:[seller_user]],2,FALSE)</f>
        <v>au6ynzdcy5</v>
      </c>
      <c r="G302">
        <v>1</v>
      </c>
      <c r="H302">
        <f t="shared" si="4"/>
        <v>33.36</v>
      </c>
    </row>
    <row r="303" spans="1:8" x14ac:dyDescent="0.3">
      <c r="A303" t="str">
        <f>VLOOKUP(B303,Table3[[#Headers],[#Data]],3,FALSE)</f>
        <v>Jewellery</v>
      </c>
      <c r="B303" t="s">
        <v>396</v>
      </c>
      <c r="C303">
        <f>VLOOKUP(B303,Table3[[#Headers],[#Data]],4, FALSE)</f>
        <v>33.36</v>
      </c>
      <c r="D303" t="str">
        <f>VLOOKUP('Rough data'!B303,Table3[[#Headers],[#Data]],2,FALSE)</f>
        <v>Pearl Stud Earrings</v>
      </c>
      <c r="E303" t="str">
        <f>VLOOKUP(B303,Table3[[#Headers],[#Data]],5,FALSE)</f>
        <v>SELL0058</v>
      </c>
      <c r="F303" t="str">
        <f>VLOOKUP(E303,Table2[[#Headers],[#Data],[seller_id]:[seller_user]],2,FALSE)</f>
        <v>au6ynzdcy5</v>
      </c>
      <c r="G303">
        <v>2</v>
      </c>
      <c r="H303">
        <f t="shared" si="4"/>
        <v>66.72</v>
      </c>
    </row>
    <row r="304" spans="1:8" x14ac:dyDescent="0.3">
      <c r="A304" t="str">
        <f>VLOOKUP(B304,Table3[[#Headers],[#Data]],3,FALSE)</f>
        <v>Jewellery</v>
      </c>
      <c r="B304" t="s">
        <v>399</v>
      </c>
      <c r="C304">
        <f>VLOOKUP(B304,Table3[[#Headers],[#Data]],4, FALSE)</f>
        <v>31.11</v>
      </c>
      <c r="D304" t="str">
        <f>VLOOKUP('Rough data'!B304,Table3[[#Headers],[#Data]],2,FALSE)</f>
        <v>Pearl Stud Earrings Cluster</v>
      </c>
      <c r="E304" t="str">
        <f>VLOOKUP(B304,Table3[[#Headers],[#Data]],5,FALSE)</f>
        <v>SELL0058</v>
      </c>
      <c r="F304" t="str">
        <f>VLOOKUP(E304,Table2[[#Headers],[#Data],[seller_id]:[seller_user]],2,FALSE)</f>
        <v>au6ynzdcy5</v>
      </c>
      <c r="G304">
        <v>1</v>
      </c>
      <c r="H304">
        <f t="shared" si="4"/>
        <v>31.11</v>
      </c>
    </row>
    <row r="305" spans="1:8" x14ac:dyDescent="0.3">
      <c r="A305" t="str">
        <f>VLOOKUP(B305,Table3[[#Headers],[#Data]],3,FALSE)</f>
        <v>Jewellery</v>
      </c>
      <c r="B305" t="s">
        <v>399</v>
      </c>
      <c r="C305">
        <f>VLOOKUP(B305,Table3[[#Headers],[#Data]],4, FALSE)</f>
        <v>31.11</v>
      </c>
      <c r="D305" t="str">
        <f>VLOOKUP('Rough data'!B305,Table3[[#Headers],[#Data]],2,FALSE)</f>
        <v>Pearl Stud Earrings Cluster</v>
      </c>
      <c r="E305" t="str">
        <f>VLOOKUP(B305,Table3[[#Headers],[#Data]],5,FALSE)</f>
        <v>SELL0058</v>
      </c>
      <c r="F305" t="str">
        <f>VLOOKUP(E305,Table2[[#Headers],[#Data],[seller_id]:[seller_user]],2,FALSE)</f>
        <v>au6ynzdcy5</v>
      </c>
      <c r="G305">
        <v>1</v>
      </c>
      <c r="H305">
        <f t="shared" si="4"/>
        <v>31.11</v>
      </c>
    </row>
    <row r="306" spans="1:8" x14ac:dyDescent="0.3">
      <c r="A306" t="str">
        <f>VLOOKUP(B306,Table3[[#Headers],[#Data]],3,FALSE)</f>
        <v>Outdoor</v>
      </c>
      <c r="B306" t="s">
        <v>401</v>
      </c>
      <c r="C306">
        <f>VLOOKUP(B306,Table3[[#Headers],[#Data]],4, FALSE)</f>
        <v>75.239999999999995</v>
      </c>
      <c r="D306" t="str">
        <f>VLOOKUP('Rough data'!B306,Table3[[#Headers],[#Data]],2,FALSE)</f>
        <v>Ice bucket outdoor beers garden picnic</v>
      </c>
      <c r="E306" t="str">
        <f>VLOOKUP(B306,Table3[[#Headers],[#Data]],5,FALSE)</f>
        <v>SELL0058</v>
      </c>
      <c r="F306" t="str">
        <f>VLOOKUP(E306,Table2[[#Headers],[#Data],[seller_id]:[seller_user]],2,FALSE)</f>
        <v>au6ynzdcy5</v>
      </c>
      <c r="G306">
        <v>2</v>
      </c>
      <c r="H306">
        <f t="shared" si="4"/>
        <v>150.47999999999999</v>
      </c>
    </row>
    <row r="307" spans="1:8" x14ac:dyDescent="0.3">
      <c r="A307" t="str">
        <f>VLOOKUP(B307,Table3[[#Headers],[#Data]],3,FALSE)</f>
        <v>Outdoor</v>
      </c>
      <c r="B307" t="s">
        <v>401</v>
      </c>
      <c r="C307">
        <f>VLOOKUP(B307,Table3[[#Headers],[#Data]],4, FALSE)</f>
        <v>75.239999999999995</v>
      </c>
      <c r="D307" t="str">
        <f>VLOOKUP('Rough data'!B307,Table3[[#Headers],[#Data]],2,FALSE)</f>
        <v>Ice bucket outdoor beers garden picnic</v>
      </c>
      <c r="E307" t="str">
        <f>VLOOKUP(B307,Table3[[#Headers],[#Data]],5,FALSE)</f>
        <v>SELL0058</v>
      </c>
      <c r="F307" t="str">
        <f>VLOOKUP(E307,Table2[[#Headers],[#Data],[seller_id]:[seller_user]],2,FALSE)</f>
        <v>au6ynzdcy5</v>
      </c>
      <c r="G307">
        <v>1</v>
      </c>
      <c r="H307">
        <f t="shared" si="4"/>
        <v>75.239999999999995</v>
      </c>
    </row>
    <row r="308" spans="1:8" x14ac:dyDescent="0.3">
      <c r="A308" t="str">
        <f>VLOOKUP(B308,Table3[[#Headers],[#Data]],3,FALSE)</f>
        <v>Outdoor</v>
      </c>
      <c r="B308" t="s">
        <v>401</v>
      </c>
      <c r="C308">
        <f>VLOOKUP(B308,Table3[[#Headers],[#Data]],4, FALSE)</f>
        <v>75.239999999999995</v>
      </c>
      <c r="D308" t="str">
        <f>VLOOKUP('Rough data'!B308,Table3[[#Headers],[#Data]],2,FALSE)</f>
        <v>Ice bucket outdoor beers garden picnic</v>
      </c>
      <c r="E308" t="str">
        <f>VLOOKUP(B308,Table3[[#Headers],[#Data]],5,FALSE)</f>
        <v>SELL0058</v>
      </c>
      <c r="F308" t="str">
        <f>VLOOKUP(E308,Table2[[#Headers],[#Data],[seller_id]:[seller_user]],2,FALSE)</f>
        <v>au6ynzdcy5</v>
      </c>
      <c r="G308">
        <v>1</v>
      </c>
      <c r="H308">
        <f t="shared" si="4"/>
        <v>75.239999999999995</v>
      </c>
    </row>
    <row r="309" spans="1:8" x14ac:dyDescent="0.3">
      <c r="A309" t="str">
        <f>VLOOKUP(B309,Table3[[#Headers],[#Data]],3,FALSE)</f>
        <v>Outdoor</v>
      </c>
      <c r="B309" t="s">
        <v>401</v>
      </c>
      <c r="C309">
        <f>VLOOKUP(B309,Table3[[#Headers],[#Data]],4, FALSE)</f>
        <v>75.239999999999995</v>
      </c>
      <c r="D309" t="str">
        <f>VLOOKUP('Rough data'!B309,Table3[[#Headers],[#Data]],2,FALSE)</f>
        <v>Ice bucket outdoor beers garden picnic</v>
      </c>
      <c r="E309" t="str">
        <f>VLOOKUP(B309,Table3[[#Headers],[#Data]],5,FALSE)</f>
        <v>SELL0058</v>
      </c>
      <c r="F309" t="str">
        <f>VLOOKUP(E309,Table2[[#Headers],[#Data],[seller_id]:[seller_user]],2,FALSE)</f>
        <v>au6ynzdcy5</v>
      </c>
      <c r="G309">
        <v>1</v>
      </c>
      <c r="H309">
        <f t="shared" si="4"/>
        <v>75.239999999999995</v>
      </c>
    </row>
    <row r="310" spans="1:8" x14ac:dyDescent="0.3">
      <c r="A310" t="str">
        <f>VLOOKUP(B310,Table3[[#Headers],[#Data]],3,FALSE)</f>
        <v>Outdoor</v>
      </c>
      <c r="B310" t="s">
        <v>401</v>
      </c>
      <c r="C310">
        <f>VLOOKUP(B310,Table3[[#Headers],[#Data]],4, FALSE)</f>
        <v>75.239999999999995</v>
      </c>
      <c r="D310" t="str">
        <f>VLOOKUP('Rough data'!B310,Table3[[#Headers],[#Data]],2,FALSE)</f>
        <v>Ice bucket outdoor beers garden picnic</v>
      </c>
      <c r="E310" t="str">
        <f>VLOOKUP(B310,Table3[[#Headers],[#Data]],5,FALSE)</f>
        <v>SELL0058</v>
      </c>
      <c r="F310" t="str">
        <f>VLOOKUP(E310,Table2[[#Headers],[#Data],[seller_id]:[seller_user]],2,FALSE)</f>
        <v>au6ynzdcy5</v>
      </c>
      <c r="G310">
        <v>1</v>
      </c>
      <c r="H310">
        <f t="shared" si="4"/>
        <v>75.239999999999995</v>
      </c>
    </row>
    <row r="311" spans="1:8" x14ac:dyDescent="0.3">
      <c r="A311" t="str">
        <f>VLOOKUP(B311,Table3[[#Headers],[#Data]],3,FALSE)</f>
        <v>Clothes</v>
      </c>
      <c r="B311" t="s">
        <v>403</v>
      </c>
      <c r="C311">
        <f>VLOOKUP(B311,Table3[[#Headers],[#Data]],4, FALSE)</f>
        <v>40.28</v>
      </c>
      <c r="D311" t="str">
        <f>VLOOKUP('Rough data'!B311,Table3[[#Headers],[#Data]],2,FALSE)</f>
        <v>Men’s Chino Shorts S</v>
      </c>
      <c r="E311" t="str">
        <f>VLOOKUP(B311,Table3[[#Headers],[#Data]],5,FALSE)</f>
        <v>SELL0058</v>
      </c>
      <c r="F311" t="str">
        <f>VLOOKUP(E311,Table2[[#Headers],[#Data],[seller_id]:[seller_user]],2,FALSE)</f>
        <v>au6ynzdcy5</v>
      </c>
      <c r="G311">
        <v>1</v>
      </c>
      <c r="H311">
        <f t="shared" si="4"/>
        <v>40.28</v>
      </c>
    </row>
    <row r="312" spans="1:8" x14ac:dyDescent="0.3">
      <c r="A312" t="str">
        <f>VLOOKUP(B312,Table3[[#Headers],[#Data]],3,FALSE)</f>
        <v>Gift_Sets</v>
      </c>
      <c r="B312" t="s">
        <v>405</v>
      </c>
      <c r="C312">
        <f>VLOOKUP(B312,Table3[[#Headers],[#Data]],4, FALSE)</f>
        <v>29.98</v>
      </c>
      <c r="D312" t="str">
        <f>VLOOKUP('Rough data'!B312,Table3[[#Headers],[#Data]],2,FALSE)</f>
        <v>Coffee Sampler Pack</v>
      </c>
      <c r="E312" t="str">
        <f>VLOOKUP(B312,Table3[[#Headers],[#Data]],5,FALSE)</f>
        <v>SELL0058</v>
      </c>
      <c r="F312" t="str">
        <f>VLOOKUP(E312,Table2[[#Headers],[#Data],[seller_id]:[seller_user]],2,FALSE)</f>
        <v>au6ynzdcy5</v>
      </c>
      <c r="G312">
        <v>1</v>
      </c>
      <c r="H312">
        <f t="shared" si="4"/>
        <v>29.98</v>
      </c>
    </row>
    <row r="313" spans="1:8" x14ac:dyDescent="0.3">
      <c r="A313" t="str">
        <f>VLOOKUP(B313,Table3[[#Headers],[#Data]],3,FALSE)</f>
        <v>Gift_Sets</v>
      </c>
      <c r="B313" t="s">
        <v>405</v>
      </c>
      <c r="C313">
        <f>VLOOKUP(B313,Table3[[#Headers],[#Data]],4, FALSE)</f>
        <v>29.98</v>
      </c>
      <c r="D313" t="str">
        <f>VLOOKUP('Rough data'!B313,Table3[[#Headers],[#Data]],2,FALSE)</f>
        <v>Coffee Sampler Pack</v>
      </c>
      <c r="E313" t="str">
        <f>VLOOKUP(B313,Table3[[#Headers],[#Data]],5,FALSE)</f>
        <v>SELL0058</v>
      </c>
      <c r="F313" t="str">
        <f>VLOOKUP(E313,Table2[[#Headers],[#Data],[seller_id]:[seller_user]],2,FALSE)</f>
        <v>au6ynzdcy5</v>
      </c>
      <c r="G313">
        <v>1</v>
      </c>
      <c r="H313">
        <f t="shared" si="4"/>
        <v>29.98</v>
      </c>
    </row>
    <row r="314" spans="1:8" x14ac:dyDescent="0.3">
      <c r="A314" t="str">
        <f>VLOOKUP(B314,Table3[[#Headers],[#Data]],3,FALSE)</f>
        <v>Jewellery</v>
      </c>
      <c r="B314" t="s">
        <v>407</v>
      </c>
      <c r="C314">
        <f>VLOOKUP(B314,Table3[[#Headers],[#Data]],4, FALSE)</f>
        <v>29</v>
      </c>
      <c r="D314" t="str">
        <f>VLOOKUP('Rough data'!B314,Table3[[#Headers],[#Data]],2,FALSE)</f>
        <v>Drop Earrings Dangle Silver</v>
      </c>
      <c r="E314" t="str">
        <f>VLOOKUP(B314,Table3[[#Headers],[#Data]],5,FALSE)</f>
        <v>SELL0059</v>
      </c>
      <c r="F314" t="str">
        <f>VLOOKUP(E314,Table2[[#Headers],[#Data],[seller_id]:[seller_user]],2,FALSE)</f>
        <v>glitterymagpie</v>
      </c>
      <c r="G314">
        <v>1</v>
      </c>
      <c r="H314">
        <f t="shared" si="4"/>
        <v>29</v>
      </c>
    </row>
    <row r="315" spans="1:8" x14ac:dyDescent="0.3">
      <c r="A315" t="str">
        <f>VLOOKUP(B315,Table3[[#Headers],[#Data]],3,FALSE)</f>
        <v>Jewellery</v>
      </c>
      <c r="B315" t="s">
        <v>407</v>
      </c>
      <c r="C315">
        <f>VLOOKUP(B315,Table3[[#Headers],[#Data]],4, FALSE)</f>
        <v>29</v>
      </c>
      <c r="D315" t="str">
        <f>VLOOKUP('Rough data'!B315,Table3[[#Headers],[#Data]],2,FALSE)</f>
        <v>Drop Earrings Dangle Silver</v>
      </c>
      <c r="E315" t="str">
        <f>VLOOKUP(B315,Table3[[#Headers],[#Data]],5,FALSE)</f>
        <v>SELL0059</v>
      </c>
      <c r="F315" t="str">
        <f>VLOOKUP(E315,Table2[[#Headers],[#Data],[seller_id]:[seller_user]],2,FALSE)</f>
        <v>glitterymagpie</v>
      </c>
      <c r="G315">
        <v>1</v>
      </c>
      <c r="H315">
        <f t="shared" si="4"/>
        <v>29</v>
      </c>
    </row>
    <row r="316" spans="1:8" x14ac:dyDescent="0.3">
      <c r="A316" t="str">
        <f>VLOOKUP(B316,Table3[[#Headers],[#Data]],3,FALSE)</f>
        <v>Jewellery</v>
      </c>
      <c r="B316" t="s">
        <v>413</v>
      </c>
      <c r="C316">
        <f>VLOOKUP(B316,Table3[[#Headers],[#Data]],4, FALSE)</f>
        <v>36.35</v>
      </c>
      <c r="D316" t="str">
        <f>VLOOKUP('Rough data'!B316,Table3[[#Headers],[#Data]],2,FALSE)</f>
        <v>Pearl Earrings Stud</v>
      </c>
      <c r="E316" t="str">
        <f>VLOOKUP(B316,Table3[[#Headers],[#Data]],5,FALSE)</f>
        <v>SELL0060</v>
      </c>
      <c r="F316" t="str">
        <f>VLOOKUP(E316,Table2[[#Headers],[#Data],[seller_id]:[seller_user]],2,FALSE)</f>
        <v>shop689</v>
      </c>
      <c r="G316">
        <v>1</v>
      </c>
      <c r="H316">
        <f t="shared" si="4"/>
        <v>36.35</v>
      </c>
    </row>
    <row r="317" spans="1:8" x14ac:dyDescent="0.3">
      <c r="A317" t="str">
        <f>VLOOKUP(B317,Table3[[#Headers],[#Data]],3,FALSE)</f>
        <v>Jewellery</v>
      </c>
      <c r="B317" t="s">
        <v>413</v>
      </c>
      <c r="C317">
        <f>VLOOKUP(B317,Table3[[#Headers],[#Data]],4, FALSE)</f>
        <v>36.35</v>
      </c>
      <c r="D317" t="str">
        <f>VLOOKUP('Rough data'!B317,Table3[[#Headers],[#Data]],2,FALSE)</f>
        <v>Pearl Earrings Stud</v>
      </c>
      <c r="E317" t="str">
        <f>VLOOKUP(B317,Table3[[#Headers],[#Data]],5,FALSE)</f>
        <v>SELL0060</v>
      </c>
      <c r="F317" t="str">
        <f>VLOOKUP(E317,Table2[[#Headers],[#Data],[seller_id]:[seller_user]],2,FALSE)</f>
        <v>shop689</v>
      </c>
      <c r="G317">
        <v>1</v>
      </c>
      <c r="H317">
        <f t="shared" si="4"/>
        <v>36.35</v>
      </c>
    </row>
    <row r="318" spans="1:8" x14ac:dyDescent="0.3">
      <c r="A318" t="str">
        <f>VLOOKUP(B318,Table3[[#Headers],[#Data]],3,FALSE)</f>
        <v>Outdoor</v>
      </c>
      <c r="B318" t="s">
        <v>415</v>
      </c>
      <c r="C318">
        <f>VLOOKUP(B318,Table3[[#Headers],[#Data]],4, FALSE)</f>
        <v>34.86</v>
      </c>
      <c r="D318" t="str">
        <f>VLOOKUP('Rough data'!B318,Table3[[#Headers],[#Data]],2,FALSE)</f>
        <v>Steel Grill Basket</v>
      </c>
      <c r="E318" t="str">
        <f>VLOOKUP(B318,Table3[[#Headers],[#Data]],5,FALSE)</f>
        <v>SELL0060</v>
      </c>
      <c r="F318" t="str">
        <f>VLOOKUP(E318,Table2[[#Headers],[#Data],[seller_id]:[seller_user]],2,FALSE)</f>
        <v>shop689</v>
      </c>
      <c r="G318">
        <v>1</v>
      </c>
      <c r="H318">
        <f t="shared" si="4"/>
        <v>34.86</v>
      </c>
    </row>
    <row r="319" spans="1:8" x14ac:dyDescent="0.3">
      <c r="A319" t="str">
        <f>VLOOKUP(B319,Table3[[#Headers],[#Data]],3,FALSE)</f>
        <v>Outdoor</v>
      </c>
      <c r="B319" t="s">
        <v>415</v>
      </c>
      <c r="C319">
        <f>VLOOKUP(B319,Table3[[#Headers],[#Data]],4, FALSE)</f>
        <v>34.86</v>
      </c>
      <c r="D319" t="str">
        <f>VLOOKUP('Rough data'!B319,Table3[[#Headers],[#Data]],2,FALSE)</f>
        <v>Steel Grill Basket</v>
      </c>
      <c r="E319" t="str">
        <f>VLOOKUP(B319,Table3[[#Headers],[#Data]],5,FALSE)</f>
        <v>SELL0060</v>
      </c>
      <c r="F319" t="str">
        <f>VLOOKUP(E319,Table2[[#Headers],[#Data],[seller_id]:[seller_user]],2,FALSE)</f>
        <v>shop689</v>
      </c>
      <c r="G319">
        <v>2</v>
      </c>
      <c r="H319">
        <f t="shared" si="4"/>
        <v>69.72</v>
      </c>
    </row>
    <row r="320" spans="1:8" x14ac:dyDescent="0.3">
      <c r="A320" t="str">
        <f>VLOOKUP(B320,Table3[[#Headers],[#Data]],3,FALSE)</f>
        <v>Outdoor</v>
      </c>
      <c r="B320" t="s">
        <v>415</v>
      </c>
      <c r="C320">
        <f>VLOOKUP(B320,Table3[[#Headers],[#Data]],4, FALSE)</f>
        <v>34.86</v>
      </c>
      <c r="D320" t="str">
        <f>VLOOKUP('Rough data'!B320,Table3[[#Headers],[#Data]],2,FALSE)</f>
        <v>Steel Grill Basket</v>
      </c>
      <c r="E320" t="str">
        <f>VLOOKUP(B320,Table3[[#Headers],[#Data]],5,FALSE)</f>
        <v>SELL0060</v>
      </c>
      <c r="F320" t="str">
        <f>VLOOKUP(E320,Table2[[#Headers],[#Data],[seller_id]:[seller_user]],2,FALSE)</f>
        <v>shop689</v>
      </c>
      <c r="G320">
        <v>1</v>
      </c>
      <c r="H320">
        <f t="shared" si="4"/>
        <v>34.86</v>
      </c>
    </row>
    <row r="321" spans="1:8" x14ac:dyDescent="0.3">
      <c r="A321" t="str">
        <f>VLOOKUP(B321,Table3[[#Headers],[#Data]],3,FALSE)</f>
        <v>Outdoor</v>
      </c>
      <c r="B321" t="s">
        <v>415</v>
      </c>
      <c r="C321">
        <f>VLOOKUP(B321,Table3[[#Headers],[#Data]],4, FALSE)</f>
        <v>34.86</v>
      </c>
      <c r="D321" t="str">
        <f>VLOOKUP('Rough data'!B321,Table3[[#Headers],[#Data]],2,FALSE)</f>
        <v>Steel Grill Basket</v>
      </c>
      <c r="E321" t="str">
        <f>VLOOKUP(B321,Table3[[#Headers],[#Data]],5,FALSE)</f>
        <v>SELL0060</v>
      </c>
      <c r="F321" t="str">
        <f>VLOOKUP(E321,Table2[[#Headers],[#Data],[seller_id]:[seller_user]],2,FALSE)</f>
        <v>shop689</v>
      </c>
      <c r="G321">
        <v>1</v>
      </c>
      <c r="H321">
        <f t="shared" si="4"/>
        <v>34.86</v>
      </c>
    </row>
    <row r="322" spans="1:8" x14ac:dyDescent="0.3">
      <c r="A322" t="str">
        <f>VLOOKUP(B322,Table3[[#Headers],[#Data]],3,FALSE)</f>
        <v>Outdoor</v>
      </c>
      <c r="B322" t="s">
        <v>415</v>
      </c>
      <c r="C322">
        <f>VLOOKUP(B322,Table3[[#Headers],[#Data]],4, FALSE)</f>
        <v>34.86</v>
      </c>
      <c r="D322" t="str">
        <f>VLOOKUP('Rough data'!B322,Table3[[#Headers],[#Data]],2,FALSE)</f>
        <v>Steel Grill Basket</v>
      </c>
      <c r="E322" t="str">
        <f>VLOOKUP(B322,Table3[[#Headers],[#Data]],5,FALSE)</f>
        <v>SELL0060</v>
      </c>
      <c r="F322" t="str">
        <f>VLOOKUP(E322,Table2[[#Headers],[#Data],[seller_id]:[seller_user]],2,FALSE)</f>
        <v>shop689</v>
      </c>
      <c r="G322">
        <v>1</v>
      </c>
      <c r="H322">
        <f t="shared" ref="H322:H385" si="5">G322*C322</f>
        <v>34.86</v>
      </c>
    </row>
    <row r="323" spans="1:8" x14ac:dyDescent="0.3">
      <c r="A323" t="str">
        <f>VLOOKUP(B323,Table3[[#Headers],[#Data]],3,FALSE)</f>
        <v>Outdoor</v>
      </c>
      <c r="B323" t="s">
        <v>415</v>
      </c>
      <c r="C323">
        <f>VLOOKUP(B323,Table3[[#Headers],[#Data]],4, FALSE)</f>
        <v>34.86</v>
      </c>
      <c r="D323" t="str">
        <f>VLOOKUP('Rough data'!B323,Table3[[#Headers],[#Data]],2,FALSE)</f>
        <v>Steel Grill Basket</v>
      </c>
      <c r="E323" t="str">
        <f>VLOOKUP(B323,Table3[[#Headers],[#Data]],5,FALSE)</f>
        <v>SELL0060</v>
      </c>
      <c r="F323" t="str">
        <f>VLOOKUP(E323,Table2[[#Headers],[#Data],[seller_id]:[seller_user]],2,FALSE)</f>
        <v>shop689</v>
      </c>
      <c r="G323">
        <v>1</v>
      </c>
      <c r="H323">
        <f t="shared" si="5"/>
        <v>34.86</v>
      </c>
    </row>
    <row r="324" spans="1:8" x14ac:dyDescent="0.3">
      <c r="A324" t="str">
        <f>VLOOKUP(B324,Table3[[#Headers],[#Data]],3,FALSE)</f>
        <v>Outdoor</v>
      </c>
      <c r="B324" t="s">
        <v>415</v>
      </c>
      <c r="C324">
        <f>VLOOKUP(B324,Table3[[#Headers],[#Data]],4, FALSE)</f>
        <v>34.86</v>
      </c>
      <c r="D324" t="str">
        <f>VLOOKUP('Rough data'!B324,Table3[[#Headers],[#Data]],2,FALSE)</f>
        <v>Steel Grill Basket</v>
      </c>
      <c r="E324" t="str">
        <f>VLOOKUP(B324,Table3[[#Headers],[#Data]],5,FALSE)</f>
        <v>SELL0060</v>
      </c>
      <c r="F324" t="str">
        <f>VLOOKUP(E324,Table2[[#Headers],[#Data],[seller_id]:[seller_user]],2,FALSE)</f>
        <v>shop689</v>
      </c>
      <c r="G324">
        <v>1</v>
      </c>
      <c r="H324">
        <f t="shared" si="5"/>
        <v>34.86</v>
      </c>
    </row>
    <row r="325" spans="1:8" x14ac:dyDescent="0.3">
      <c r="A325" t="str">
        <f>VLOOKUP(B325,Table3[[#Headers],[#Data]],3,FALSE)</f>
        <v>Clothes</v>
      </c>
      <c r="B325" t="s">
        <v>428</v>
      </c>
      <c r="C325">
        <f>VLOOKUP(B325,Table3[[#Headers],[#Data]],4, FALSE)</f>
        <v>39.99</v>
      </c>
      <c r="D325" t="str">
        <f>VLOOKUP('Rough data'!B325,Table3[[#Headers],[#Data]],2,FALSE)</f>
        <v>Cotton T‑Shirt Green L</v>
      </c>
      <c r="E325" t="str">
        <f>VLOOKUP(B325,Table3[[#Headers],[#Data]],5,FALSE)</f>
        <v>SELL0061</v>
      </c>
      <c r="F325" t="str">
        <f>VLOOKUP(E325,Table2[[#Headers],[#Data],[seller_id]:[seller_user]],2,FALSE)</f>
        <v>ky7urd3k6y</v>
      </c>
      <c r="G325">
        <v>1</v>
      </c>
      <c r="H325">
        <f t="shared" si="5"/>
        <v>39.99</v>
      </c>
    </row>
    <row r="326" spans="1:8" x14ac:dyDescent="0.3">
      <c r="A326" t="str">
        <f>VLOOKUP(B326,Table3[[#Headers],[#Data]],3,FALSE)</f>
        <v>Home</v>
      </c>
      <c r="B326" t="s">
        <v>432</v>
      </c>
      <c r="C326">
        <f>VLOOKUP(B326,Table3[[#Headers],[#Data]],4, FALSE)</f>
        <v>83.03</v>
      </c>
      <c r="D326" t="str">
        <f>VLOOKUP('Rough data'!B326,Table3[[#Headers],[#Data]],2,FALSE)</f>
        <v xml:space="preserve">Oil Diffuser </v>
      </c>
      <c r="E326" t="str">
        <f>VLOOKUP(B326,Table3[[#Headers],[#Data]],5,FALSE)</f>
        <v>SELL0062</v>
      </c>
      <c r="F326" t="str">
        <f>VLOOKUP(E326,Table2[[#Headers],[#Data],[seller_id]:[seller_user]],2,FALSE)</f>
        <v>queenslandqweenie</v>
      </c>
      <c r="G326">
        <v>1</v>
      </c>
      <c r="H326">
        <f t="shared" si="5"/>
        <v>83.03</v>
      </c>
    </row>
    <row r="327" spans="1:8" x14ac:dyDescent="0.3">
      <c r="A327" t="str">
        <f>VLOOKUP(B327,Table3[[#Headers],[#Data]],3,FALSE)</f>
        <v>Toys</v>
      </c>
      <c r="B327" t="s">
        <v>437</v>
      </c>
      <c r="C327">
        <f>VLOOKUP(B327,Table3[[#Headers],[#Data]],4, FALSE)</f>
        <v>18.989999999999998</v>
      </c>
      <c r="D327" t="str">
        <f>VLOOKUP('Rough data'!B327,Table3[[#Headers],[#Data]],2,FALSE)</f>
        <v>Foam Maker</v>
      </c>
      <c r="E327" t="str">
        <f>VLOOKUP(B327,Table3[[#Headers],[#Data]],5,FALSE)</f>
        <v>SELL0062</v>
      </c>
      <c r="F327" t="str">
        <f>VLOOKUP(E327,Table2[[#Headers],[#Data],[seller_id]:[seller_user]],2,FALSE)</f>
        <v>queenslandqweenie</v>
      </c>
      <c r="G327">
        <v>2</v>
      </c>
      <c r="H327">
        <f t="shared" si="5"/>
        <v>37.979999999999997</v>
      </c>
    </row>
    <row r="328" spans="1:8" x14ac:dyDescent="0.3">
      <c r="A328" t="str">
        <f>VLOOKUP(B328,Table3[[#Headers],[#Data]],3,FALSE)</f>
        <v>Jewellery</v>
      </c>
      <c r="B328" t="s">
        <v>439</v>
      </c>
      <c r="C328">
        <f>VLOOKUP(B328,Table3[[#Headers],[#Data]],4, FALSE)</f>
        <v>24.7</v>
      </c>
      <c r="D328" t="str">
        <f>VLOOKUP('Rough data'!B328,Table3[[#Headers],[#Data]],2,FALSE)</f>
        <v>antique bronze necklace owl vintage</v>
      </c>
      <c r="E328" t="str">
        <f>VLOOKUP(B328,Table3[[#Headers],[#Data]],5,FALSE)</f>
        <v>SELL0062</v>
      </c>
      <c r="F328" t="str">
        <f>VLOOKUP(E328,Table2[[#Headers],[#Data],[seller_id]:[seller_user]],2,FALSE)</f>
        <v>queenslandqweenie</v>
      </c>
      <c r="G328">
        <v>1</v>
      </c>
      <c r="H328">
        <f t="shared" si="5"/>
        <v>24.7</v>
      </c>
    </row>
    <row r="329" spans="1:8" x14ac:dyDescent="0.3">
      <c r="A329" t="str">
        <f>VLOOKUP(B329,Table3[[#Headers],[#Data]],3,FALSE)</f>
        <v>Jewellery</v>
      </c>
      <c r="B329" t="s">
        <v>439</v>
      </c>
      <c r="C329">
        <f>VLOOKUP(B329,Table3[[#Headers],[#Data]],4, FALSE)</f>
        <v>24.7</v>
      </c>
      <c r="D329" t="str">
        <f>VLOOKUP('Rough data'!B329,Table3[[#Headers],[#Data]],2,FALSE)</f>
        <v>antique bronze necklace owl vintage</v>
      </c>
      <c r="E329" t="str">
        <f>VLOOKUP(B329,Table3[[#Headers],[#Data]],5,FALSE)</f>
        <v>SELL0062</v>
      </c>
      <c r="F329" t="str">
        <f>VLOOKUP(E329,Table2[[#Headers],[#Data],[seller_id]:[seller_user]],2,FALSE)</f>
        <v>queenslandqweenie</v>
      </c>
      <c r="G329">
        <v>1</v>
      </c>
      <c r="H329">
        <f t="shared" si="5"/>
        <v>24.7</v>
      </c>
    </row>
    <row r="330" spans="1:8" x14ac:dyDescent="0.3">
      <c r="A330" t="str">
        <f>VLOOKUP(B330,Table3[[#Headers],[#Data]],3,FALSE)</f>
        <v>Outdoor</v>
      </c>
      <c r="B330" t="s">
        <v>441</v>
      </c>
      <c r="C330">
        <f>VLOOKUP(B330,Table3[[#Headers],[#Data]],4, FALSE)</f>
        <v>110.01</v>
      </c>
      <c r="D330" t="str">
        <f>VLOOKUP('Rough data'!B330,Table3[[#Headers],[#Data]],2,FALSE)</f>
        <v>Waterproof Mat</v>
      </c>
      <c r="E330" t="str">
        <f>VLOOKUP(B330,Table3[[#Headers],[#Data]],5,FALSE)</f>
        <v>SELL0062</v>
      </c>
      <c r="F330" t="str">
        <f>VLOOKUP(E330,Table2[[#Headers],[#Data],[seller_id]:[seller_user]],2,FALSE)</f>
        <v>queenslandqweenie</v>
      </c>
      <c r="G330">
        <v>1</v>
      </c>
      <c r="H330">
        <f t="shared" si="5"/>
        <v>110.01</v>
      </c>
    </row>
    <row r="331" spans="1:8" x14ac:dyDescent="0.3">
      <c r="A331" t="str">
        <f>VLOOKUP(B331,Table3[[#Headers],[#Data]],3,FALSE)</f>
        <v>Outdoor</v>
      </c>
      <c r="B331" t="s">
        <v>441</v>
      </c>
      <c r="C331">
        <f>VLOOKUP(B331,Table3[[#Headers],[#Data]],4, FALSE)</f>
        <v>110.01</v>
      </c>
      <c r="D331" t="str">
        <f>VLOOKUP('Rough data'!B331,Table3[[#Headers],[#Data]],2,FALSE)</f>
        <v>Waterproof Mat</v>
      </c>
      <c r="E331" t="str">
        <f>VLOOKUP(B331,Table3[[#Headers],[#Data]],5,FALSE)</f>
        <v>SELL0062</v>
      </c>
      <c r="F331" t="str">
        <f>VLOOKUP(E331,Table2[[#Headers],[#Data],[seller_id]:[seller_user]],2,FALSE)</f>
        <v>queenslandqweenie</v>
      </c>
      <c r="G331">
        <v>1</v>
      </c>
      <c r="H331">
        <f t="shared" si="5"/>
        <v>110.01</v>
      </c>
    </row>
    <row r="332" spans="1:8" x14ac:dyDescent="0.3">
      <c r="A332" t="str">
        <f>VLOOKUP(B332,Table3[[#Headers],[#Data]],3,FALSE)</f>
        <v>Outdoor</v>
      </c>
      <c r="B332" t="s">
        <v>443</v>
      </c>
      <c r="C332">
        <f>VLOOKUP(B332,Table3[[#Headers],[#Data]],4, FALSE)</f>
        <v>35.08</v>
      </c>
      <c r="D332" t="str">
        <f>VLOOKUP('Rough data'!B332,Table3[[#Headers],[#Data]],2,FALSE)</f>
        <v>Snorkel Set - Adult</v>
      </c>
      <c r="E332" t="str">
        <f>VLOOKUP(B332,Table3[[#Headers],[#Data]],5,FALSE)</f>
        <v>SELL0062</v>
      </c>
      <c r="F332" t="str">
        <f>VLOOKUP(E332,Table2[[#Headers],[#Data],[seller_id]:[seller_user]],2,FALSE)</f>
        <v>queenslandqweenie</v>
      </c>
      <c r="G332">
        <v>1</v>
      </c>
      <c r="H332">
        <f t="shared" si="5"/>
        <v>35.08</v>
      </c>
    </row>
    <row r="333" spans="1:8" x14ac:dyDescent="0.3">
      <c r="A333" t="str">
        <f>VLOOKUP(B333,Table3[[#Headers],[#Data]],3,FALSE)</f>
        <v>Jewellery</v>
      </c>
      <c r="B333" t="s">
        <v>445</v>
      </c>
      <c r="C333">
        <f>VLOOKUP(B333,Table3[[#Headers],[#Data]],4, FALSE)</f>
        <v>48.51</v>
      </c>
      <c r="D333" t="str">
        <f>VLOOKUP('Rough data'!B333,Table3[[#Headers],[#Data]],2,FALSE)</f>
        <v>Jewellery Gift Box Clear Plastic 6 compartment</v>
      </c>
      <c r="E333" t="str">
        <f>VLOOKUP(B333,Table3[[#Headers],[#Data]],5,FALSE)</f>
        <v>SELL0062</v>
      </c>
      <c r="F333" t="str">
        <f>VLOOKUP(E333,Table2[[#Headers],[#Data],[seller_id]:[seller_user]],2,FALSE)</f>
        <v>queenslandqweenie</v>
      </c>
      <c r="G333">
        <v>1</v>
      </c>
      <c r="H333">
        <f t="shared" si="5"/>
        <v>48.51</v>
      </c>
    </row>
    <row r="334" spans="1:8" x14ac:dyDescent="0.3">
      <c r="A334" t="str">
        <f>VLOOKUP(B334,Table3[[#Headers],[#Data]],3,FALSE)</f>
        <v>Jewellery</v>
      </c>
      <c r="B334" t="s">
        <v>447</v>
      </c>
      <c r="C334">
        <f>VLOOKUP(B334,Table3[[#Headers],[#Data]],4, FALSE)</f>
        <v>47.32</v>
      </c>
      <c r="D334" t="str">
        <f>VLOOKUP('Rough data'!B334,Table3[[#Headers],[#Data]],2,FALSE)</f>
        <v>Men’s Leather Band Bracelet</v>
      </c>
      <c r="E334" t="str">
        <f>VLOOKUP(B334,Table3[[#Headers],[#Data]],5,FALSE)</f>
        <v>SELL0062</v>
      </c>
      <c r="F334" t="str">
        <f>VLOOKUP(E334,Table2[[#Headers],[#Data],[seller_id]:[seller_user]],2,FALSE)</f>
        <v>queenslandqweenie</v>
      </c>
      <c r="G334">
        <v>1</v>
      </c>
      <c r="H334">
        <f t="shared" si="5"/>
        <v>47.32</v>
      </c>
    </row>
    <row r="335" spans="1:8" x14ac:dyDescent="0.3">
      <c r="A335" t="str">
        <f>VLOOKUP(B335,Table3[[#Headers],[#Data]],3,FALSE)</f>
        <v>Electronics</v>
      </c>
      <c r="B335" t="s">
        <v>449</v>
      </c>
      <c r="C335">
        <f>VLOOKUP(B335,Table3[[#Headers],[#Data]],4, FALSE)</f>
        <v>40.97</v>
      </c>
      <c r="D335" t="str">
        <f>VLOOKUP('Rough data'!B335,Table3[[#Headers],[#Data]],2,FALSE)</f>
        <v>Smart Home Hub</v>
      </c>
      <c r="E335" t="str">
        <f>VLOOKUP(B335,Table3[[#Headers],[#Data]],5,FALSE)</f>
        <v>SELL0063</v>
      </c>
      <c r="F335" t="str">
        <f>VLOOKUP(E335,Table2[[#Headers],[#Data],[seller_id]:[seller_user]],2,FALSE)</f>
        <v>uqcoiiv4s9</v>
      </c>
      <c r="G335">
        <v>1</v>
      </c>
      <c r="H335">
        <f t="shared" si="5"/>
        <v>40.97</v>
      </c>
    </row>
    <row r="336" spans="1:8" x14ac:dyDescent="0.3">
      <c r="A336" t="str">
        <f>VLOOKUP(B336,Table3[[#Headers],[#Data]],3,FALSE)</f>
        <v>Electronics</v>
      </c>
      <c r="B336" t="s">
        <v>449</v>
      </c>
      <c r="C336">
        <f>VLOOKUP(B336,Table3[[#Headers],[#Data]],4, FALSE)</f>
        <v>40.97</v>
      </c>
      <c r="D336" t="str">
        <f>VLOOKUP('Rough data'!B336,Table3[[#Headers],[#Data]],2,FALSE)</f>
        <v>Smart Home Hub</v>
      </c>
      <c r="E336" t="str">
        <f>VLOOKUP(B336,Table3[[#Headers],[#Data]],5,FALSE)</f>
        <v>SELL0063</v>
      </c>
      <c r="F336" t="str">
        <f>VLOOKUP(E336,Table2[[#Headers],[#Data],[seller_id]:[seller_user]],2,FALSE)</f>
        <v>uqcoiiv4s9</v>
      </c>
      <c r="G336">
        <v>1</v>
      </c>
      <c r="H336">
        <f t="shared" si="5"/>
        <v>40.97</v>
      </c>
    </row>
    <row r="337" spans="1:8" x14ac:dyDescent="0.3">
      <c r="A337" t="str">
        <f>VLOOKUP(B337,Table3[[#Headers],[#Data]],3,FALSE)</f>
        <v>Toys</v>
      </c>
      <c r="B337" t="s">
        <v>454</v>
      </c>
      <c r="C337">
        <f>VLOOKUP(B337,Table3[[#Headers],[#Data]],4, FALSE)</f>
        <v>29.09</v>
      </c>
      <c r="D337" t="str">
        <f>VLOOKUP('Rough data'!B337,Table3[[#Headers],[#Data]],2,FALSE)</f>
        <v>Water Gun Set</v>
      </c>
      <c r="E337" t="str">
        <f>VLOOKUP(B337,Table3[[#Headers],[#Data]],5,FALSE)</f>
        <v>SELL0064</v>
      </c>
      <c r="F337" t="str">
        <f>VLOOKUP(E337,Table2[[#Headers],[#Data],[seller_id]:[seller_user]],2,FALSE)</f>
        <v>fungamesandtoys</v>
      </c>
      <c r="G337">
        <v>1</v>
      </c>
      <c r="H337">
        <f t="shared" si="5"/>
        <v>29.09</v>
      </c>
    </row>
    <row r="338" spans="1:8" x14ac:dyDescent="0.3">
      <c r="A338" t="str">
        <f>VLOOKUP(B338,Table3[[#Headers],[#Data]],3,FALSE)</f>
        <v>Beauty</v>
      </c>
      <c r="B338" t="s">
        <v>457</v>
      </c>
      <c r="C338">
        <f>VLOOKUP(B338,Table3[[#Headers],[#Data]],4, FALSE)</f>
        <v>25.78</v>
      </c>
      <c r="D338" t="str">
        <f>VLOOKUP('Rough data'!B338,Table3[[#Headers],[#Data]],2,FALSE)</f>
        <v>Rose Water Toner</v>
      </c>
      <c r="E338" t="str">
        <f>VLOOKUP(B338,Table3[[#Headers],[#Data]],5,FALSE)</f>
        <v>SELL0065</v>
      </c>
      <c r="F338" t="str">
        <f>VLOOKUP(E338,Table2[[#Headers],[#Data],[seller_id]:[seller_user]],2,FALSE)</f>
        <v>fq9rb8o3qr</v>
      </c>
      <c r="G338">
        <v>1</v>
      </c>
      <c r="H338">
        <f t="shared" si="5"/>
        <v>25.78</v>
      </c>
    </row>
    <row r="339" spans="1:8" x14ac:dyDescent="0.3">
      <c r="A339" t="str">
        <f>VLOOKUP(B339,Table3[[#Headers],[#Data]],3,FALSE)</f>
        <v>Beauty</v>
      </c>
      <c r="B339" t="s">
        <v>457</v>
      </c>
      <c r="C339">
        <f>VLOOKUP(B339,Table3[[#Headers],[#Data]],4, FALSE)</f>
        <v>25.78</v>
      </c>
      <c r="D339" t="str">
        <f>VLOOKUP('Rough data'!B339,Table3[[#Headers],[#Data]],2,FALSE)</f>
        <v>Rose Water Toner</v>
      </c>
      <c r="E339" t="str">
        <f>VLOOKUP(B339,Table3[[#Headers],[#Data]],5,FALSE)</f>
        <v>SELL0065</v>
      </c>
      <c r="F339" t="str">
        <f>VLOOKUP(E339,Table2[[#Headers],[#Data],[seller_id]:[seller_user]],2,FALSE)</f>
        <v>fq9rb8o3qr</v>
      </c>
      <c r="G339">
        <v>1</v>
      </c>
      <c r="H339">
        <f t="shared" si="5"/>
        <v>25.78</v>
      </c>
    </row>
    <row r="340" spans="1:8" x14ac:dyDescent="0.3">
      <c r="A340" t="str">
        <f>VLOOKUP(B340,Table3[[#Headers],[#Data]],3,FALSE)</f>
        <v>Toys</v>
      </c>
      <c r="B340" t="s">
        <v>460</v>
      </c>
      <c r="C340">
        <f>VLOOKUP(B340,Table3[[#Headers],[#Data]],4, FALSE)</f>
        <v>37.9</v>
      </c>
      <c r="D340" t="str">
        <f>VLOOKUP('Rough data'!B340,Table3[[#Headers],[#Data]],2,FALSE)</f>
        <v>Kite Rainbow</v>
      </c>
      <c r="E340" t="str">
        <f>VLOOKUP(B340,Table3[[#Headers],[#Data]],5,FALSE)</f>
        <v>SELL0065</v>
      </c>
      <c r="F340" t="str">
        <f>VLOOKUP(E340,Table2[[#Headers],[#Data],[seller_id]:[seller_user]],2,FALSE)</f>
        <v>fq9rb8o3qr</v>
      </c>
      <c r="G340">
        <v>1</v>
      </c>
      <c r="H340">
        <f t="shared" si="5"/>
        <v>37.9</v>
      </c>
    </row>
    <row r="341" spans="1:8" x14ac:dyDescent="0.3">
      <c r="A341" t="str">
        <f>VLOOKUP(B341,Table3[[#Headers],[#Data]],3,FALSE)</f>
        <v>Toys</v>
      </c>
      <c r="B341" t="s">
        <v>460</v>
      </c>
      <c r="C341">
        <f>VLOOKUP(B341,Table3[[#Headers],[#Data]],4, FALSE)</f>
        <v>37.9</v>
      </c>
      <c r="D341" t="str">
        <f>VLOOKUP('Rough data'!B341,Table3[[#Headers],[#Data]],2,FALSE)</f>
        <v>Kite Rainbow</v>
      </c>
      <c r="E341" t="str">
        <f>VLOOKUP(B341,Table3[[#Headers],[#Data]],5,FALSE)</f>
        <v>SELL0065</v>
      </c>
      <c r="F341" t="str">
        <f>VLOOKUP(E341,Table2[[#Headers],[#Data],[seller_id]:[seller_user]],2,FALSE)</f>
        <v>fq9rb8o3qr</v>
      </c>
      <c r="G341">
        <v>1</v>
      </c>
      <c r="H341">
        <f t="shared" si="5"/>
        <v>37.9</v>
      </c>
    </row>
    <row r="342" spans="1:8" x14ac:dyDescent="0.3">
      <c r="A342" t="str">
        <f>VLOOKUP(B342,Table3[[#Headers],[#Data]],3,FALSE)</f>
        <v>Health</v>
      </c>
      <c r="B342" t="s">
        <v>462</v>
      </c>
      <c r="C342">
        <f>VLOOKUP(B342,Table3[[#Headers],[#Data]],4, FALSE)</f>
        <v>40.75</v>
      </c>
      <c r="D342" t="str">
        <f>VLOOKUP('Rough data'!B342,Table3[[#Headers],[#Data]],2,FALSE)</f>
        <v>Blood Pressure Monitor Digital</v>
      </c>
      <c r="E342" t="str">
        <f>VLOOKUP(B342,Table3[[#Headers],[#Data]],5,FALSE)</f>
        <v>SELL0066</v>
      </c>
      <c r="F342" t="str">
        <f>VLOOKUP(E342,Table2[[#Headers],[#Data],[seller_id]:[seller_user]],2,FALSE)</f>
        <v>healthcarehelp</v>
      </c>
      <c r="G342">
        <v>1</v>
      </c>
      <c r="H342">
        <f t="shared" si="5"/>
        <v>40.75</v>
      </c>
    </row>
    <row r="343" spans="1:8" x14ac:dyDescent="0.3">
      <c r="A343" t="str">
        <f>VLOOKUP(B343,Table3[[#Headers],[#Data]],3,FALSE)</f>
        <v>Health</v>
      </c>
      <c r="B343" t="s">
        <v>462</v>
      </c>
      <c r="C343">
        <f>VLOOKUP(B343,Table3[[#Headers],[#Data]],4, FALSE)</f>
        <v>40.75</v>
      </c>
      <c r="D343" t="str">
        <f>VLOOKUP('Rough data'!B343,Table3[[#Headers],[#Data]],2,FALSE)</f>
        <v>Blood Pressure Monitor Digital</v>
      </c>
      <c r="E343" t="str">
        <f>VLOOKUP(B343,Table3[[#Headers],[#Data]],5,FALSE)</f>
        <v>SELL0066</v>
      </c>
      <c r="F343" t="str">
        <f>VLOOKUP(E343,Table2[[#Headers],[#Data],[seller_id]:[seller_user]],2,FALSE)</f>
        <v>healthcarehelp</v>
      </c>
      <c r="G343">
        <v>1</v>
      </c>
      <c r="H343">
        <f t="shared" si="5"/>
        <v>40.75</v>
      </c>
    </row>
    <row r="344" spans="1:8" x14ac:dyDescent="0.3">
      <c r="A344" t="str">
        <f>VLOOKUP(B344,Table3[[#Headers],[#Data]],3,FALSE)</f>
        <v>Health</v>
      </c>
      <c r="B344" t="s">
        <v>462</v>
      </c>
      <c r="C344">
        <f>VLOOKUP(B344,Table3[[#Headers],[#Data]],4, FALSE)</f>
        <v>40.75</v>
      </c>
      <c r="D344" t="str">
        <f>VLOOKUP('Rough data'!B344,Table3[[#Headers],[#Data]],2,FALSE)</f>
        <v>Blood Pressure Monitor Digital</v>
      </c>
      <c r="E344" t="str">
        <f>VLOOKUP(B344,Table3[[#Headers],[#Data]],5,FALSE)</f>
        <v>SELL0066</v>
      </c>
      <c r="F344" t="str">
        <f>VLOOKUP(E344,Table2[[#Headers],[#Data],[seller_id]:[seller_user]],2,FALSE)</f>
        <v>healthcarehelp</v>
      </c>
      <c r="G344">
        <v>1</v>
      </c>
      <c r="H344">
        <f t="shared" si="5"/>
        <v>40.75</v>
      </c>
    </row>
    <row r="345" spans="1:8" x14ac:dyDescent="0.3">
      <c r="A345" t="str">
        <f>VLOOKUP(B345,Table3[[#Headers],[#Data]],3,FALSE)</f>
        <v>Health</v>
      </c>
      <c r="B345" t="s">
        <v>462</v>
      </c>
      <c r="C345">
        <f>VLOOKUP(B345,Table3[[#Headers],[#Data]],4, FALSE)</f>
        <v>40.75</v>
      </c>
      <c r="D345" t="str">
        <f>VLOOKUP('Rough data'!B345,Table3[[#Headers],[#Data]],2,FALSE)</f>
        <v>Blood Pressure Monitor Digital</v>
      </c>
      <c r="E345" t="str">
        <f>VLOOKUP(B345,Table3[[#Headers],[#Data]],5,FALSE)</f>
        <v>SELL0066</v>
      </c>
      <c r="F345" t="str">
        <f>VLOOKUP(E345,Table2[[#Headers],[#Data],[seller_id]:[seller_user]],2,FALSE)</f>
        <v>healthcarehelp</v>
      </c>
      <c r="G345">
        <v>1</v>
      </c>
      <c r="H345">
        <f t="shared" si="5"/>
        <v>40.75</v>
      </c>
    </row>
    <row r="346" spans="1:8" x14ac:dyDescent="0.3">
      <c r="A346" t="str">
        <f>VLOOKUP(B346,Table3[[#Headers],[#Data]],3,FALSE)</f>
        <v>Health</v>
      </c>
      <c r="B346" t="s">
        <v>462</v>
      </c>
      <c r="C346">
        <f>VLOOKUP(B346,Table3[[#Headers],[#Data]],4, FALSE)</f>
        <v>40.75</v>
      </c>
      <c r="D346" t="str">
        <f>VLOOKUP('Rough data'!B346,Table3[[#Headers],[#Data]],2,FALSE)</f>
        <v>Blood Pressure Monitor Digital</v>
      </c>
      <c r="E346" t="str">
        <f>VLOOKUP(B346,Table3[[#Headers],[#Data]],5,FALSE)</f>
        <v>SELL0066</v>
      </c>
      <c r="F346" t="str">
        <f>VLOOKUP(E346,Table2[[#Headers],[#Data],[seller_id]:[seller_user]],2,FALSE)</f>
        <v>healthcarehelp</v>
      </c>
      <c r="G346">
        <v>1</v>
      </c>
      <c r="H346">
        <f t="shared" si="5"/>
        <v>40.75</v>
      </c>
    </row>
    <row r="347" spans="1:8" x14ac:dyDescent="0.3">
      <c r="A347" t="str">
        <f>VLOOKUP(B347,Table3[[#Headers],[#Data]],3,FALSE)</f>
        <v>Toys</v>
      </c>
      <c r="B347" t="s">
        <v>465</v>
      </c>
      <c r="C347">
        <f>VLOOKUP(B347,Table3[[#Headers],[#Data]],4, FALSE)</f>
        <v>24.19</v>
      </c>
      <c r="D347" t="str">
        <f>VLOOKUP('Rough data'!B347,Table3[[#Headers],[#Data]],2,FALSE)</f>
        <v>Light up lawnmower AI powered</v>
      </c>
      <c r="E347" t="str">
        <f>VLOOKUP(B347,Table3[[#Headers],[#Data]],5,FALSE)</f>
        <v>SELL0067</v>
      </c>
      <c r="F347" t="str">
        <f>VLOOKUP(E347,Table2[[#Headers],[#Data],[seller_id]:[seller_user]],2,FALSE)</f>
        <v>w71bv3mee1</v>
      </c>
      <c r="G347">
        <v>1</v>
      </c>
      <c r="H347">
        <f t="shared" si="5"/>
        <v>24.19</v>
      </c>
    </row>
    <row r="348" spans="1:8" x14ac:dyDescent="0.3">
      <c r="A348" t="str">
        <f>VLOOKUP(B348,Table3[[#Headers],[#Data]],3,FALSE)</f>
        <v>Toys</v>
      </c>
      <c r="B348" t="s">
        <v>465</v>
      </c>
      <c r="C348">
        <f>VLOOKUP(B348,Table3[[#Headers],[#Data]],4, FALSE)</f>
        <v>24.19</v>
      </c>
      <c r="D348" t="str">
        <f>VLOOKUP('Rough data'!B348,Table3[[#Headers],[#Data]],2,FALSE)</f>
        <v>Light up lawnmower AI powered</v>
      </c>
      <c r="E348" t="str">
        <f>VLOOKUP(B348,Table3[[#Headers],[#Data]],5,FALSE)</f>
        <v>SELL0067</v>
      </c>
      <c r="F348" t="str">
        <f>VLOOKUP(E348,Table2[[#Headers],[#Data],[seller_id]:[seller_user]],2,FALSE)</f>
        <v>w71bv3mee1</v>
      </c>
      <c r="G348">
        <v>1</v>
      </c>
      <c r="H348">
        <f t="shared" si="5"/>
        <v>24.19</v>
      </c>
    </row>
    <row r="349" spans="1:8" x14ac:dyDescent="0.3">
      <c r="A349" t="str">
        <f>VLOOKUP(B349,Table3[[#Headers],[#Data]],3,FALSE)</f>
        <v>Toys</v>
      </c>
      <c r="B349" t="s">
        <v>465</v>
      </c>
      <c r="C349">
        <f>VLOOKUP(B349,Table3[[#Headers],[#Data]],4, FALSE)</f>
        <v>24.19</v>
      </c>
      <c r="D349" t="str">
        <f>VLOOKUP('Rough data'!B349,Table3[[#Headers],[#Data]],2,FALSE)</f>
        <v>Light up lawnmower AI powered</v>
      </c>
      <c r="E349" t="str">
        <f>VLOOKUP(B349,Table3[[#Headers],[#Data]],5,FALSE)</f>
        <v>SELL0067</v>
      </c>
      <c r="F349" t="str">
        <f>VLOOKUP(E349,Table2[[#Headers],[#Data],[seller_id]:[seller_user]],2,FALSE)</f>
        <v>w71bv3mee1</v>
      </c>
      <c r="G349">
        <v>1</v>
      </c>
      <c r="H349">
        <f t="shared" si="5"/>
        <v>24.19</v>
      </c>
    </row>
    <row r="350" spans="1:8" x14ac:dyDescent="0.3">
      <c r="A350" t="str">
        <f>VLOOKUP(B350,Table3[[#Headers],[#Data]],3,FALSE)</f>
        <v>Clothes</v>
      </c>
      <c r="B350" t="s">
        <v>468</v>
      </c>
      <c r="C350">
        <f>VLOOKUP(B350,Table3[[#Headers],[#Data]],4, FALSE)</f>
        <v>32.42</v>
      </c>
      <c r="D350" t="str">
        <f>VLOOKUP('Rough data'!B350,Table3[[#Headers],[#Data]],2,FALSE)</f>
        <v>Rain Jacket - Lightweight</v>
      </c>
      <c r="E350" t="str">
        <f>VLOOKUP(B350,Table3[[#Headers],[#Data]],5,FALSE)</f>
        <v>SELL0067</v>
      </c>
      <c r="F350" t="str">
        <f>VLOOKUP(E350,Table2[[#Headers],[#Data],[seller_id]:[seller_user]],2,FALSE)</f>
        <v>w71bv3mee1</v>
      </c>
      <c r="G350">
        <v>1</v>
      </c>
      <c r="H350">
        <f t="shared" si="5"/>
        <v>32.42</v>
      </c>
    </row>
    <row r="351" spans="1:8" x14ac:dyDescent="0.3">
      <c r="A351" t="str">
        <f>VLOOKUP(B351,Table3[[#Headers],[#Data]],3,FALSE)</f>
        <v>Clothes</v>
      </c>
      <c r="B351" t="s">
        <v>468</v>
      </c>
      <c r="C351">
        <f>VLOOKUP(B351,Table3[[#Headers],[#Data]],4, FALSE)</f>
        <v>32.42</v>
      </c>
      <c r="D351" t="str">
        <f>VLOOKUP('Rough data'!B351,Table3[[#Headers],[#Data]],2,FALSE)</f>
        <v>Rain Jacket - Lightweight</v>
      </c>
      <c r="E351" t="str">
        <f>VLOOKUP(B351,Table3[[#Headers],[#Data]],5,FALSE)</f>
        <v>SELL0067</v>
      </c>
      <c r="F351" t="str">
        <f>VLOOKUP(E351,Table2[[#Headers],[#Data],[seller_id]:[seller_user]],2,FALSE)</f>
        <v>w71bv3mee1</v>
      </c>
      <c r="G351">
        <v>1</v>
      </c>
      <c r="H351">
        <f t="shared" si="5"/>
        <v>32.42</v>
      </c>
    </row>
    <row r="352" spans="1:8" x14ac:dyDescent="0.3">
      <c r="A352" t="str">
        <f>VLOOKUP(B352,Table3[[#Headers],[#Data]],3,FALSE)</f>
        <v>Outdoor</v>
      </c>
      <c r="B352" t="s">
        <v>470</v>
      </c>
      <c r="C352">
        <f>VLOOKUP(B352,Table3[[#Headers],[#Data]],4, FALSE)</f>
        <v>30.95</v>
      </c>
      <c r="D352" t="str">
        <f>VLOOKUP('Rough data'!B352,Table3[[#Headers],[#Data]],2,FALSE)</f>
        <v>BBQ Cleaning Brush</v>
      </c>
      <c r="E352" t="str">
        <f>VLOOKUP(B352,Table3[[#Headers],[#Data]],5,FALSE)</f>
        <v>SELL0067</v>
      </c>
      <c r="F352" t="str">
        <f>VLOOKUP(E352,Table2[[#Headers],[#Data],[seller_id]:[seller_user]],2,FALSE)</f>
        <v>w71bv3mee1</v>
      </c>
      <c r="G352">
        <v>1</v>
      </c>
      <c r="H352">
        <f t="shared" si="5"/>
        <v>30.95</v>
      </c>
    </row>
    <row r="353" spans="1:8" x14ac:dyDescent="0.3">
      <c r="A353" t="str">
        <f>VLOOKUP(B353,Table3[[#Headers],[#Data]],3,FALSE)</f>
        <v>Outdoor</v>
      </c>
      <c r="B353" t="s">
        <v>470</v>
      </c>
      <c r="C353">
        <f>VLOOKUP(B353,Table3[[#Headers],[#Data]],4, FALSE)</f>
        <v>30.95</v>
      </c>
      <c r="D353" t="str">
        <f>VLOOKUP('Rough data'!B353,Table3[[#Headers],[#Data]],2,FALSE)</f>
        <v>BBQ Cleaning Brush</v>
      </c>
      <c r="E353" t="str">
        <f>VLOOKUP(B353,Table3[[#Headers],[#Data]],5,FALSE)</f>
        <v>SELL0067</v>
      </c>
      <c r="F353" t="str">
        <f>VLOOKUP(E353,Table2[[#Headers],[#Data],[seller_id]:[seller_user]],2,FALSE)</f>
        <v>w71bv3mee1</v>
      </c>
      <c r="G353">
        <v>1</v>
      </c>
      <c r="H353">
        <f t="shared" si="5"/>
        <v>30.95</v>
      </c>
    </row>
    <row r="354" spans="1:8" x14ac:dyDescent="0.3">
      <c r="A354" t="str">
        <f>VLOOKUP(B354,Table3[[#Headers],[#Data]],3,FALSE)</f>
        <v>Outdoor</v>
      </c>
      <c r="B354" t="s">
        <v>470</v>
      </c>
      <c r="C354">
        <f>VLOOKUP(B354,Table3[[#Headers],[#Data]],4, FALSE)</f>
        <v>30.95</v>
      </c>
      <c r="D354" t="str">
        <f>VLOOKUP('Rough data'!B354,Table3[[#Headers],[#Data]],2,FALSE)</f>
        <v>BBQ Cleaning Brush</v>
      </c>
      <c r="E354" t="str">
        <f>VLOOKUP(B354,Table3[[#Headers],[#Data]],5,FALSE)</f>
        <v>SELL0067</v>
      </c>
      <c r="F354" t="str">
        <f>VLOOKUP(E354,Table2[[#Headers],[#Data],[seller_id]:[seller_user]],2,FALSE)</f>
        <v>w71bv3mee1</v>
      </c>
      <c r="G354">
        <v>2</v>
      </c>
      <c r="H354">
        <f t="shared" si="5"/>
        <v>61.9</v>
      </c>
    </row>
    <row r="355" spans="1:8" x14ac:dyDescent="0.3">
      <c r="A355" t="str">
        <f>VLOOKUP(B355,Table3[[#Headers],[#Data]],3,FALSE)</f>
        <v>Outdoor</v>
      </c>
      <c r="B355" t="s">
        <v>470</v>
      </c>
      <c r="C355">
        <f>VLOOKUP(B355,Table3[[#Headers],[#Data]],4, FALSE)</f>
        <v>30.95</v>
      </c>
      <c r="D355" t="str">
        <f>VLOOKUP('Rough data'!B355,Table3[[#Headers],[#Data]],2,FALSE)</f>
        <v>BBQ Cleaning Brush</v>
      </c>
      <c r="E355" t="str">
        <f>VLOOKUP(B355,Table3[[#Headers],[#Data]],5,FALSE)</f>
        <v>SELL0067</v>
      </c>
      <c r="F355" t="str">
        <f>VLOOKUP(E355,Table2[[#Headers],[#Data],[seller_id]:[seller_user]],2,FALSE)</f>
        <v>w71bv3mee1</v>
      </c>
      <c r="G355">
        <v>2</v>
      </c>
      <c r="H355">
        <f t="shared" si="5"/>
        <v>61.9</v>
      </c>
    </row>
    <row r="356" spans="1:8" x14ac:dyDescent="0.3">
      <c r="A356" t="str">
        <f>VLOOKUP(B356,Table3[[#Headers],[#Data]],3,FALSE)</f>
        <v>Outdoor</v>
      </c>
      <c r="B356" t="s">
        <v>470</v>
      </c>
      <c r="C356">
        <f>VLOOKUP(B356,Table3[[#Headers],[#Data]],4, FALSE)</f>
        <v>30.95</v>
      </c>
      <c r="D356" t="str">
        <f>VLOOKUP('Rough data'!B356,Table3[[#Headers],[#Data]],2,FALSE)</f>
        <v>BBQ Cleaning Brush</v>
      </c>
      <c r="E356" t="str">
        <f>VLOOKUP(B356,Table3[[#Headers],[#Data]],5,FALSE)</f>
        <v>SELL0067</v>
      </c>
      <c r="F356" t="str">
        <f>VLOOKUP(E356,Table2[[#Headers],[#Data],[seller_id]:[seller_user]],2,FALSE)</f>
        <v>w71bv3mee1</v>
      </c>
      <c r="G356">
        <v>2</v>
      </c>
      <c r="H356">
        <f t="shared" si="5"/>
        <v>61.9</v>
      </c>
    </row>
    <row r="357" spans="1:8" x14ac:dyDescent="0.3">
      <c r="A357" t="str">
        <f>VLOOKUP(B357,Table3[[#Headers],[#Data]],3,FALSE)</f>
        <v>Outdoor</v>
      </c>
      <c r="B357" t="s">
        <v>470</v>
      </c>
      <c r="C357">
        <f>VLOOKUP(B357,Table3[[#Headers],[#Data]],4, FALSE)</f>
        <v>30.95</v>
      </c>
      <c r="D357" t="str">
        <f>VLOOKUP('Rough data'!B357,Table3[[#Headers],[#Data]],2,FALSE)</f>
        <v>BBQ Cleaning Brush</v>
      </c>
      <c r="E357" t="str">
        <f>VLOOKUP(B357,Table3[[#Headers],[#Data]],5,FALSE)</f>
        <v>SELL0067</v>
      </c>
      <c r="F357" t="str">
        <f>VLOOKUP(E357,Table2[[#Headers],[#Data],[seller_id]:[seller_user]],2,FALSE)</f>
        <v>w71bv3mee1</v>
      </c>
      <c r="G357">
        <v>1</v>
      </c>
      <c r="H357">
        <f t="shared" si="5"/>
        <v>30.95</v>
      </c>
    </row>
    <row r="358" spans="1:8" x14ac:dyDescent="0.3">
      <c r="A358" t="str">
        <f>VLOOKUP(B358,Table3[[#Headers],[#Data]],3,FALSE)</f>
        <v>Outdoor</v>
      </c>
      <c r="B358" t="s">
        <v>470</v>
      </c>
      <c r="C358">
        <f>VLOOKUP(B358,Table3[[#Headers],[#Data]],4, FALSE)</f>
        <v>30.95</v>
      </c>
      <c r="D358" t="str">
        <f>VLOOKUP('Rough data'!B358,Table3[[#Headers],[#Data]],2,FALSE)</f>
        <v>BBQ Cleaning Brush</v>
      </c>
      <c r="E358" t="str">
        <f>VLOOKUP(B358,Table3[[#Headers],[#Data]],5,FALSE)</f>
        <v>SELL0067</v>
      </c>
      <c r="F358" t="str">
        <f>VLOOKUP(E358,Table2[[#Headers],[#Data],[seller_id]:[seller_user]],2,FALSE)</f>
        <v>w71bv3mee1</v>
      </c>
      <c r="G358">
        <v>2</v>
      </c>
      <c r="H358">
        <f t="shared" si="5"/>
        <v>61.9</v>
      </c>
    </row>
    <row r="359" spans="1:8" x14ac:dyDescent="0.3">
      <c r="A359" t="str">
        <f>VLOOKUP(B359,Table3[[#Headers],[#Data]],3,FALSE)</f>
        <v>Outdoor</v>
      </c>
      <c r="B359" t="s">
        <v>470</v>
      </c>
      <c r="C359">
        <f>VLOOKUP(B359,Table3[[#Headers],[#Data]],4, FALSE)</f>
        <v>30.95</v>
      </c>
      <c r="D359" t="str">
        <f>VLOOKUP('Rough data'!B359,Table3[[#Headers],[#Data]],2,FALSE)</f>
        <v>BBQ Cleaning Brush</v>
      </c>
      <c r="E359" t="str">
        <f>VLOOKUP(B359,Table3[[#Headers],[#Data]],5,FALSE)</f>
        <v>SELL0067</v>
      </c>
      <c r="F359" t="str">
        <f>VLOOKUP(E359,Table2[[#Headers],[#Data],[seller_id]:[seller_user]],2,FALSE)</f>
        <v>w71bv3mee1</v>
      </c>
      <c r="G359">
        <v>1</v>
      </c>
      <c r="H359">
        <f t="shared" si="5"/>
        <v>30.95</v>
      </c>
    </row>
    <row r="360" spans="1:8" x14ac:dyDescent="0.3">
      <c r="A360" t="str">
        <f>VLOOKUP(B360,Table3[[#Headers],[#Data]],3,FALSE)</f>
        <v>Outdoor</v>
      </c>
      <c r="B360" t="s">
        <v>470</v>
      </c>
      <c r="C360">
        <f>VLOOKUP(B360,Table3[[#Headers],[#Data]],4, FALSE)</f>
        <v>30.95</v>
      </c>
      <c r="D360" t="str">
        <f>VLOOKUP('Rough data'!B360,Table3[[#Headers],[#Data]],2,FALSE)</f>
        <v>BBQ Cleaning Brush</v>
      </c>
      <c r="E360" t="str">
        <f>VLOOKUP(B360,Table3[[#Headers],[#Data]],5,FALSE)</f>
        <v>SELL0067</v>
      </c>
      <c r="F360" t="str">
        <f>VLOOKUP(E360,Table2[[#Headers],[#Data],[seller_id]:[seller_user]],2,FALSE)</f>
        <v>w71bv3mee1</v>
      </c>
      <c r="G360">
        <v>2</v>
      </c>
      <c r="H360">
        <f t="shared" si="5"/>
        <v>61.9</v>
      </c>
    </row>
    <row r="361" spans="1:8" x14ac:dyDescent="0.3">
      <c r="A361" t="str">
        <f>VLOOKUP(B361,Table3[[#Headers],[#Data]],3,FALSE)</f>
        <v>Outdoor</v>
      </c>
      <c r="B361" t="s">
        <v>470</v>
      </c>
      <c r="C361">
        <f>VLOOKUP(B361,Table3[[#Headers],[#Data]],4, FALSE)</f>
        <v>30.95</v>
      </c>
      <c r="D361" t="str">
        <f>VLOOKUP('Rough data'!B361,Table3[[#Headers],[#Data]],2,FALSE)</f>
        <v>BBQ Cleaning Brush</v>
      </c>
      <c r="E361" t="str">
        <f>VLOOKUP(B361,Table3[[#Headers],[#Data]],5,FALSE)</f>
        <v>SELL0067</v>
      </c>
      <c r="F361" t="str">
        <f>VLOOKUP(E361,Table2[[#Headers],[#Data],[seller_id]:[seller_user]],2,FALSE)</f>
        <v>w71bv3mee1</v>
      </c>
      <c r="G361">
        <v>1</v>
      </c>
      <c r="H361">
        <f t="shared" si="5"/>
        <v>30.95</v>
      </c>
    </row>
    <row r="362" spans="1:8" x14ac:dyDescent="0.3">
      <c r="A362" t="str">
        <f>VLOOKUP(B362,Table3[[#Headers],[#Data]],3,FALSE)</f>
        <v>Outdoor</v>
      </c>
      <c r="B362" t="s">
        <v>472</v>
      </c>
      <c r="C362">
        <f>VLOOKUP(B362,Table3[[#Headers],[#Data]],4, FALSE)</f>
        <v>72.790000000000006</v>
      </c>
      <c r="D362" t="str">
        <f>VLOOKUP('Rough data'!B362,Table3[[#Headers],[#Data]],2,FALSE)</f>
        <v>BBQ Cleaning Brush XXL</v>
      </c>
      <c r="E362" t="str">
        <f>VLOOKUP(B362,Table3[[#Headers],[#Data]],5,FALSE)</f>
        <v>SELL0067</v>
      </c>
      <c r="F362" t="str">
        <f>VLOOKUP(E362,Table2[[#Headers],[#Data],[seller_id]:[seller_user]],2,FALSE)</f>
        <v>w71bv3mee1</v>
      </c>
      <c r="G362">
        <v>2</v>
      </c>
      <c r="H362">
        <f t="shared" si="5"/>
        <v>145.58000000000001</v>
      </c>
    </row>
    <row r="363" spans="1:8" x14ac:dyDescent="0.3">
      <c r="A363" t="str">
        <f>VLOOKUP(B363,Table3[[#Headers],[#Data]],3,FALSE)</f>
        <v>Outdoor</v>
      </c>
      <c r="B363" t="s">
        <v>472</v>
      </c>
      <c r="C363">
        <f>VLOOKUP(B363,Table3[[#Headers],[#Data]],4, FALSE)</f>
        <v>72.790000000000006</v>
      </c>
      <c r="D363" t="str">
        <f>VLOOKUP('Rough data'!B363,Table3[[#Headers],[#Data]],2,FALSE)</f>
        <v>BBQ Cleaning Brush XXL</v>
      </c>
      <c r="E363" t="str">
        <f>VLOOKUP(B363,Table3[[#Headers],[#Data]],5,FALSE)</f>
        <v>SELL0067</v>
      </c>
      <c r="F363" t="str">
        <f>VLOOKUP(E363,Table2[[#Headers],[#Data],[seller_id]:[seller_user]],2,FALSE)</f>
        <v>w71bv3mee1</v>
      </c>
      <c r="G363">
        <v>1</v>
      </c>
      <c r="H363">
        <f t="shared" si="5"/>
        <v>72.790000000000006</v>
      </c>
    </row>
    <row r="364" spans="1:8" x14ac:dyDescent="0.3">
      <c r="A364" t="str">
        <f>VLOOKUP(B364,Table3[[#Headers],[#Data]],3,FALSE)</f>
        <v>Outdoor</v>
      </c>
      <c r="B364" t="s">
        <v>472</v>
      </c>
      <c r="C364">
        <f>VLOOKUP(B364,Table3[[#Headers],[#Data]],4, FALSE)</f>
        <v>72.790000000000006</v>
      </c>
      <c r="D364" t="str">
        <f>VLOOKUP('Rough data'!B364,Table3[[#Headers],[#Data]],2,FALSE)</f>
        <v>BBQ Cleaning Brush XXL</v>
      </c>
      <c r="E364" t="str">
        <f>VLOOKUP(B364,Table3[[#Headers],[#Data]],5,FALSE)</f>
        <v>SELL0067</v>
      </c>
      <c r="F364" t="str">
        <f>VLOOKUP(E364,Table2[[#Headers],[#Data],[seller_id]:[seller_user]],2,FALSE)</f>
        <v>w71bv3mee1</v>
      </c>
      <c r="G364">
        <v>1</v>
      </c>
      <c r="H364">
        <f t="shared" si="5"/>
        <v>72.790000000000006</v>
      </c>
    </row>
    <row r="365" spans="1:8" x14ac:dyDescent="0.3">
      <c r="A365" t="str">
        <f>VLOOKUP(B365,Table3[[#Headers],[#Data]],3,FALSE)</f>
        <v>Outdoor</v>
      </c>
      <c r="B365" t="s">
        <v>472</v>
      </c>
      <c r="C365">
        <f>VLOOKUP(B365,Table3[[#Headers],[#Data]],4, FALSE)</f>
        <v>72.790000000000006</v>
      </c>
      <c r="D365" t="str">
        <f>VLOOKUP('Rough data'!B365,Table3[[#Headers],[#Data]],2,FALSE)</f>
        <v>BBQ Cleaning Brush XXL</v>
      </c>
      <c r="E365" t="str">
        <f>VLOOKUP(B365,Table3[[#Headers],[#Data]],5,FALSE)</f>
        <v>SELL0067</v>
      </c>
      <c r="F365" t="str">
        <f>VLOOKUP(E365,Table2[[#Headers],[#Data],[seller_id]:[seller_user]],2,FALSE)</f>
        <v>w71bv3mee1</v>
      </c>
      <c r="G365">
        <v>1</v>
      </c>
      <c r="H365">
        <f t="shared" si="5"/>
        <v>72.790000000000006</v>
      </c>
    </row>
    <row r="366" spans="1:8" x14ac:dyDescent="0.3">
      <c r="A366" t="str">
        <f>VLOOKUP(B366,Table3[[#Headers],[#Data]],3,FALSE)</f>
        <v>Beauty</v>
      </c>
      <c r="B366" t="s">
        <v>474</v>
      </c>
      <c r="C366">
        <f>VLOOKUP(B366,Table3[[#Headers],[#Data]],4, FALSE)</f>
        <v>27.55</v>
      </c>
      <c r="D366" t="str">
        <f>VLOOKUP('Rough data'!B366,Table3[[#Headers],[#Data]],2,FALSE)</f>
        <v>Body Lotion Shea Butter 1L</v>
      </c>
      <c r="E366" t="str">
        <f>VLOOKUP(B366,Table3[[#Headers],[#Data]],5,FALSE)</f>
        <v>SELL0067</v>
      </c>
      <c r="F366" t="str">
        <f>VLOOKUP(E366,Table2[[#Headers],[#Data],[seller_id]:[seller_user]],2,FALSE)</f>
        <v>w71bv3mee1</v>
      </c>
      <c r="G366">
        <v>2</v>
      </c>
      <c r="H366">
        <f t="shared" si="5"/>
        <v>55.1</v>
      </c>
    </row>
    <row r="367" spans="1:8" x14ac:dyDescent="0.3">
      <c r="A367" t="str">
        <f>VLOOKUP(B367,Table3[[#Headers],[#Data]],3,FALSE)</f>
        <v>Beauty</v>
      </c>
      <c r="B367" t="s">
        <v>474</v>
      </c>
      <c r="C367">
        <f>VLOOKUP(B367,Table3[[#Headers],[#Data]],4, FALSE)</f>
        <v>27.55</v>
      </c>
      <c r="D367" t="str">
        <f>VLOOKUP('Rough data'!B367,Table3[[#Headers],[#Data]],2,FALSE)</f>
        <v>Body Lotion Shea Butter 1L</v>
      </c>
      <c r="E367" t="str">
        <f>VLOOKUP(B367,Table3[[#Headers],[#Data]],5,FALSE)</f>
        <v>SELL0067</v>
      </c>
      <c r="F367" t="str">
        <f>VLOOKUP(E367,Table2[[#Headers],[#Data],[seller_id]:[seller_user]],2,FALSE)</f>
        <v>w71bv3mee1</v>
      </c>
      <c r="G367">
        <v>1</v>
      </c>
      <c r="H367">
        <f t="shared" si="5"/>
        <v>27.55</v>
      </c>
    </row>
    <row r="368" spans="1:8" x14ac:dyDescent="0.3">
      <c r="A368" t="str">
        <f>VLOOKUP(B368,Table3[[#Headers],[#Data]],3,FALSE)</f>
        <v>Electronics</v>
      </c>
      <c r="B368" t="s">
        <v>478</v>
      </c>
      <c r="C368">
        <f>VLOOKUP(B368,Table3[[#Headers],[#Data]],4, FALSE)</f>
        <v>38.56</v>
      </c>
      <c r="D368" t="str">
        <f>VLOOKUP('Rough data'!B368,Table3[[#Headers],[#Data]],2,FALSE)</f>
        <v>USB C Fast Charger 30W (Black)</v>
      </c>
      <c r="E368" t="str">
        <f>VLOOKUP(B368,Table3[[#Headers],[#Data]],5,FALSE)</f>
        <v>SELL0067</v>
      </c>
      <c r="F368" t="str">
        <f>VLOOKUP(E368,Table2[[#Headers],[#Data],[seller_id]:[seller_user]],2,FALSE)</f>
        <v>w71bv3mee1</v>
      </c>
      <c r="G368">
        <v>1</v>
      </c>
      <c r="H368">
        <f t="shared" si="5"/>
        <v>38.56</v>
      </c>
    </row>
    <row r="369" spans="1:8" x14ac:dyDescent="0.3">
      <c r="A369" t="str">
        <f>VLOOKUP(B369,Table3[[#Headers],[#Data]],3,FALSE)</f>
        <v>Electronics</v>
      </c>
      <c r="B369" t="s">
        <v>478</v>
      </c>
      <c r="C369">
        <f>VLOOKUP(B369,Table3[[#Headers],[#Data]],4, FALSE)</f>
        <v>38.56</v>
      </c>
      <c r="D369" t="str">
        <f>VLOOKUP('Rough data'!B369,Table3[[#Headers],[#Data]],2,FALSE)</f>
        <v>USB C Fast Charger 30W (Black)</v>
      </c>
      <c r="E369" t="str">
        <f>VLOOKUP(B369,Table3[[#Headers],[#Data]],5,FALSE)</f>
        <v>SELL0067</v>
      </c>
      <c r="F369" t="str">
        <f>VLOOKUP(E369,Table2[[#Headers],[#Data],[seller_id]:[seller_user]],2,FALSE)</f>
        <v>w71bv3mee1</v>
      </c>
      <c r="G369">
        <v>1</v>
      </c>
      <c r="H369">
        <f t="shared" si="5"/>
        <v>38.56</v>
      </c>
    </row>
    <row r="370" spans="1:8" x14ac:dyDescent="0.3">
      <c r="A370" t="str">
        <f>VLOOKUP(B370,Table3[[#Headers],[#Data]],3,FALSE)</f>
        <v>Clothes</v>
      </c>
      <c r="B370" t="s">
        <v>480</v>
      </c>
      <c r="C370">
        <f>VLOOKUP(B370,Table3[[#Headers],[#Data]],4, FALSE)</f>
        <v>52.53</v>
      </c>
      <c r="D370" t="str">
        <f>VLOOKUP('Rough data'!B370,Table3[[#Headers],[#Data]],2,FALSE)</f>
        <v>Denim Shirt M</v>
      </c>
      <c r="E370" t="str">
        <f>VLOOKUP(B370,Table3[[#Headers],[#Data]],5,FALSE)</f>
        <v>SELL0068</v>
      </c>
      <c r="F370" t="str">
        <f>VLOOKUP(E370,Table2[[#Headers],[#Data],[seller_id]:[seller_user]],2,FALSE)</f>
        <v>wearitall</v>
      </c>
      <c r="G370">
        <v>1</v>
      </c>
      <c r="H370">
        <f t="shared" si="5"/>
        <v>52.53</v>
      </c>
    </row>
    <row r="371" spans="1:8" x14ac:dyDescent="0.3">
      <c r="A371" t="str">
        <f>VLOOKUP(B371,Table3[[#Headers],[#Data]],3,FALSE)</f>
        <v>Beauty</v>
      </c>
      <c r="B371" t="s">
        <v>485</v>
      </c>
      <c r="C371">
        <f>VLOOKUP(B371,Table3[[#Headers],[#Data]],4, FALSE)</f>
        <v>32.01</v>
      </c>
      <c r="D371" t="str">
        <f>VLOOKUP('Rough data'!B371,Table3[[#Headers],[#Data]],2,FALSE)</f>
        <v>Hydrating Face Mist 500ml</v>
      </c>
      <c r="E371" t="str">
        <f>VLOOKUP(B371,Table3[[#Headers],[#Data]],5,FALSE)</f>
        <v>SELL0069</v>
      </c>
      <c r="F371" t="str">
        <f>VLOOKUP(E371,Table2[[#Headers],[#Data],[seller_id]:[seller_user]],2,FALSE)</f>
        <v>barbievend</v>
      </c>
      <c r="G371">
        <v>1</v>
      </c>
      <c r="H371">
        <f t="shared" si="5"/>
        <v>32.01</v>
      </c>
    </row>
    <row r="372" spans="1:8" x14ac:dyDescent="0.3">
      <c r="A372" t="str">
        <f>VLOOKUP(B372,Table3[[#Headers],[#Data]],3,FALSE)</f>
        <v>Outdoor</v>
      </c>
      <c r="B372" t="s">
        <v>490</v>
      </c>
      <c r="C372">
        <f>VLOOKUP(B372,Table3[[#Headers],[#Data]],4, FALSE)</f>
        <v>50.7</v>
      </c>
      <c r="D372" t="str">
        <f>VLOOKUP('Rough data'!B372,Table3[[#Headers],[#Data]],2,FALSE)</f>
        <v>Beach Umbrella - UV50+ White</v>
      </c>
      <c r="E372" t="str">
        <f>VLOOKUP(B372,Table3[[#Headers],[#Data]],5,FALSE)</f>
        <v>SELL0069</v>
      </c>
      <c r="F372" t="str">
        <f>VLOOKUP(E372,Table2[[#Headers],[#Data],[seller_id]:[seller_user]],2,FALSE)</f>
        <v>barbievend</v>
      </c>
      <c r="G372">
        <v>1</v>
      </c>
      <c r="H372">
        <f t="shared" si="5"/>
        <v>50.7</v>
      </c>
    </row>
    <row r="373" spans="1:8" x14ac:dyDescent="0.3">
      <c r="A373" t="str">
        <f>VLOOKUP(B373,Table3[[#Headers],[#Data]],3,FALSE)</f>
        <v>Clothes</v>
      </c>
      <c r="B373" t="s">
        <v>492</v>
      </c>
      <c r="C373">
        <f>VLOOKUP(B373,Table3[[#Headers],[#Data]],4, FALSE)</f>
        <v>53.17</v>
      </c>
      <c r="D373" t="str">
        <f>VLOOKUP('Rough data'!B373,Table3[[#Headers],[#Data]],2,FALSE)</f>
        <v>Unisex Hoodie - Navy XL</v>
      </c>
      <c r="E373" t="str">
        <f>VLOOKUP(B373,Table3[[#Headers],[#Data]],5,FALSE)</f>
        <v>SELL0070</v>
      </c>
      <c r="F373" t="str">
        <f>VLOOKUP(E373,Table2[[#Headers],[#Data],[seller_id]:[seller_user]],2,FALSE)</f>
        <v>homeandaways</v>
      </c>
      <c r="G373">
        <v>1</v>
      </c>
      <c r="H373">
        <f t="shared" si="5"/>
        <v>53.17</v>
      </c>
    </row>
    <row r="374" spans="1:8" x14ac:dyDescent="0.3">
      <c r="A374" t="str">
        <f>VLOOKUP(B374,Table3[[#Headers],[#Data]],3,FALSE)</f>
        <v>Home</v>
      </c>
      <c r="B374" t="s">
        <v>495</v>
      </c>
      <c r="C374">
        <f>VLOOKUP(B374,Table3[[#Headers],[#Data]],4, FALSE)</f>
        <v>14.98</v>
      </c>
      <c r="D374" t="str">
        <f>VLOOKUP('Rough data'!B374,Table3[[#Headers],[#Data]],2,FALSE)</f>
        <v>Essential Oil Diffuser Mains Powered</v>
      </c>
      <c r="E374" t="str">
        <f>VLOOKUP(B374,Table3[[#Headers],[#Data]],5,FALSE)</f>
        <v>SELL0070</v>
      </c>
      <c r="F374" t="str">
        <f>VLOOKUP(E374,Table2[[#Headers],[#Data],[seller_id]:[seller_user]],2,FALSE)</f>
        <v>homeandaways</v>
      </c>
      <c r="G374">
        <v>1</v>
      </c>
      <c r="H374">
        <f t="shared" si="5"/>
        <v>14.98</v>
      </c>
    </row>
    <row r="375" spans="1:8" x14ac:dyDescent="0.3">
      <c r="A375" t="str">
        <f>VLOOKUP(B375,Table3[[#Headers],[#Data]],3,FALSE)</f>
        <v>Home</v>
      </c>
      <c r="B375" t="s">
        <v>495</v>
      </c>
      <c r="C375">
        <f>VLOOKUP(B375,Table3[[#Headers],[#Data]],4, FALSE)</f>
        <v>14.98</v>
      </c>
      <c r="D375" t="str">
        <f>VLOOKUP('Rough data'!B375,Table3[[#Headers],[#Data]],2,FALSE)</f>
        <v>Essential Oil Diffuser Mains Powered</v>
      </c>
      <c r="E375" t="str">
        <f>VLOOKUP(B375,Table3[[#Headers],[#Data]],5,FALSE)</f>
        <v>SELL0070</v>
      </c>
      <c r="F375" t="str">
        <f>VLOOKUP(E375,Table2[[#Headers],[#Data],[seller_id]:[seller_user]],2,FALSE)</f>
        <v>homeandaways</v>
      </c>
      <c r="G375">
        <v>1</v>
      </c>
      <c r="H375">
        <f t="shared" si="5"/>
        <v>14.98</v>
      </c>
    </row>
    <row r="376" spans="1:8" x14ac:dyDescent="0.3">
      <c r="A376" t="str">
        <f>VLOOKUP(B376,Table3[[#Headers],[#Data]],3,FALSE)</f>
        <v>Home</v>
      </c>
      <c r="B376" t="s">
        <v>495</v>
      </c>
      <c r="C376">
        <f>VLOOKUP(B376,Table3[[#Headers],[#Data]],4, FALSE)</f>
        <v>14.98</v>
      </c>
      <c r="D376" t="str">
        <f>VLOOKUP('Rough data'!B376,Table3[[#Headers],[#Data]],2,FALSE)</f>
        <v>Essential Oil Diffuser Mains Powered</v>
      </c>
      <c r="E376" t="str">
        <f>VLOOKUP(B376,Table3[[#Headers],[#Data]],5,FALSE)</f>
        <v>SELL0070</v>
      </c>
      <c r="F376" t="str">
        <f>VLOOKUP(E376,Table2[[#Headers],[#Data],[seller_id]:[seller_user]],2,FALSE)</f>
        <v>homeandaways</v>
      </c>
      <c r="G376">
        <v>1</v>
      </c>
      <c r="H376">
        <f t="shared" si="5"/>
        <v>14.98</v>
      </c>
    </row>
    <row r="377" spans="1:8" x14ac:dyDescent="0.3">
      <c r="A377" t="str">
        <f>VLOOKUP(B377,Table3[[#Headers],[#Data]],3,FALSE)</f>
        <v>Toys</v>
      </c>
      <c r="B377" t="s">
        <v>497</v>
      </c>
      <c r="C377">
        <f>VLOOKUP(B377,Table3[[#Headers],[#Data]],4, FALSE)</f>
        <v>32.44</v>
      </c>
      <c r="D377" t="str">
        <f>VLOOKUP('Rough data'!B377,Table3[[#Headers],[#Data]],2,FALSE)</f>
        <v>Educational Puzzle - Zoo Animals</v>
      </c>
      <c r="E377" t="str">
        <f>VLOOKUP(B377,Table3[[#Headers],[#Data]],5,FALSE)</f>
        <v>SELL0070</v>
      </c>
      <c r="F377" t="str">
        <f>VLOOKUP(E377,Table2[[#Headers],[#Data],[seller_id]:[seller_user]],2,FALSE)</f>
        <v>homeandaways</v>
      </c>
      <c r="G377">
        <v>1</v>
      </c>
      <c r="H377">
        <f t="shared" si="5"/>
        <v>32.44</v>
      </c>
    </row>
    <row r="378" spans="1:8" x14ac:dyDescent="0.3">
      <c r="A378" t="str">
        <f>VLOOKUP(B378,Table3[[#Headers],[#Data]],3,FALSE)</f>
        <v>Toys</v>
      </c>
      <c r="B378" t="s">
        <v>497</v>
      </c>
      <c r="C378">
        <f>VLOOKUP(B378,Table3[[#Headers],[#Data]],4, FALSE)</f>
        <v>32.44</v>
      </c>
      <c r="D378" t="str">
        <f>VLOOKUP('Rough data'!B378,Table3[[#Headers],[#Data]],2,FALSE)</f>
        <v>Educational Puzzle - Zoo Animals</v>
      </c>
      <c r="E378" t="str">
        <f>VLOOKUP(B378,Table3[[#Headers],[#Data]],5,FALSE)</f>
        <v>SELL0070</v>
      </c>
      <c r="F378" t="str">
        <f>VLOOKUP(E378,Table2[[#Headers],[#Data],[seller_id]:[seller_user]],2,FALSE)</f>
        <v>homeandaways</v>
      </c>
      <c r="G378">
        <v>1</v>
      </c>
      <c r="H378">
        <f t="shared" si="5"/>
        <v>32.44</v>
      </c>
    </row>
    <row r="379" spans="1:8" x14ac:dyDescent="0.3">
      <c r="A379" t="str">
        <f>VLOOKUP(B379,Table3[[#Headers],[#Data]],3,FALSE)</f>
        <v>Toys</v>
      </c>
      <c r="B379" t="s">
        <v>497</v>
      </c>
      <c r="C379">
        <f>VLOOKUP(B379,Table3[[#Headers],[#Data]],4, FALSE)</f>
        <v>32.44</v>
      </c>
      <c r="D379" t="str">
        <f>VLOOKUP('Rough data'!B379,Table3[[#Headers],[#Data]],2,FALSE)</f>
        <v>Educational Puzzle - Zoo Animals</v>
      </c>
      <c r="E379" t="str">
        <f>VLOOKUP(B379,Table3[[#Headers],[#Data]],5,FALSE)</f>
        <v>SELL0070</v>
      </c>
      <c r="F379" t="str">
        <f>VLOOKUP(E379,Table2[[#Headers],[#Data],[seller_id]:[seller_user]],2,FALSE)</f>
        <v>homeandaways</v>
      </c>
      <c r="G379">
        <v>1</v>
      </c>
      <c r="H379">
        <f t="shared" si="5"/>
        <v>32.44</v>
      </c>
    </row>
    <row r="380" spans="1:8" x14ac:dyDescent="0.3">
      <c r="A380" t="str">
        <f>VLOOKUP(B380,Table3[[#Headers],[#Data]],3,FALSE)</f>
        <v>Jewellery</v>
      </c>
      <c r="B380" t="s">
        <v>499</v>
      </c>
      <c r="C380">
        <f>VLOOKUP(B380,Table3[[#Headers],[#Data]],4, FALSE)</f>
        <v>52.35</v>
      </c>
      <c r="D380" t="str">
        <f>VLOOKUP('Rough data'!B380,Table3[[#Headers],[#Data]],2,FALSE)</f>
        <v>Sterling Silver 925 Stud Earrings Pair Ladybird</v>
      </c>
      <c r="E380" t="str">
        <f>VLOOKUP(B380,Table3[[#Headers],[#Data]],5,FALSE)</f>
        <v>SELL0063</v>
      </c>
      <c r="F380" t="str">
        <f>VLOOKUP(E380,Table2[[#Headers],[#Data],[seller_id]:[seller_user]],2,FALSE)</f>
        <v>uqcoiiv4s9</v>
      </c>
      <c r="G380">
        <v>1</v>
      </c>
      <c r="H380">
        <f t="shared" si="5"/>
        <v>52.35</v>
      </c>
    </row>
    <row r="381" spans="1:8" x14ac:dyDescent="0.3">
      <c r="A381" t="str">
        <f>VLOOKUP(B381,Table3[[#Headers],[#Data]],3,FALSE)</f>
        <v>Jewellery</v>
      </c>
      <c r="B381" t="s">
        <v>499</v>
      </c>
      <c r="C381">
        <f>VLOOKUP(B381,Table3[[#Headers],[#Data]],4, FALSE)</f>
        <v>52.35</v>
      </c>
      <c r="D381" t="str">
        <f>VLOOKUP('Rough data'!B381,Table3[[#Headers],[#Data]],2,FALSE)</f>
        <v>Sterling Silver 925 Stud Earrings Pair Ladybird</v>
      </c>
      <c r="E381" t="str">
        <f>VLOOKUP(B381,Table3[[#Headers],[#Data]],5,FALSE)</f>
        <v>SELL0063</v>
      </c>
      <c r="F381" t="str">
        <f>VLOOKUP(E381,Table2[[#Headers],[#Data],[seller_id]:[seller_user]],2,FALSE)</f>
        <v>uqcoiiv4s9</v>
      </c>
      <c r="G381">
        <v>1</v>
      </c>
      <c r="H381">
        <f t="shared" si="5"/>
        <v>52.35</v>
      </c>
    </row>
    <row r="382" spans="1:8" x14ac:dyDescent="0.3">
      <c r="A382" t="str">
        <f>VLOOKUP(B382,Table3[[#Headers],[#Data]],3,FALSE)</f>
        <v>Outdoor</v>
      </c>
      <c r="B382" t="s">
        <v>501</v>
      </c>
      <c r="C382">
        <f>VLOOKUP(B382,Table3[[#Headers],[#Data]],4, FALSE)</f>
        <v>32.67</v>
      </c>
      <c r="D382" t="str">
        <f>VLOOKUP('Rough data'!B382,Table3[[#Headers],[#Data]],2,FALSE)</f>
        <v>Snorkel Set - Adult Small</v>
      </c>
      <c r="E382" t="str">
        <f>VLOOKUP(B382,Table3[[#Headers],[#Data]],5,FALSE)</f>
        <v>SELL0070</v>
      </c>
      <c r="F382" t="str">
        <f>VLOOKUP(E382,Table2[[#Headers],[#Data],[seller_id]:[seller_user]],2,FALSE)</f>
        <v>homeandaways</v>
      </c>
      <c r="G382">
        <v>2</v>
      </c>
      <c r="H382">
        <f t="shared" si="5"/>
        <v>65.34</v>
      </c>
    </row>
    <row r="383" spans="1:8" x14ac:dyDescent="0.3">
      <c r="A383" t="str">
        <f>VLOOKUP(B383,Table3[[#Headers],[#Data]],3,FALSE)</f>
        <v>Outdoor</v>
      </c>
      <c r="B383" t="s">
        <v>501</v>
      </c>
      <c r="C383">
        <f>VLOOKUP(B383,Table3[[#Headers],[#Data]],4, FALSE)</f>
        <v>32.67</v>
      </c>
      <c r="D383" t="str">
        <f>VLOOKUP('Rough data'!B383,Table3[[#Headers],[#Data]],2,FALSE)</f>
        <v>Snorkel Set - Adult Small</v>
      </c>
      <c r="E383" t="str">
        <f>VLOOKUP(B383,Table3[[#Headers],[#Data]],5,FALSE)</f>
        <v>SELL0070</v>
      </c>
      <c r="F383" t="str">
        <f>VLOOKUP(E383,Table2[[#Headers],[#Data],[seller_id]:[seller_user]],2,FALSE)</f>
        <v>homeandaways</v>
      </c>
      <c r="G383">
        <v>1</v>
      </c>
      <c r="H383">
        <f t="shared" si="5"/>
        <v>32.67</v>
      </c>
    </row>
    <row r="384" spans="1:8" x14ac:dyDescent="0.3">
      <c r="A384" t="str">
        <f>VLOOKUP(B384,Table3[[#Headers],[#Data]],3,FALSE)</f>
        <v>Outdoor</v>
      </c>
      <c r="B384" t="s">
        <v>501</v>
      </c>
      <c r="C384">
        <f>VLOOKUP(B384,Table3[[#Headers],[#Data]],4, FALSE)</f>
        <v>32.67</v>
      </c>
      <c r="D384" t="str">
        <f>VLOOKUP('Rough data'!B384,Table3[[#Headers],[#Data]],2,FALSE)</f>
        <v>Snorkel Set - Adult Small</v>
      </c>
      <c r="E384" t="str">
        <f>VLOOKUP(B384,Table3[[#Headers],[#Data]],5,FALSE)</f>
        <v>SELL0070</v>
      </c>
      <c r="F384" t="str">
        <f>VLOOKUP(E384,Table2[[#Headers],[#Data],[seller_id]:[seller_user]],2,FALSE)</f>
        <v>homeandaways</v>
      </c>
      <c r="G384">
        <v>1</v>
      </c>
      <c r="H384">
        <f t="shared" si="5"/>
        <v>32.67</v>
      </c>
    </row>
    <row r="385" spans="1:8" x14ac:dyDescent="0.3">
      <c r="A385" t="str">
        <f>VLOOKUP(B385,Table3[[#Headers],[#Data]],3,FALSE)</f>
        <v>Outdoor</v>
      </c>
      <c r="B385" t="s">
        <v>501</v>
      </c>
      <c r="C385">
        <f>VLOOKUP(B385,Table3[[#Headers],[#Data]],4, FALSE)</f>
        <v>32.67</v>
      </c>
      <c r="D385" t="str">
        <f>VLOOKUP('Rough data'!B385,Table3[[#Headers],[#Data]],2,FALSE)</f>
        <v>Snorkel Set - Adult Small</v>
      </c>
      <c r="E385" t="str">
        <f>VLOOKUP(B385,Table3[[#Headers],[#Data]],5,FALSE)</f>
        <v>SELL0070</v>
      </c>
      <c r="F385" t="str">
        <f>VLOOKUP(E385,Table2[[#Headers],[#Data],[seller_id]:[seller_user]],2,FALSE)</f>
        <v>homeandaways</v>
      </c>
      <c r="G385">
        <v>1</v>
      </c>
      <c r="H385">
        <f t="shared" si="5"/>
        <v>32.67</v>
      </c>
    </row>
    <row r="386" spans="1:8" x14ac:dyDescent="0.3">
      <c r="A386" t="str">
        <f>VLOOKUP(B386,Table3[[#Headers],[#Data]],3,FALSE)</f>
        <v>Outdoor</v>
      </c>
      <c r="B386" t="s">
        <v>501</v>
      </c>
      <c r="C386">
        <f>VLOOKUP(B386,Table3[[#Headers],[#Data]],4, FALSE)</f>
        <v>32.67</v>
      </c>
      <c r="D386" t="str">
        <f>VLOOKUP('Rough data'!B386,Table3[[#Headers],[#Data]],2,FALSE)</f>
        <v>Snorkel Set - Adult Small</v>
      </c>
      <c r="E386" t="str">
        <f>VLOOKUP(B386,Table3[[#Headers],[#Data]],5,FALSE)</f>
        <v>SELL0070</v>
      </c>
      <c r="F386" t="str">
        <f>VLOOKUP(E386,Table2[[#Headers],[#Data],[seller_id]:[seller_user]],2,FALSE)</f>
        <v>homeandaways</v>
      </c>
      <c r="G386">
        <v>1</v>
      </c>
      <c r="H386">
        <f t="shared" ref="H386:H449" si="6">G386*C386</f>
        <v>32.67</v>
      </c>
    </row>
    <row r="387" spans="1:8" x14ac:dyDescent="0.3">
      <c r="A387" t="str">
        <f>VLOOKUP(B387,Table3[[#Headers],[#Data]],3,FALSE)</f>
        <v>Outdoor</v>
      </c>
      <c r="B387" t="s">
        <v>501</v>
      </c>
      <c r="C387">
        <f>VLOOKUP(B387,Table3[[#Headers],[#Data]],4, FALSE)</f>
        <v>32.67</v>
      </c>
      <c r="D387" t="str">
        <f>VLOOKUP('Rough data'!B387,Table3[[#Headers],[#Data]],2,FALSE)</f>
        <v>Snorkel Set - Adult Small</v>
      </c>
      <c r="E387" t="str">
        <f>VLOOKUP(B387,Table3[[#Headers],[#Data]],5,FALSE)</f>
        <v>SELL0070</v>
      </c>
      <c r="F387" t="str">
        <f>VLOOKUP(E387,Table2[[#Headers],[#Data],[seller_id]:[seller_user]],2,FALSE)</f>
        <v>homeandaways</v>
      </c>
      <c r="G387">
        <v>1</v>
      </c>
      <c r="H387">
        <f t="shared" si="6"/>
        <v>32.67</v>
      </c>
    </row>
    <row r="388" spans="1:8" x14ac:dyDescent="0.3">
      <c r="A388" t="str">
        <f>VLOOKUP(B388,Table3[[#Headers],[#Data]],3,FALSE)</f>
        <v>Outdoor</v>
      </c>
      <c r="B388" t="s">
        <v>501</v>
      </c>
      <c r="C388">
        <f>VLOOKUP(B388,Table3[[#Headers],[#Data]],4, FALSE)</f>
        <v>32.67</v>
      </c>
      <c r="D388" t="str">
        <f>VLOOKUP('Rough data'!B388,Table3[[#Headers],[#Data]],2,FALSE)</f>
        <v>Snorkel Set - Adult Small</v>
      </c>
      <c r="E388" t="str">
        <f>VLOOKUP(B388,Table3[[#Headers],[#Data]],5,FALSE)</f>
        <v>SELL0070</v>
      </c>
      <c r="F388" t="str">
        <f>VLOOKUP(E388,Table2[[#Headers],[#Data],[seller_id]:[seller_user]],2,FALSE)</f>
        <v>homeandaways</v>
      </c>
      <c r="G388">
        <v>1</v>
      </c>
      <c r="H388">
        <f t="shared" si="6"/>
        <v>32.67</v>
      </c>
    </row>
    <row r="389" spans="1:8" x14ac:dyDescent="0.3">
      <c r="A389" t="str">
        <f>VLOOKUP(B389,Table3[[#Headers],[#Data]],3,FALSE)</f>
        <v>Outdoor</v>
      </c>
      <c r="B389" t="s">
        <v>501</v>
      </c>
      <c r="C389">
        <f>VLOOKUP(B389,Table3[[#Headers],[#Data]],4, FALSE)</f>
        <v>32.67</v>
      </c>
      <c r="D389" t="str">
        <f>VLOOKUP('Rough data'!B389,Table3[[#Headers],[#Data]],2,FALSE)</f>
        <v>Snorkel Set - Adult Small</v>
      </c>
      <c r="E389" t="str">
        <f>VLOOKUP(B389,Table3[[#Headers],[#Data]],5,FALSE)</f>
        <v>SELL0070</v>
      </c>
      <c r="F389" t="str">
        <f>VLOOKUP(E389,Table2[[#Headers],[#Data],[seller_id]:[seller_user]],2,FALSE)</f>
        <v>homeandaways</v>
      </c>
      <c r="G389">
        <v>1</v>
      </c>
      <c r="H389">
        <f t="shared" si="6"/>
        <v>32.67</v>
      </c>
    </row>
    <row r="390" spans="1:8" x14ac:dyDescent="0.3">
      <c r="A390" t="str">
        <f>VLOOKUP(B390,Table3[[#Headers],[#Data]],3,FALSE)</f>
        <v>Outdoor</v>
      </c>
      <c r="B390" t="s">
        <v>501</v>
      </c>
      <c r="C390">
        <f>VLOOKUP(B390,Table3[[#Headers],[#Data]],4, FALSE)</f>
        <v>32.67</v>
      </c>
      <c r="D390" t="str">
        <f>VLOOKUP('Rough data'!B390,Table3[[#Headers],[#Data]],2,FALSE)</f>
        <v>Snorkel Set - Adult Small</v>
      </c>
      <c r="E390" t="str">
        <f>VLOOKUP(B390,Table3[[#Headers],[#Data]],5,FALSE)</f>
        <v>SELL0070</v>
      </c>
      <c r="F390" t="str">
        <f>VLOOKUP(E390,Table2[[#Headers],[#Data],[seller_id]:[seller_user]],2,FALSE)</f>
        <v>homeandaways</v>
      </c>
      <c r="G390">
        <v>2</v>
      </c>
      <c r="H390">
        <f t="shared" si="6"/>
        <v>65.34</v>
      </c>
    </row>
    <row r="391" spans="1:8" x14ac:dyDescent="0.3">
      <c r="A391" t="str">
        <f>VLOOKUP(B391,Table3[[#Headers],[#Data]],3,FALSE)</f>
        <v>Outdoor</v>
      </c>
      <c r="B391" t="s">
        <v>501</v>
      </c>
      <c r="C391">
        <f>VLOOKUP(B391,Table3[[#Headers],[#Data]],4, FALSE)</f>
        <v>32.67</v>
      </c>
      <c r="D391" t="str">
        <f>VLOOKUP('Rough data'!B391,Table3[[#Headers],[#Data]],2,FALSE)</f>
        <v>Snorkel Set - Adult Small</v>
      </c>
      <c r="E391" t="str">
        <f>VLOOKUP(B391,Table3[[#Headers],[#Data]],5,FALSE)</f>
        <v>SELL0070</v>
      </c>
      <c r="F391" t="str">
        <f>VLOOKUP(E391,Table2[[#Headers],[#Data],[seller_id]:[seller_user]],2,FALSE)</f>
        <v>homeandaways</v>
      </c>
      <c r="G391">
        <v>2</v>
      </c>
      <c r="H391">
        <f t="shared" si="6"/>
        <v>65.34</v>
      </c>
    </row>
    <row r="392" spans="1:8" x14ac:dyDescent="0.3">
      <c r="A392" t="str">
        <f>VLOOKUP(B392,Table3[[#Headers],[#Data]],3,FALSE)</f>
        <v>Outdoor</v>
      </c>
      <c r="B392" t="s">
        <v>501</v>
      </c>
      <c r="C392">
        <f>VLOOKUP(B392,Table3[[#Headers],[#Data]],4, FALSE)</f>
        <v>32.67</v>
      </c>
      <c r="D392" t="str">
        <f>VLOOKUP('Rough data'!B392,Table3[[#Headers],[#Data]],2,FALSE)</f>
        <v>Snorkel Set - Adult Small</v>
      </c>
      <c r="E392" t="str">
        <f>VLOOKUP(B392,Table3[[#Headers],[#Data]],5,FALSE)</f>
        <v>SELL0070</v>
      </c>
      <c r="F392" t="str">
        <f>VLOOKUP(E392,Table2[[#Headers],[#Data],[seller_id]:[seller_user]],2,FALSE)</f>
        <v>homeandaways</v>
      </c>
      <c r="G392">
        <v>1</v>
      </c>
      <c r="H392">
        <f t="shared" si="6"/>
        <v>32.67</v>
      </c>
    </row>
    <row r="393" spans="1:8" x14ac:dyDescent="0.3">
      <c r="A393" t="str">
        <f>VLOOKUP(B393,Table3[[#Headers],[#Data]],3,FALSE)</f>
        <v>Outdoor</v>
      </c>
      <c r="B393" t="s">
        <v>501</v>
      </c>
      <c r="C393">
        <f>VLOOKUP(B393,Table3[[#Headers],[#Data]],4, FALSE)</f>
        <v>32.67</v>
      </c>
      <c r="D393" t="str">
        <f>VLOOKUP('Rough data'!B393,Table3[[#Headers],[#Data]],2,FALSE)</f>
        <v>Snorkel Set - Adult Small</v>
      </c>
      <c r="E393" t="str">
        <f>VLOOKUP(B393,Table3[[#Headers],[#Data]],5,FALSE)</f>
        <v>SELL0070</v>
      </c>
      <c r="F393" t="str">
        <f>VLOOKUP(E393,Table2[[#Headers],[#Data],[seller_id]:[seller_user]],2,FALSE)</f>
        <v>homeandaways</v>
      </c>
      <c r="G393">
        <v>2</v>
      </c>
      <c r="H393">
        <f t="shared" si="6"/>
        <v>65.34</v>
      </c>
    </row>
    <row r="394" spans="1:8" x14ac:dyDescent="0.3">
      <c r="A394" t="str">
        <f>VLOOKUP(B394,Table3[[#Headers],[#Data]],3,FALSE)</f>
        <v>Outdoor</v>
      </c>
      <c r="B394" t="s">
        <v>501</v>
      </c>
      <c r="C394">
        <f>VLOOKUP(B394,Table3[[#Headers],[#Data]],4, FALSE)</f>
        <v>32.67</v>
      </c>
      <c r="D394" t="str">
        <f>VLOOKUP('Rough data'!B394,Table3[[#Headers],[#Data]],2,FALSE)</f>
        <v>Snorkel Set - Adult Small</v>
      </c>
      <c r="E394" t="str">
        <f>VLOOKUP(B394,Table3[[#Headers],[#Data]],5,FALSE)</f>
        <v>SELL0070</v>
      </c>
      <c r="F394" t="str">
        <f>VLOOKUP(E394,Table2[[#Headers],[#Data],[seller_id]:[seller_user]],2,FALSE)</f>
        <v>homeandaways</v>
      </c>
      <c r="G394">
        <v>1</v>
      </c>
      <c r="H394">
        <f t="shared" si="6"/>
        <v>32.67</v>
      </c>
    </row>
    <row r="395" spans="1:8" x14ac:dyDescent="0.3">
      <c r="A395" t="str">
        <f>VLOOKUP(B395,Table3[[#Headers],[#Data]],3,FALSE)</f>
        <v>Outdoor</v>
      </c>
      <c r="B395" t="s">
        <v>501</v>
      </c>
      <c r="C395">
        <f>VLOOKUP(B395,Table3[[#Headers],[#Data]],4, FALSE)</f>
        <v>32.67</v>
      </c>
      <c r="D395" t="str">
        <f>VLOOKUP('Rough data'!B395,Table3[[#Headers],[#Data]],2,FALSE)</f>
        <v>Snorkel Set - Adult Small</v>
      </c>
      <c r="E395" t="str">
        <f>VLOOKUP(B395,Table3[[#Headers],[#Data]],5,FALSE)</f>
        <v>SELL0070</v>
      </c>
      <c r="F395" t="str">
        <f>VLOOKUP(E395,Table2[[#Headers],[#Data],[seller_id]:[seller_user]],2,FALSE)</f>
        <v>homeandaways</v>
      </c>
      <c r="G395">
        <v>1</v>
      </c>
      <c r="H395">
        <f t="shared" si="6"/>
        <v>32.67</v>
      </c>
    </row>
    <row r="396" spans="1:8" x14ac:dyDescent="0.3">
      <c r="A396" t="str">
        <f>VLOOKUP(B396,Table3[[#Headers],[#Data]],3,FALSE)</f>
        <v>Home</v>
      </c>
      <c r="B396" t="s">
        <v>503</v>
      </c>
      <c r="C396">
        <f>VLOOKUP(B396,Table3[[#Headers],[#Data]],4, FALSE)</f>
        <v>19.989999999999998</v>
      </c>
      <c r="D396" t="str">
        <f>VLOOKUP('Rough data'!B396,Table3[[#Headers],[#Data]],2,FALSE)</f>
        <v>Drawer Organiser 5 sections</v>
      </c>
      <c r="E396" t="str">
        <f>VLOOKUP(B396,Table3[[#Headers],[#Data]],5,FALSE)</f>
        <v>SELL0070</v>
      </c>
      <c r="F396" t="str">
        <f>VLOOKUP(E396,Table2[[#Headers],[#Data],[seller_id]:[seller_user]],2,FALSE)</f>
        <v>homeandaways</v>
      </c>
      <c r="G396">
        <v>2</v>
      </c>
      <c r="H396">
        <f t="shared" si="6"/>
        <v>39.979999999999997</v>
      </c>
    </row>
    <row r="397" spans="1:8" x14ac:dyDescent="0.3">
      <c r="A397" t="str">
        <f>VLOOKUP(B397,Table3[[#Headers],[#Data]],3,FALSE)</f>
        <v>Home</v>
      </c>
      <c r="B397" t="s">
        <v>503</v>
      </c>
      <c r="C397">
        <f>VLOOKUP(B397,Table3[[#Headers],[#Data]],4, FALSE)</f>
        <v>19.989999999999998</v>
      </c>
      <c r="D397" t="str">
        <f>VLOOKUP('Rough data'!B397,Table3[[#Headers],[#Data]],2,FALSE)</f>
        <v>Drawer Organiser 5 sections</v>
      </c>
      <c r="E397" t="str">
        <f>VLOOKUP(B397,Table3[[#Headers],[#Data]],5,FALSE)</f>
        <v>SELL0070</v>
      </c>
      <c r="F397" t="str">
        <f>VLOOKUP(E397,Table2[[#Headers],[#Data],[seller_id]:[seller_user]],2,FALSE)</f>
        <v>homeandaways</v>
      </c>
      <c r="G397">
        <v>1</v>
      </c>
      <c r="H397">
        <f t="shared" si="6"/>
        <v>19.989999999999998</v>
      </c>
    </row>
    <row r="398" spans="1:8" x14ac:dyDescent="0.3">
      <c r="A398" t="str">
        <f>VLOOKUP(B398,Table3[[#Headers],[#Data]],3,FALSE)</f>
        <v>Home</v>
      </c>
      <c r="B398" t="s">
        <v>503</v>
      </c>
      <c r="C398">
        <f>VLOOKUP(B398,Table3[[#Headers],[#Data]],4, FALSE)</f>
        <v>19.989999999999998</v>
      </c>
      <c r="D398" t="str">
        <f>VLOOKUP('Rough data'!B398,Table3[[#Headers],[#Data]],2,FALSE)</f>
        <v>Drawer Organiser 5 sections</v>
      </c>
      <c r="E398" t="str">
        <f>VLOOKUP(B398,Table3[[#Headers],[#Data]],5,FALSE)</f>
        <v>SELL0070</v>
      </c>
      <c r="F398" t="str">
        <f>VLOOKUP(E398,Table2[[#Headers],[#Data],[seller_id]:[seller_user]],2,FALSE)</f>
        <v>homeandaways</v>
      </c>
      <c r="G398">
        <v>2</v>
      </c>
      <c r="H398">
        <f t="shared" si="6"/>
        <v>39.979999999999997</v>
      </c>
    </row>
    <row r="399" spans="1:8" x14ac:dyDescent="0.3">
      <c r="A399" t="str">
        <f>VLOOKUP(B399,Table3[[#Headers],[#Data]],3,FALSE)</f>
        <v>Home</v>
      </c>
      <c r="B399" t="s">
        <v>503</v>
      </c>
      <c r="C399">
        <f>VLOOKUP(B399,Table3[[#Headers],[#Data]],4, FALSE)</f>
        <v>19.989999999999998</v>
      </c>
      <c r="D399" t="str">
        <f>VLOOKUP('Rough data'!B399,Table3[[#Headers],[#Data]],2,FALSE)</f>
        <v>Drawer Organiser 5 sections</v>
      </c>
      <c r="E399" t="str">
        <f>VLOOKUP(B399,Table3[[#Headers],[#Data]],5,FALSE)</f>
        <v>SELL0070</v>
      </c>
      <c r="F399" t="str">
        <f>VLOOKUP(E399,Table2[[#Headers],[#Data],[seller_id]:[seller_user]],2,FALSE)</f>
        <v>homeandaways</v>
      </c>
      <c r="G399">
        <v>1</v>
      </c>
      <c r="H399">
        <f t="shared" si="6"/>
        <v>19.989999999999998</v>
      </c>
    </row>
    <row r="400" spans="1:8" x14ac:dyDescent="0.3">
      <c r="A400" t="str">
        <f>VLOOKUP(B400,Table3[[#Headers],[#Data]],3,FALSE)</f>
        <v>Jewellery</v>
      </c>
      <c r="B400" t="s">
        <v>507</v>
      </c>
      <c r="C400">
        <f>VLOOKUP(B400,Table3[[#Headers],[#Data]],4, FALSE)</f>
        <v>54.03</v>
      </c>
      <c r="D400" t="str">
        <f>VLOOKUP('Rough data'!B400,Table3[[#Headers],[#Data]],2,FALSE)</f>
        <v>Sterling Silver 925 Earrings Pair Butterfly</v>
      </c>
      <c r="E400" t="str">
        <f>VLOOKUP(B400,Table3[[#Headers],[#Data]],5,FALSE)</f>
        <v>SELL0070</v>
      </c>
      <c r="F400" t="str">
        <f>VLOOKUP(E400,Table2[[#Headers],[#Data],[seller_id]:[seller_user]],2,FALSE)</f>
        <v>homeandaways</v>
      </c>
      <c r="G400">
        <v>1</v>
      </c>
      <c r="H400">
        <f t="shared" si="6"/>
        <v>54.03</v>
      </c>
    </row>
    <row r="401" spans="1:8" x14ac:dyDescent="0.3">
      <c r="A401" t="str">
        <f>VLOOKUP(B401,Table3[[#Headers],[#Data]],3,FALSE)</f>
        <v>Beauty</v>
      </c>
      <c r="B401" t="s">
        <v>509</v>
      </c>
      <c r="C401">
        <f>VLOOKUP(B401,Table3[[#Headers],[#Data]],4, FALSE)</f>
        <v>22.23</v>
      </c>
      <c r="D401" t="str">
        <f>VLOOKUP('Rough data'!B401,Table3[[#Headers],[#Data]],2,FALSE)</f>
        <v>Lotion Cocoa Butter 50ml</v>
      </c>
      <c r="E401" t="str">
        <f>VLOOKUP(B401,Table3[[#Headers],[#Data]],5,FALSE)</f>
        <v>SELL0071</v>
      </c>
      <c r="F401" t="str">
        <f>VLOOKUP(E401,Table2[[#Headers],[#Data],[seller_id]:[seller_user]],2,FALSE)</f>
        <v>trueyou55</v>
      </c>
      <c r="G401">
        <v>1</v>
      </c>
      <c r="H401">
        <f t="shared" si="6"/>
        <v>22.23</v>
      </c>
    </row>
    <row r="402" spans="1:8" x14ac:dyDescent="0.3">
      <c r="A402" t="str">
        <f>VLOOKUP(B402,Table3[[#Headers],[#Data]],3,FALSE)</f>
        <v>Outdoor</v>
      </c>
      <c r="B402" t="s">
        <v>512</v>
      </c>
      <c r="C402">
        <f>VLOOKUP(B402,Table3[[#Headers],[#Data]],4, FALSE)</f>
        <v>74.39</v>
      </c>
      <c r="D402" t="str">
        <f>VLOOKUP('Rough data'!B402,Table3[[#Headers],[#Data]],2,FALSE)</f>
        <v>Waterproof Picnic Mat Tartan</v>
      </c>
      <c r="E402" t="str">
        <f>VLOOKUP(B402,Table3[[#Headers],[#Data]],5,FALSE)</f>
        <v>SELL0072</v>
      </c>
      <c r="F402" t="str">
        <f>VLOOKUP(E402,Table2[[#Headers],[#Data],[seller_id]:[seller_user]],2,FALSE)</f>
        <v>swanium</v>
      </c>
      <c r="G402">
        <v>1</v>
      </c>
      <c r="H402">
        <f t="shared" si="6"/>
        <v>74.39</v>
      </c>
    </row>
    <row r="403" spans="1:8" x14ac:dyDescent="0.3">
      <c r="A403" t="str">
        <f>VLOOKUP(B403,Table3[[#Headers],[#Data]],3,FALSE)</f>
        <v>Outdoor</v>
      </c>
      <c r="B403" t="s">
        <v>512</v>
      </c>
      <c r="C403">
        <f>VLOOKUP(B403,Table3[[#Headers],[#Data]],4, FALSE)</f>
        <v>74.39</v>
      </c>
      <c r="D403" t="str">
        <f>VLOOKUP('Rough data'!B403,Table3[[#Headers],[#Data]],2,FALSE)</f>
        <v>Waterproof Picnic Mat Tartan</v>
      </c>
      <c r="E403" t="str">
        <f>VLOOKUP(B403,Table3[[#Headers],[#Data]],5,FALSE)</f>
        <v>SELL0072</v>
      </c>
      <c r="F403" t="str">
        <f>VLOOKUP(E403,Table2[[#Headers],[#Data],[seller_id]:[seller_user]],2,FALSE)</f>
        <v>swanium</v>
      </c>
      <c r="G403">
        <v>1</v>
      </c>
      <c r="H403">
        <f t="shared" si="6"/>
        <v>74.39</v>
      </c>
    </row>
    <row r="404" spans="1:8" x14ac:dyDescent="0.3">
      <c r="A404" t="str">
        <f>VLOOKUP(B404,Table3[[#Headers],[#Data]],3,FALSE)</f>
        <v>Outdoor</v>
      </c>
      <c r="B404" t="s">
        <v>512</v>
      </c>
      <c r="C404">
        <f>VLOOKUP(B404,Table3[[#Headers],[#Data]],4, FALSE)</f>
        <v>74.39</v>
      </c>
      <c r="D404" t="str">
        <f>VLOOKUP('Rough data'!B404,Table3[[#Headers],[#Data]],2,FALSE)</f>
        <v>Waterproof Picnic Mat Tartan</v>
      </c>
      <c r="E404" t="str">
        <f>VLOOKUP(B404,Table3[[#Headers],[#Data]],5,FALSE)</f>
        <v>SELL0072</v>
      </c>
      <c r="F404" t="str">
        <f>VLOOKUP(E404,Table2[[#Headers],[#Data],[seller_id]:[seller_user]],2,FALSE)</f>
        <v>swanium</v>
      </c>
      <c r="G404">
        <v>1</v>
      </c>
      <c r="H404">
        <f t="shared" si="6"/>
        <v>74.39</v>
      </c>
    </row>
    <row r="405" spans="1:8" x14ac:dyDescent="0.3">
      <c r="A405" t="str">
        <f>VLOOKUP(B405,Table3[[#Headers],[#Data]],3,FALSE)</f>
        <v>Outdoor</v>
      </c>
      <c r="B405" t="s">
        <v>519</v>
      </c>
      <c r="C405">
        <f>VLOOKUP(B405,Table3[[#Headers],[#Data]],4, FALSE)</f>
        <v>93.44</v>
      </c>
      <c r="D405" t="str">
        <f>VLOOKUP('Rough data'!B405,Table3[[#Headers],[#Data]],2,FALSE)</f>
        <v>Charcoal Starter Chimney XL</v>
      </c>
      <c r="E405" t="str">
        <f>VLOOKUP(B405,Table3[[#Headers],[#Data]],5,FALSE)</f>
        <v>SELL0072</v>
      </c>
      <c r="F405" t="str">
        <f>VLOOKUP(E405,Table2[[#Headers],[#Data],[seller_id]:[seller_user]],2,FALSE)</f>
        <v>swanium</v>
      </c>
      <c r="G405">
        <v>2</v>
      </c>
      <c r="H405">
        <f t="shared" si="6"/>
        <v>186.88</v>
      </c>
    </row>
    <row r="406" spans="1:8" x14ac:dyDescent="0.3">
      <c r="A406" t="str">
        <f>VLOOKUP(B406,Table3[[#Headers],[#Data]],3,FALSE)</f>
        <v>Outdoor</v>
      </c>
      <c r="B406" t="s">
        <v>519</v>
      </c>
      <c r="C406">
        <f>VLOOKUP(B406,Table3[[#Headers],[#Data]],4, FALSE)</f>
        <v>93.44</v>
      </c>
      <c r="D406" t="str">
        <f>VLOOKUP('Rough data'!B406,Table3[[#Headers],[#Data]],2,FALSE)</f>
        <v>Charcoal Starter Chimney XL</v>
      </c>
      <c r="E406" t="str">
        <f>VLOOKUP(B406,Table3[[#Headers],[#Data]],5,FALSE)</f>
        <v>SELL0072</v>
      </c>
      <c r="F406" t="str">
        <f>VLOOKUP(E406,Table2[[#Headers],[#Data],[seller_id]:[seller_user]],2,FALSE)</f>
        <v>swanium</v>
      </c>
      <c r="G406">
        <v>1</v>
      </c>
      <c r="H406">
        <f t="shared" si="6"/>
        <v>93.44</v>
      </c>
    </row>
    <row r="407" spans="1:8" x14ac:dyDescent="0.3">
      <c r="A407" t="str">
        <f>VLOOKUP(B407,Table3[[#Headers],[#Data]],3,FALSE)</f>
        <v>Outdoor</v>
      </c>
      <c r="B407" t="s">
        <v>519</v>
      </c>
      <c r="C407">
        <f>VLOOKUP(B407,Table3[[#Headers],[#Data]],4, FALSE)</f>
        <v>93.44</v>
      </c>
      <c r="D407" t="str">
        <f>VLOOKUP('Rough data'!B407,Table3[[#Headers],[#Data]],2,FALSE)</f>
        <v>Charcoal Starter Chimney XL</v>
      </c>
      <c r="E407" t="str">
        <f>VLOOKUP(B407,Table3[[#Headers],[#Data]],5,FALSE)</f>
        <v>SELL0072</v>
      </c>
      <c r="F407" t="str">
        <f>VLOOKUP(E407,Table2[[#Headers],[#Data],[seller_id]:[seller_user]],2,FALSE)</f>
        <v>swanium</v>
      </c>
      <c r="G407">
        <v>1</v>
      </c>
      <c r="H407">
        <f t="shared" si="6"/>
        <v>93.44</v>
      </c>
    </row>
    <row r="408" spans="1:8" x14ac:dyDescent="0.3">
      <c r="A408" t="str">
        <f>VLOOKUP(B408,Table3[[#Headers],[#Data]],3,FALSE)</f>
        <v>Outdoor</v>
      </c>
      <c r="B408" t="s">
        <v>523</v>
      </c>
      <c r="C408">
        <f>VLOOKUP(B408,Table3[[#Headers],[#Data]],4, FALSE)</f>
        <v>26.98</v>
      </c>
      <c r="D408" t="str">
        <f>VLOOKUP('Rough data'!B408,Table3[[#Headers],[#Data]],2,FALSE)</f>
        <v>Stainless Steel BBQ Tools Set</v>
      </c>
      <c r="E408" t="str">
        <f>VLOOKUP(B408,Table3[[#Headers],[#Data]],5,FALSE)</f>
        <v>SELL0073</v>
      </c>
      <c r="F408" t="str">
        <f>VLOOKUP(E408,Table2[[#Headers],[#Data],[seller_id]:[seller_user]],2,FALSE)</f>
        <v>new-south-sales</v>
      </c>
      <c r="G408">
        <v>1</v>
      </c>
      <c r="H408">
        <f t="shared" si="6"/>
        <v>26.98</v>
      </c>
    </row>
    <row r="409" spans="1:8" x14ac:dyDescent="0.3">
      <c r="A409" t="str">
        <f>VLOOKUP(B409,Table3[[#Headers],[#Data]],3,FALSE)</f>
        <v>Outdoor</v>
      </c>
      <c r="B409" t="s">
        <v>523</v>
      </c>
      <c r="C409">
        <f>VLOOKUP(B409,Table3[[#Headers],[#Data]],4, FALSE)</f>
        <v>26.98</v>
      </c>
      <c r="D409" t="str">
        <f>VLOOKUP('Rough data'!B409,Table3[[#Headers],[#Data]],2,FALSE)</f>
        <v>Stainless Steel BBQ Tools Set</v>
      </c>
      <c r="E409" t="str">
        <f>VLOOKUP(B409,Table3[[#Headers],[#Data]],5,FALSE)</f>
        <v>SELL0073</v>
      </c>
      <c r="F409" t="str">
        <f>VLOOKUP(E409,Table2[[#Headers],[#Data],[seller_id]:[seller_user]],2,FALSE)</f>
        <v>new-south-sales</v>
      </c>
      <c r="G409">
        <v>1</v>
      </c>
      <c r="H409">
        <f t="shared" si="6"/>
        <v>26.98</v>
      </c>
    </row>
    <row r="410" spans="1:8" x14ac:dyDescent="0.3">
      <c r="A410" t="str">
        <f>VLOOKUP(B410,Table3[[#Headers],[#Data]],3,FALSE)</f>
        <v>Electronics</v>
      </c>
      <c r="B410" t="s">
        <v>526</v>
      </c>
      <c r="C410">
        <f>VLOOKUP(B410,Table3[[#Headers],[#Data]],4, FALSE)</f>
        <v>23.36</v>
      </c>
      <c r="D410" t="str">
        <f>VLOOKUP('Rough data'!B410,Table3[[#Headers],[#Data]],2,FALSE)</f>
        <v>USB C Fast Charge 30W</v>
      </c>
      <c r="E410" t="str">
        <f>VLOOKUP(B410,Table3[[#Headers],[#Data]],5,FALSE)</f>
        <v>SELL0073</v>
      </c>
      <c r="F410" t="str">
        <f>VLOOKUP(E410,Table2[[#Headers],[#Data],[seller_id]:[seller_user]],2,FALSE)</f>
        <v>new-south-sales</v>
      </c>
      <c r="G410">
        <v>1</v>
      </c>
      <c r="H410">
        <f t="shared" si="6"/>
        <v>23.36</v>
      </c>
    </row>
    <row r="411" spans="1:8" x14ac:dyDescent="0.3">
      <c r="A411" t="str">
        <f>VLOOKUP(B411,Table3[[#Headers],[#Data]],3,FALSE)</f>
        <v>Gift_Sets</v>
      </c>
      <c r="B411" t="s">
        <v>530</v>
      </c>
      <c r="C411">
        <f>VLOOKUP(B411,Table3[[#Headers],[#Data]],4, FALSE)</f>
        <v>19.03</v>
      </c>
      <c r="D411" t="str">
        <f>VLOOKUP('Rough data'!B411,Table3[[#Headers],[#Data]],2,FALSE)</f>
        <v>Tea Lovers Hamper Shapes Edition</v>
      </c>
      <c r="E411" t="str">
        <f>VLOOKUP(B411,Table3[[#Headers],[#Data]],5,FALSE)</f>
        <v>SELL0073</v>
      </c>
      <c r="F411" t="str">
        <f>VLOOKUP(E411,Table2[[#Headers],[#Data],[seller_id]:[seller_user]],2,FALSE)</f>
        <v>new-south-sales</v>
      </c>
      <c r="G411">
        <v>1</v>
      </c>
      <c r="H411">
        <f t="shared" si="6"/>
        <v>19.03</v>
      </c>
    </row>
    <row r="412" spans="1:8" x14ac:dyDescent="0.3">
      <c r="A412" t="str">
        <f>VLOOKUP(B412,Table3[[#Headers],[#Data]],3,FALSE)</f>
        <v>Gift_Sets</v>
      </c>
      <c r="B412" t="s">
        <v>530</v>
      </c>
      <c r="C412">
        <f>VLOOKUP(B412,Table3[[#Headers],[#Data]],4, FALSE)</f>
        <v>19.03</v>
      </c>
      <c r="D412" t="str">
        <f>VLOOKUP('Rough data'!B412,Table3[[#Headers],[#Data]],2,FALSE)</f>
        <v>Tea Lovers Hamper Shapes Edition</v>
      </c>
      <c r="E412" t="str">
        <f>VLOOKUP(B412,Table3[[#Headers],[#Data]],5,FALSE)</f>
        <v>SELL0073</v>
      </c>
      <c r="F412" t="str">
        <f>VLOOKUP(E412,Table2[[#Headers],[#Data],[seller_id]:[seller_user]],2,FALSE)</f>
        <v>new-south-sales</v>
      </c>
      <c r="G412">
        <v>1</v>
      </c>
      <c r="H412">
        <f t="shared" si="6"/>
        <v>19.03</v>
      </c>
    </row>
    <row r="413" spans="1:8" x14ac:dyDescent="0.3">
      <c r="A413" t="str">
        <f>VLOOKUP(B413,Table3[[#Headers],[#Data]],3,FALSE)</f>
        <v>Gift_Sets</v>
      </c>
      <c r="B413" t="s">
        <v>530</v>
      </c>
      <c r="C413">
        <f>VLOOKUP(B413,Table3[[#Headers],[#Data]],4, FALSE)</f>
        <v>19.03</v>
      </c>
      <c r="D413" t="str">
        <f>VLOOKUP('Rough data'!B413,Table3[[#Headers],[#Data]],2,FALSE)</f>
        <v>Tea Lovers Hamper Shapes Edition</v>
      </c>
      <c r="E413" t="str">
        <f>VLOOKUP(B413,Table3[[#Headers],[#Data]],5,FALSE)</f>
        <v>SELL0073</v>
      </c>
      <c r="F413" t="str">
        <f>VLOOKUP(E413,Table2[[#Headers],[#Data],[seller_id]:[seller_user]],2,FALSE)</f>
        <v>new-south-sales</v>
      </c>
      <c r="G413">
        <v>1</v>
      </c>
      <c r="H413">
        <f t="shared" si="6"/>
        <v>19.03</v>
      </c>
    </row>
    <row r="414" spans="1:8" x14ac:dyDescent="0.3">
      <c r="A414" t="str">
        <f>VLOOKUP(B414,Table3[[#Headers],[#Data]],3,FALSE)</f>
        <v>Home</v>
      </c>
      <c r="B414" t="s">
        <v>532</v>
      </c>
      <c r="C414">
        <f>VLOOKUP(B414,Table3[[#Headers],[#Data]],4, FALSE)</f>
        <v>64.55</v>
      </c>
      <c r="D414" t="str">
        <f>VLOOKUP('Rough data'!B414,Table3[[#Headers],[#Data]],2,FALSE)</f>
        <v>Carbon Fiber Mug Set</v>
      </c>
      <c r="E414" t="str">
        <f>VLOOKUP(B414,Table3[[#Headers],[#Data]],5,FALSE)</f>
        <v>SELL0074</v>
      </c>
      <c r="F414" t="str">
        <f>VLOOKUP(E414,Table2[[#Headers],[#Data],[seller_id]:[seller_user]],2,FALSE)</f>
        <v>springlesprungle3</v>
      </c>
      <c r="G414">
        <v>1</v>
      </c>
      <c r="H414">
        <f t="shared" si="6"/>
        <v>64.55</v>
      </c>
    </row>
    <row r="415" spans="1:8" x14ac:dyDescent="0.3">
      <c r="A415" t="str">
        <f>VLOOKUP(B415,Table3[[#Headers],[#Data]],3,FALSE)</f>
        <v>Home</v>
      </c>
      <c r="B415" t="s">
        <v>532</v>
      </c>
      <c r="C415">
        <f>VLOOKUP(B415,Table3[[#Headers],[#Data]],4, FALSE)</f>
        <v>64.55</v>
      </c>
      <c r="D415" t="str">
        <f>VLOOKUP('Rough data'!B415,Table3[[#Headers],[#Data]],2,FALSE)</f>
        <v>Carbon Fiber Mug Set</v>
      </c>
      <c r="E415" t="str">
        <f>VLOOKUP(B415,Table3[[#Headers],[#Data]],5,FALSE)</f>
        <v>SELL0074</v>
      </c>
      <c r="F415" t="str">
        <f>VLOOKUP(E415,Table2[[#Headers],[#Data],[seller_id]:[seller_user]],2,FALSE)</f>
        <v>springlesprungle3</v>
      </c>
      <c r="G415">
        <v>1</v>
      </c>
      <c r="H415">
        <f t="shared" si="6"/>
        <v>64.55</v>
      </c>
    </row>
    <row r="416" spans="1:8" x14ac:dyDescent="0.3">
      <c r="A416" t="str">
        <f>VLOOKUP(B416,Table3[[#Headers],[#Data]],3,FALSE)</f>
        <v>Home</v>
      </c>
      <c r="B416" t="s">
        <v>532</v>
      </c>
      <c r="C416">
        <f>VLOOKUP(B416,Table3[[#Headers],[#Data]],4, FALSE)</f>
        <v>64.55</v>
      </c>
      <c r="D416" t="str">
        <f>VLOOKUP('Rough data'!B416,Table3[[#Headers],[#Data]],2,FALSE)</f>
        <v>Carbon Fiber Mug Set</v>
      </c>
      <c r="E416" t="str">
        <f>VLOOKUP(B416,Table3[[#Headers],[#Data]],5,FALSE)</f>
        <v>SELL0074</v>
      </c>
      <c r="F416" t="str">
        <f>VLOOKUP(E416,Table2[[#Headers],[#Data],[seller_id]:[seller_user]],2,FALSE)</f>
        <v>springlesprungle3</v>
      </c>
      <c r="G416">
        <v>1</v>
      </c>
      <c r="H416">
        <f t="shared" si="6"/>
        <v>64.55</v>
      </c>
    </row>
    <row r="417" spans="1:8" x14ac:dyDescent="0.3">
      <c r="A417" t="str">
        <f>VLOOKUP(B417,Table3[[#Headers],[#Data]],3,FALSE)</f>
        <v>Home</v>
      </c>
      <c r="B417" t="s">
        <v>532</v>
      </c>
      <c r="C417">
        <f>VLOOKUP(B417,Table3[[#Headers],[#Data]],4, FALSE)</f>
        <v>64.55</v>
      </c>
      <c r="D417" t="str">
        <f>VLOOKUP('Rough data'!B417,Table3[[#Headers],[#Data]],2,FALSE)</f>
        <v>Carbon Fiber Mug Set</v>
      </c>
      <c r="E417" t="str">
        <f>VLOOKUP(B417,Table3[[#Headers],[#Data]],5,FALSE)</f>
        <v>SELL0074</v>
      </c>
      <c r="F417" t="str">
        <f>VLOOKUP(E417,Table2[[#Headers],[#Data],[seller_id]:[seller_user]],2,FALSE)</f>
        <v>springlesprungle3</v>
      </c>
      <c r="G417">
        <v>1</v>
      </c>
      <c r="H417">
        <f t="shared" si="6"/>
        <v>64.55</v>
      </c>
    </row>
    <row r="418" spans="1:8" x14ac:dyDescent="0.3">
      <c r="A418" t="str">
        <f>VLOOKUP(B418,Table3[[#Headers],[#Data]],3,FALSE)</f>
        <v>Beauty</v>
      </c>
      <c r="B418" t="s">
        <v>535</v>
      </c>
      <c r="C418">
        <f>VLOOKUP(B418,Table3[[#Headers],[#Data]],4, FALSE)</f>
        <v>32.19</v>
      </c>
      <c r="D418" t="str">
        <f>VLOOKUP('Rough data'!B418,Table3[[#Headers],[#Data]],2,FALSE)</f>
        <v>Makeup Sponge Pack Orange</v>
      </c>
      <c r="E418" t="str">
        <f>VLOOKUP(B418,Table3[[#Headers],[#Data]],5,FALSE)</f>
        <v>SELL0074</v>
      </c>
      <c r="F418" t="str">
        <f>VLOOKUP(E418,Table2[[#Headers],[#Data],[seller_id]:[seller_user]],2,FALSE)</f>
        <v>springlesprungle3</v>
      </c>
      <c r="G418">
        <v>1</v>
      </c>
      <c r="H418">
        <f t="shared" si="6"/>
        <v>32.19</v>
      </c>
    </row>
    <row r="419" spans="1:8" x14ac:dyDescent="0.3">
      <c r="A419" t="str">
        <f>VLOOKUP(B419,Table3[[#Headers],[#Data]],3,FALSE)</f>
        <v>Beauty</v>
      </c>
      <c r="B419" t="s">
        <v>535</v>
      </c>
      <c r="C419">
        <f>VLOOKUP(B419,Table3[[#Headers],[#Data]],4, FALSE)</f>
        <v>32.19</v>
      </c>
      <c r="D419" t="str">
        <f>VLOOKUP('Rough data'!B419,Table3[[#Headers],[#Data]],2,FALSE)</f>
        <v>Makeup Sponge Pack Orange</v>
      </c>
      <c r="E419" t="str">
        <f>VLOOKUP(B419,Table3[[#Headers],[#Data]],5,FALSE)</f>
        <v>SELL0074</v>
      </c>
      <c r="F419" t="str">
        <f>VLOOKUP(E419,Table2[[#Headers],[#Data],[seller_id]:[seller_user]],2,FALSE)</f>
        <v>springlesprungle3</v>
      </c>
      <c r="G419">
        <v>1</v>
      </c>
      <c r="H419">
        <f t="shared" si="6"/>
        <v>32.19</v>
      </c>
    </row>
    <row r="420" spans="1:8" x14ac:dyDescent="0.3">
      <c r="A420" t="str">
        <f>VLOOKUP(B420,Table3[[#Headers],[#Data]],3,FALSE)</f>
        <v>Beauty</v>
      </c>
      <c r="B420" t="s">
        <v>535</v>
      </c>
      <c r="C420">
        <f>VLOOKUP(B420,Table3[[#Headers],[#Data]],4, FALSE)</f>
        <v>32.19</v>
      </c>
      <c r="D420" t="str">
        <f>VLOOKUP('Rough data'!B420,Table3[[#Headers],[#Data]],2,FALSE)</f>
        <v>Makeup Sponge Pack Orange</v>
      </c>
      <c r="E420" t="str">
        <f>VLOOKUP(B420,Table3[[#Headers],[#Data]],5,FALSE)</f>
        <v>SELL0074</v>
      </c>
      <c r="F420" t="str">
        <f>VLOOKUP(E420,Table2[[#Headers],[#Data],[seller_id]:[seller_user]],2,FALSE)</f>
        <v>springlesprungle3</v>
      </c>
      <c r="G420">
        <v>1</v>
      </c>
      <c r="H420">
        <f t="shared" si="6"/>
        <v>32.19</v>
      </c>
    </row>
    <row r="421" spans="1:8" x14ac:dyDescent="0.3">
      <c r="A421" t="str">
        <f>VLOOKUP(B421,Table3[[#Headers],[#Data]],3,FALSE)</f>
        <v>Beauty</v>
      </c>
      <c r="B421" t="s">
        <v>537</v>
      </c>
      <c r="C421">
        <f>VLOOKUP(B421,Table3[[#Headers],[#Data]],4, FALSE)</f>
        <v>25</v>
      </c>
      <c r="D421" t="str">
        <f>VLOOKUP('Rough data'!B421,Table3[[#Headers],[#Data]],2,FALSE)</f>
        <v>Face mask peel-off orange 3 pack</v>
      </c>
      <c r="E421" t="str">
        <f>VLOOKUP(B421,Table3[[#Headers],[#Data]],5,FALSE)</f>
        <v>SELL0075</v>
      </c>
      <c r="F421" t="str">
        <f>VLOOKUP(E421,Table2[[#Headers],[#Data],[seller_id]:[seller_user]],2,FALSE)</f>
        <v>nhlay6j49a</v>
      </c>
      <c r="G421">
        <v>1</v>
      </c>
      <c r="H421">
        <f t="shared" si="6"/>
        <v>25</v>
      </c>
    </row>
    <row r="422" spans="1:8" x14ac:dyDescent="0.3">
      <c r="A422" t="str">
        <f>VLOOKUP(B422,Table3[[#Headers],[#Data]],3,FALSE)</f>
        <v>Beauty</v>
      </c>
      <c r="B422" t="s">
        <v>537</v>
      </c>
      <c r="C422">
        <f>VLOOKUP(B422,Table3[[#Headers],[#Data]],4, FALSE)</f>
        <v>25</v>
      </c>
      <c r="D422" t="str">
        <f>VLOOKUP('Rough data'!B422,Table3[[#Headers],[#Data]],2,FALSE)</f>
        <v>Face mask peel-off orange 3 pack</v>
      </c>
      <c r="E422" t="str">
        <f>VLOOKUP(B422,Table3[[#Headers],[#Data]],5,FALSE)</f>
        <v>SELL0075</v>
      </c>
      <c r="F422" t="str">
        <f>VLOOKUP(E422,Table2[[#Headers],[#Data],[seller_id]:[seller_user]],2,FALSE)</f>
        <v>nhlay6j49a</v>
      </c>
      <c r="G422">
        <v>1</v>
      </c>
      <c r="H422">
        <f t="shared" si="6"/>
        <v>25</v>
      </c>
    </row>
    <row r="423" spans="1:8" x14ac:dyDescent="0.3">
      <c r="A423" t="str">
        <f>VLOOKUP(B423,Table3[[#Headers],[#Data]],3,FALSE)</f>
        <v>Jewellery</v>
      </c>
      <c r="B423" t="s">
        <v>540</v>
      </c>
      <c r="C423">
        <f>VLOOKUP(B423,Table3[[#Headers],[#Data]],4, FALSE)</f>
        <v>59.4</v>
      </c>
      <c r="D423" t="str">
        <f>VLOOKUP('Rough data'!B423,Table3[[#Headers],[#Data]],2,FALSE)</f>
        <v>Jewellery Box Pink</v>
      </c>
      <c r="E423" t="str">
        <f>VLOOKUP(B423,Table3[[#Headers],[#Data]],5,FALSE)</f>
        <v>SELL0075</v>
      </c>
      <c r="F423" t="str">
        <f>VLOOKUP(E423,Table2[[#Headers],[#Data],[seller_id]:[seller_user]],2,FALSE)</f>
        <v>nhlay6j49a</v>
      </c>
      <c r="G423">
        <v>1</v>
      </c>
      <c r="H423">
        <f t="shared" si="6"/>
        <v>59.4</v>
      </c>
    </row>
    <row r="424" spans="1:8" x14ac:dyDescent="0.3">
      <c r="A424" t="str">
        <f>VLOOKUP(B424,Table3[[#Headers],[#Data]],3,FALSE)</f>
        <v>Jewellery</v>
      </c>
      <c r="B424" t="s">
        <v>540</v>
      </c>
      <c r="C424">
        <f>VLOOKUP(B424,Table3[[#Headers],[#Data]],4, FALSE)</f>
        <v>59.4</v>
      </c>
      <c r="D424" t="str">
        <f>VLOOKUP('Rough data'!B424,Table3[[#Headers],[#Data]],2,FALSE)</f>
        <v>Jewellery Box Pink</v>
      </c>
      <c r="E424" t="str">
        <f>VLOOKUP(B424,Table3[[#Headers],[#Data]],5,FALSE)</f>
        <v>SELL0075</v>
      </c>
      <c r="F424" t="str">
        <f>VLOOKUP(E424,Table2[[#Headers],[#Data],[seller_id]:[seller_user]],2,FALSE)</f>
        <v>nhlay6j49a</v>
      </c>
      <c r="G424">
        <v>1</v>
      </c>
      <c r="H424">
        <f t="shared" si="6"/>
        <v>59.4</v>
      </c>
    </row>
    <row r="425" spans="1:8" x14ac:dyDescent="0.3">
      <c r="A425" t="str">
        <f>VLOOKUP(B425,Table3[[#Headers],[#Data]],3,FALSE)</f>
        <v>Outdoor</v>
      </c>
      <c r="B425" t="s">
        <v>542</v>
      </c>
      <c r="C425">
        <f>VLOOKUP(B425,Table3[[#Headers],[#Data]],4, FALSE)</f>
        <v>75.099999999999994</v>
      </c>
      <c r="D425" t="str">
        <f>VLOOKUP('Rough data'!B425,Table3[[#Headers],[#Data]],2,FALSE)</f>
        <v>BBQ - Charcoal</v>
      </c>
      <c r="E425" t="str">
        <f>VLOOKUP(B425,Table3[[#Headers],[#Data]],5,FALSE)</f>
        <v>SELL0075</v>
      </c>
      <c r="F425" t="str">
        <f>VLOOKUP(E425,Table2[[#Headers],[#Data],[seller_id]:[seller_user]],2,FALSE)</f>
        <v>nhlay6j49a</v>
      </c>
      <c r="G425">
        <v>1</v>
      </c>
      <c r="H425">
        <f t="shared" si="6"/>
        <v>75.099999999999994</v>
      </c>
    </row>
    <row r="426" spans="1:8" x14ac:dyDescent="0.3">
      <c r="A426" t="str">
        <f>VLOOKUP(B426,Table3[[#Headers],[#Data]],3,FALSE)</f>
        <v>Outdoor</v>
      </c>
      <c r="B426" t="s">
        <v>542</v>
      </c>
      <c r="C426">
        <f>VLOOKUP(B426,Table3[[#Headers],[#Data]],4, FALSE)</f>
        <v>75.099999999999994</v>
      </c>
      <c r="D426" t="str">
        <f>VLOOKUP('Rough data'!B426,Table3[[#Headers],[#Data]],2,FALSE)</f>
        <v>BBQ - Charcoal</v>
      </c>
      <c r="E426" t="str">
        <f>VLOOKUP(B426,Table3[[#Headers],[#Data]],5,FALSE)</f>
        <v>SELL0075</v>
      </c>
      <c r="F426" t="str">
        <f>VLOOKUP(E426,Table2[[#Headers],[#Data],[seller_id]:[seller_user]],2,FALSE)</f>
        <v>nhlay6j49a</v>
      </c>
      <c r="G426">
        <v>1</v>
      </c>
      <c r="H426">
        <f t="shared" si="6"/>
        <v>75.099999999999994</v>
      </c>
    </row>
    <row r="427" spans="1:8" x14ac:dyDescent="0.3">
      <c r="A427" t="str">
        <f>VLOOKUP(B427,Table3[[#Headers],[#Data]],3,FALSE)</f>
        <v>Outdoor</v>
      </c>
      <c r="B427" t="s">
        <v>542</v>
      </c>
      <c r="C427">
        <f>VLOOKUP(B427,Table3[[#Headers],[#Data]],4, FALSE)</f>
        <v>75.099999999999994</v>
      </c>
      <c r="D427" t="str">
        <f>VLOOKUP('Rough data'!B427,Table3[[#Headers],[#Data]],2,FALSE)</f>
        <v>BBQ - Charcoal</v>
      </c>
      <c r="E427" t="str">
        <f>VLOOKUP(B427,Table3[[#Headers],[#Data]],5,FALSE)</f>
        <v>SELL0075</v>
      </c>
      <c r="F427" t="str">
        <f>VLOOKUP(E427,Table2[[#Headers],[#Data],[seller_id]:[seller_user]],2,FALSE)</f>
        <v>nhlay6j49a</v>
      </c>
      <c r="G427">
        <v>1</v>
      </c>
      <c r="H427">
        <f t="shared" si="6"/>
        <v>75.099999999999994</v>
      </c>
    </row>
    <row r="428" spans="1:8" x14ac:dyDescent="0.3">
      <c r="A428" t="str">
        <f>VLOOKUP(B428,Table3[[#Headers],[#Data]],3,FALSE)</f>
        <v>Outdoor</v>
      </c>
      <c r="B428" t="s">
        <v>542</v>
      </c>
      <c r="C428">
        <f>VLOOKUP(B428,Table3[[#Headers],[#Data]],4, FALSE)</f>
        <v>75.099999999999994</v>
      </c>
      <c r="D428" t="str">
        <f>VLOOKUP('Rough data'!B428,Table3[[#Headers],[#Data]],2,FALSE)</f>
        <v>BBQ - Charcoal</v>
      </c>
      <c r="E428" t="str">
        <f>VLOOKUP(B428,Table3[[#Headers],[#Data]],5,FALSE)</f>
        <v>SELL0075</v>
      </c>
      <c r="F428" t="str">
        <f>VLOOKUP(E428,Table2[[#Headers],[#Data],[seller_id]:[seller_user]],2,FALSE)</f>
        <v>nhlay6j49a</v>
      </c>
      <c r="G428">
        <v>1</v>
      </c>
      <c r="H428">
        <f t="shared" si="6"/>
        <v>75.099999999999994</v>
      </c>
    </row>
    <row r="429" spans="1:8" x14ac:dyDescent="0.3">
      <c r="A429" t="str">
        <f>VLOOKUP(B429,Table3[[#Headers],[#Data]],3,FALSE)</f>
        <v>Outdoor</v>
      </c>
      <c r="B429" t="s">
        <v>542</v>
      </c>
      <c r="C429">
        <f>VLOOKUP(B429,Table3[[#Headers],[#Data]],4, FALSE)</f>
        <v>75.099999999999994</v>
      </c>
      <c r="D429" t="str">
        <f>VLOOKUP('Rough data'!B429,Table3[[#Headers],[#Data]],2,FALSE)</f>
        <v>BBQ - Charcoal</v>
      </c>
      <c r="E429" t="str">
        <f>VLOOKUP(B429,Table3[[#Headers],[#Data]],5,FALSE)</f>
        <v>SELL0075</v>
      </c>
      <c r="F429" t="str">
        <f>VLOOKUP(E429,Table2[[#Headers],[#Data],[seller_id]:[seller_user]],2,FALSE)</f>
        <v>nhlay6j49a</v>
      </c>
      <c r="G429">
        <v>1</v>
      </c>
      <c r="H429">
        <f t="shared" si="6"/>
        <v>75.099999999999994</v>
      </c>
    </row>
    <row r="430" spans="1:8" x14ac:dyDescent="0.3">
      <c r="A430" t="str">
        <f>VLOOKUP(B430,Table3[[#Headers],[#Data]],3,FALSE)</f>
        <v>Outdoor</v>
      </c>
      <c r="B430" t="s">
        <v>542</v>
      </c>
      <c r="C430">
        <f>VLOOKUP(B430,Table3[[#Headers],[#Data]],4, FALSE)</f>
        <v>75.099999999999994</v>
      </c>
      <c r="D430" t="str">
        <f>VLOOKUP('Rough data'!B430,Table3[[#Headers],[#Data]],2,FALSE)</f>
        <v>BBQ - Charcoal</v>
      </c>
      <c r="E430" t="str">
        <f>VLOOKUP(B430,Table3[[#Headers],[#Data]],5,FALSE)</f>
        <v>SELL0075</v>
      </c>
      <c r="F430" t="str">
        <f>VLOOKUP(E430,Table2[[#Headers],[#Data],[seller_id]:[seller_user]],2,FALSE)</f>
        <v>nhlay6j49a</v>
      </c>
      <c r="G430">
        <v>1</v>
      </c>
      <c r="H430">
        <f t="shared" si="6"/>
        <v>75.099999999999994</v>
      </c>
    </row>
    <row r="431" spans="1:8" x14ac:dyDescent="0.3">
      <c r="A431" t="str">
        <f>VLOOKUP(B431,Table3[[#Headers],[#Data]],3,FALSE)</f>
        <v>Clothes</v>
      </c>
      <c r="B431" t="s">
        <v>546</v>
      </c>
      <c r="C431">
        <f>VLOOKUP(B431,Table3[[#Headers],[#Data]],4, FALSE)</f>
        <v>20.75</v>
      </c>
      <c r="D431" t="str">
        <f>VLOOKUP('Rough data'!B431,Table3[[#Headers],[#Data]],2,FALSE)</f>
        <v>Wool Beanie - Navy</v>
      </c>
      <c r="E431" t="str">
        <f>VLOOKUP(B431,Table3[[#Headers],[#Data]],5,FALSE)</f>
        <v>SELL0039</v>
      </c>
      <c r="F431" t="str">
        <f>VLOOKUP(E431,Table2[[#Headers],[#Data],[seller_id]:[seller_user]],2,FALSE)</f>
        <v>zmkizlf6t6</v>
      </c>
      <c r="G431">
        <v>1</v>
      </c>
      <c r="H431">
        <f t="shared" si="6"/>
        <v>20.75</v>
      </c>
    </row>
    <row r="432" spans="1:8" x14ac:dyDescent="0.3">
      <c r="A432" t="str">
        <f>VLOOKUP(B432,Table3[[#Headers],[#Data]],3,FALSE)</f>
        <v>Clothes</v>
      </c>
      <c r="B432" t="s">
        <v>546</v>
      </c>
      <c r="C432">
        <f>VLOOKUP(B432,Table3[[#Headers],[#Data]],4, FALSE)</f>
        <v>20.75</v>
      </c>
      <c r="D432" t="str">
        <f>VLOOKUP('Rough data'!B432,Table3[[#Headers],[#Data]],2,FALSE)</f>
        <v>Wool Beanie - Navy</v>
      </c>
      <c r="E432" t="str">
        <f>VLOOKUP(B432,Table3[[#Headers],[#Data]],5,FALSE)</f>
        <v>SELL0039</v>
      </c>
      <c r="F432" t="str">
        <f>VLOOKUP(E432,Table2[[#Headers],[#Data],[seller_id]:[seller_user]],2,FALSE)</f>
        <v>zmkizlf6t6</v>
      </c>
      <c r="G432">
        <v>1</v>
      </c>
      <c r="H432">
        <f t="shared" si="6"/>
        <v>20.75</v>
      </c>
    </row>
    <row r="433" spans="1:8" x14ac:dyDescent="0.3">
      <c r="A433" t="str">
        <f>VLOOKUP(B433,Table3[[#Headers],[#Data]],3,FALSE)</f>
        <v>Clothes</v>
      </c>
      <c r="B433" t="s">
        <v>548</v>
      </c>
      <c r="C433">
        <f>VLOOKUP(B433,Table3[[#Headers],[#Data]],4, FALSE)</f>
        <v>20.75</v>
      </c>
      <c r="D433" t="str">
        <f>VLOOKUP('Rough data'!B433,Table3[[#Headers],[#Data]],2,FALSE)</f>
        <v>Wool Beanie - Blue</v>
      </c>
      <c r="E433" t="str">
        <f>VLOOKUP(B433,Table3[[#Headers],[#Data]],5,FALSE)</f>
        <v>SELL0039</v>
      </c>
      <c r="F433" t="str">
        <f>VLOOKUP(E433,Table2[[#Headers],[#Data],[seller_id]:[seller_user]],2,FALSE)</f>
        <v>zmkizlf6t6</v>
      </c>
      <c r="G433">
        <v>1</v>
      </c>
      <c r="H433">
        <f t="shared" si="6"/>
        <v>20.75</v>
      </c>
    </row>
    <row r="434" spans="1:8" x14ac:dyDescent="0.3">
      <c r="A434" t="str">
        <f>VLOOKUP(B434,Table3[[#Headers],[#Data]],3,FALSE)</f>
        <v>Clothes</v>
      </c>
      <c r="B434" t="s">
        <v>548</v>
      </c>
      <c r="C434">
        <f>VLOOKUP(B434,Table3[[#Headers],[#Data]],4, FALSE)</f>
        <v>20.75</v>
      </c>
      <c r="D434" t="str">
        <f>VLOOKUP('Rough data'!B434,Table3[[#Headers],[#Data]],2,FALSE)</f>
        <v>Wool Beanie - Blue</v>
      </c>
      <c r="E434" t="str">
        <f>VLOOKUP(B434,Table3[[#Headers],[#Data]],5,FALSE)</f>
        <v>SELL0039</v>
      </c>
      <c r="F434" t="str">
        <f>VLOOKUP(E434,Table2[[#Headers],[#Data],[seller_id]:[seller_user]],2,FALSE)</f>
        <v>zmkizlf6t6</v>
      </c>
      <c r="G434">
        <v>2</v>
      </c>
      <c r="H434">
        <f t="shared" si="6"/>
        <v>41.5</v>
      </c>
    </row>
    <row r="435" spans="1:8" x14ac:dyDescent="0.3">
      <c r="A435" t="str">
        <f>VLOOKUP(B435,Table3[[#Headers],[#Data]],3,FALSE)</f>
        <v>Clothes</v>
      </c>
      <c r="B435" t="s">
        <v>548</v>
      </c>
      <c r="C435">
        <f>VLOOKUP(B435,Table3[[#Headers],[#Data]],4, FALSE)</f>
        <v>20.75</v>
      </c>
      <c r="D435" t="str">
        <f>VLOOKUP('Rough data'!B435,Table3[[#Headers],[#Data]],2,FALSE)</f>
        <v>Wool Beanie - Blue</v>
      </c>
      <c r="E435" t="str">
        <f>VLOOKUP(B435,Table3[[#Headers],[#Data]],5,FALSE)</f>
        <v>SELL0039</v>
      </c>
      <c r="F435" t="str">
        <f>VLOOKUP(E435,Table2[[#Headers],[#Data],[seller_id]:[seller_user]],2,FALSE)</f>
        <v>zmkizlf6t6</v>
      </c>
      <c r="G435">
        <v>1</v>
      </c>
      <c r="H435">
        <f t="shared" si="6"/>
        <v>20.75</v>
      </c>
    </row>
    <row r="436" spans="1:8" x14ac:dyDescent="0.3">
      <c r="A436" t="str">
        <f>VLOOKUP(B436,Table3[[#Headers],[#Data]],3,FALSE)</f>
        <v>Clothes</v>
      </c>
      <c r="B436" t="s">
        <v>550</v>
      </c>
      <c r="C436">
        <f>VLOOKUP(B436,Table3[[#Headers],[#Data]],4, FALSE)</f>
        <v>34.22</v>
      </c>
      <c r="D436" t="str">
        <f>VLOOKUP('Rough data'!B436,Table3[[#Headers],[#Data]],2,FALSE)</f>
        <v>Wool Beanie - Black</v>
      </c>
      <c r="E436" t="str">
        <f>VLOOKUP(B436,Table3[[#Headers],[#Data]],5,FALSE)</f>
        <v>SELL0039</v>
      </c>
      <c r="F436" t="str">
        <f>VLOOKUP(E436,Table2[[#Headers],[#Data],[seller_id]:[seller_user]],2,FALSE)</f>
        <v>zmkizlf6t6</v>
      </c>
      <c r="G436">
        <v>1</v>
      </c>
      <c r="H436">
        <f t="shared" si="6"/>
        <v>34.22</v>
      </c>
    </row>
    <row r="437" spans="1:8" x14ac:dyDescent="0.3">
      <c r="A437" t="str">
        <f>VLOOKUP(B437,Table3[[#Headers],[#Data]],3,FALSE)</f>
        <v>Clothes</v>
      </c>
      <c r="B437" t="s">
        <v>550</v>
      </c>
      <c r="C437">
        <f>VLOOKUP(B437,Table3[[#Headers],[#Data]],4, FALSE)</f>
        <v>34.22</v>
      </c>
      <c r="D437" t="str">
        <f>VLOOKUP('Rough data'!B437,Table3[[#Headers],[#Data]],2,FALSE)</f>
        <v>Wool Beanie - Black</v>
      </c>
      <c r="E437" t="str">
        <f>VLOOKUP(B437,Table3[[#Headers],[#Data]],5,FALSE)</f>
        <v>SELL0039</v>
      </c>
      <c r="F437" t="str">
        <f>VLOOKUP(E437,Table2[[#Headers],[#Data],[seller_id]:[seller_user]],2,FALSE)</f>
        <v>zmkizlf6t6</v>
      </c>
      <c r="G437">
        <v>1</v>
      </c>
      <c r="H437">
        <f t="shared" si="6"/>
        <v>34.22</v>
      </c>
    </row>
    <row r="438" spans="1:8" x14ac:dyDescent="0.3">
      <c r="A438" t="str">
        <f>VLOOKUP(B438,Table3[[#Headers],[#Data]],3,FALSE)</f>
        <v>Clothes</v>
      </c>
      <c r="B438" t="s">
        <v>550</v>
      </c>
      <c r="C438">
        <f>VLOOKUP(B438,Table3[[#Headers],[#Data]],4, FALSE)</f>
        <v>34.22</v>
      </c>
      <c r="D438" t="str">
        <f>VLOOKUP('Rough data'!B438,Table3[[#Headers],[#Data]],2,FALSE)</f>
        <v>Wool Beanie - Black</v>
      </c>
      <c r="E438" t="str">
        <f>VLOOKUP(B438,Table3[[#Headers],[#Data]],5,FALSE)</f>
        <v>SELL0039</v>
      </c>
      <c r="F438" t="str">
        <f>VLOOKUP(E438,Table2[[#Headers],[#Data],[seller_id]:[seller_user]],2,FALSE)</f>
        <v>zmkizlf6t6</v>
      </c>
      <c r="G438">
        <v>1</v>
      </c>
      <c r="H438">
        <f t="shared" si="6"/>
        <v>34.22</v>
      </c>
    </row>
    <row r="439" spans="1:8" x14ac:dyDescent="0.3">
      <c r="A439" t="str">
        <f>VLOOKUP(B439,Table3[[#Headers],[#Data]],3,FALSE)</f>
        <v>Stationery</v>
      </c>
      <c r="B439" t="s">
        <v>552</v>
      </c>
      <c r="C439">
        <f>VLOOKUP(B439,Table3[[#Headers],[#Data]],4, FALSE)</f>
        <v>2.1800000000000002</v>
      </c>
      <c r="D439" t="str">
        <f>VLOOKUP('Rough data'!B439,Table3[[#Headers],[#Data]],2,FALSE)</f>
        <v>Ballpoint pen 6 pack</v>
      </c>
      <c r="E439" t="str">
        <f>VLOOKUP(B439,Table3[[#Headers],[#Data]],5,FALSE)</f>
        <v>SELL0076</v>
      </c>
      <c r="F439" t="str">
        <f>VLOOKUP(E439,Table2[[#Headers],[#Data],[seller_id]:[seller_user]],2,FALSE)</f>
        <v>generalstuff</v>
      </c>
      <c r="G439">
        <v>2</v>
      </c>
      <c r="H439">
        <f t="shared" si="6"/>
        <v>4.3600000000000003</v>
      </c>
    </row>
    <row r="440" spans="1:8" x14ac:dyDescent="0.3">
      <c r="A440" t="str">
        <f>VLOOKUP(B440,Table3[[#Headers],[#Data]],3,FALSE)</f>
        <v>Stationery</v>
      </c>
      <c r="B440" t="s">
        <v>552</v>
      </c>
      <c r="C440">
        <f>VLOOKUP(B440,Table3[[#Headers],[#Data]],4, FALSE)</f>
        <v>2.1800000000000002</v>
      </c>
      <c r="D440" t="str">
        <f>VLOOKUP('Rough data'!B440,Table3[[#Headers],[#Data]],2,FALSE)</f>
        <v>Ballpoint pen 6 pack</v>
      </c>
      <c r="E440" t="str">
        <f>VLOOKUP(B440,Table3[[#Headers],[#Data]],5,FALSE)</f>
        <v>SELL0076</v>
      </c>
      <c r="F440" t="str">
        <f>VLOOKUP(E440,Table2[[#Headers],[#Data],[seller_id]:[seller_user]],2,FALSE)</f>
        <v>generalstuff</v>
      </c>
      <c r="G440">
        <v>1</v>
      </c>
      <c r="H440">
        <f t="shared" si="6"/>
        <v>2.1800000000000002</v>
      </c>
    </row>
    <row r="441" spans="1:8" x14ac:dyDescent="0.3">
      <c r="A441" t="str">
        <f>VLOOKUP(B441,Table3[[#Headers],[#Data]],3,FALSE)</f>
        <v>Stationery</v>
      </c>
      <c r="B441" t="s">
        <v>552</v>
      </c>
      <c r="C441">
        <f>VLOOKUP(B441,Table3[[#Headers],[#Data]],4, FALSE)</f>
        <v>2.1800000000000002</v>
      </c>
      <c r="D441" t="str">
        <f>VLOOKUP('Rough data'!B441,Table3[[#Headers],[#Data]],2,FALSE)</f>
        <v>Ballpoint pen 6 pack</v>
      </c>
      <c r="E441" t="str">
        <f>VLOOKUP(B441,Table3[[#Headers],[#Data]],5,FALSE)</f>
        <v>SELL0076</v>
      </c>
      <c r="F441" t="str">
        <f>VLOOKUP(E441,Table2[[#Headers],[#Data],[seller_id]:[seller_user]],2,FALSE)</f>
        <v>generalstuff</v>
      </c>
      <c r="G441">
        <v>1</v>
      </c>
      <c r="H441">
        <f t="shared" si="6"/>
        <v>2.1800000000000002</v>
      </c>
    </row>
    <row r="442" spans="1:8" x14ac:dyDescent="0.3">
      <c r="A442" t="str">
        <f>VLOOKUP(B442,Table3[[#Headers],[#Data]],3,FALSE)</f>
        <v>Toys</v>
      </c>
      <c r="B442" t="s">
        <v>555</v>
      </c>
      <c r="C442">
        <f>VLOOKUP(B442,Table3[[#Headers],[#Data]],4, FALSE)</f>
        <v>26.73</v>
      </c>
      <c r="D442" t="str">
        <f>VLOOKUP('Rough data'!B442,Table3[[#Headers],[#Data]],2,FALSE)</f>
        <v>Skipping Rope</v>
      </c>
      <c r="E442" t="str">
        <f>VLOOKUP(B442,Table3[[#Headers],[#Data]],5,FALSE)</f>
        <v>SELL0076</v>
      </c>
      <c r="F442" t="str">
        <f>VLOOKUP(E442,Table2[[#Headers],[#Data],[seller_id]:[seller_user]],2,FALSE)</f>
        <v>generalstuff</v>
      </c>
      <c r="G442">
        <v>1</v>
      </c>
      <c r="H442">
        <f t="shared" si="6"/>
        <v>26.73</v>
      </c>
    </row>
    <row r="443" spans="1:8" x14ac:dyDescent="0.3">
      <c r="A443" t="str">
        <f>VLOOKUP(B443,Table3[[#Headers],[#Data]],3,FALSE)</f>
        <v>Toys</v>
      </c>
      <c r="B443" t="s">
        <v>555</v>
      </c>
      <c r="C443">
        <f>VLOOKUP(B443,Table3[[#Headers],[#Data]],4, FALSE)</f>
        <v>26.73</v>
      </c>
      <c r="D443" t="str">
        <f>VLOOKUP('Rough data'!B443,Table3[[#Headers],[#Data]],2,FALSE)</f>
        <v>Skipping Rope</v>
      </c>
      <c r="E443" t="str">
        <f>VLOOKUP(B443,Table3[[#Headers],[#Data]],5,FALSE)</f>
        <v>SELL0076</v>
      </c>
      <c r="F443" t="str">
        <f>VLOOKUP(E443,Table2[[#Headers],[#Data],[seller_id]:[seller_user]],2,FALSE)</f>
        <v>generalstuff</v>
      </c>
      <c r="G443">
        <v>1</v>
      </c>
      <c r="H443">
        <f t="shared" si="6"/>
        <v>26.73</v>
      </c>
    </row>
    <row r="444" spans="1:8" x14ac:dyDescent="0.3">
      <c r="A444" t="str">
        <f>VLOOKUP(B444,Table3[[#Headers],[#Data]],3,FALSE)</f>
        <v>Health</v>
      </c>
      <c r="B444" t="s">
        <v>557</v>
      </c>
      <c r="C444">
        <f>VLOOKUP(B444,Table3[[#Headers],[#Data]],4, FALSE)</f>
        <v>79.16</v>
      </c>
      <c r="D444" t="str">
        <f>VLOOKUP('Rough data'!B444,Table3[[#Headers],[#Data]],2,FALSE)</f>
        <v>Heat Therapy Pad Reusable</v>
      </c>
      <c r="E444" t="str">
        <f>VLOOKUP(B444,Table3[[#Headers],[#Data]],5,FALSE)</f>
        <v>SELL0076</v>
      </c>
      <c r="F444" t="str">
        <f>VLOOKUP(E444,Table2[[#Headers],[#Data],[seller_id]:[seller_user]],2,FALSE)</f>
        <v>generalstuff</v>
      </c>
      <c r="G444">
        <v>1</v>
      </c>
      <c r="H444">
        <f t="shared" si="6"/>
        <v>79.16</v>
      </c>
    </row>
    <row r="445" spans="1:8" x14ac:dyDescent="0.3">
      <c r="A445" t="str">
        <f>VLOOKUP(B445,Table3[[#Headers],[#Data]],3,FALSE)</f>
        <v>Health</v>
      </c>
      <c r="B445" t="s">
        <v>557</v>
      </c>
      <c r="C445">
        <f>VLOOKUP(B445,Table3[[#Headers],[#Data]],4, FALSE)</f>
        <v>79.16</v>
      </c>
      <c r="D445" t="str">
        <f>VLOOKUP('Rough data'!B445,Table3[[#Headers],[#Data]],2,FALSE)</f>
        <v>Heat Therapy Pad Reusable</v>
      </c>
      <c r="E445" t="str">
        <f>VLOOKUP(B445,Table3[[#Headers],[#Data]],5,FALSE)</f>
        <v>SELL0076</v>
      </c>
      <c r="F445" t="str">
        <f>VLOOKUP(E445,Table2[[#Headers],[#Data],[seller_id]:[seller_user]],2,FALSE)</f>
        <v>generalstuff</v>
      </c>
      <c r="G445">
        <v>1</v>
      </c>
      <c r="H445">
        <f t="shared" si="6"/>
        <v>79.16</v>
      </c>
    </row>
    <row r="446" spans="1:8" x14ac:dyDescent="0.3">
      <c r="A446" t="str">
        <f>VLOOKUP(B446,Table3[[#Headers],[#Data]],3,FALSE)</f>
        <v>Health</v>
      </c>
      <c r="B446" t="s">
        <v>557</v>
      </c>
      <c r="C446">
        <f>VLOOKUP(B446,Table3[[#Headers],[#Data]],4, FALSE)</f>
        <v>79.16</v>
      </c>
      <c r="D446" t="str">
        <f>VLOOKUP('Rough data'!B446,Table3[[#Headers],[#Data]],2,FALSE)</f>
        <v>Heat Therapy Pad Reusable</v>
      </c>
      <c r="E446" t="str">
        <f>VLOOKUP(B446,Table3[[#Headers],[#Data]],5,FALSE)</f>
        <v>SELL0076</v>
      </c>
      <c r="F446" t="str">
        <f>VLOOKUP(E446,Table2[[#Headers],[#Data],[seller_id]:[seller_user]],2,FALSE)</f>
        <v>generalstuff</v>
      </c>
      <c r="G446">
        <v>1</v>
      </c>
      <c r="H446">
        <f t="shared" si="6"/>
        <v>79.16</v>
      </c>
    </row>
    <row r="447" spans="1:8" x14ac:dyDescent="0.3">
      <c r="A447" t="str">
        <f>VLOOKUP(B447,Table3[[#Headers],[#Data]],3,FALSE)</f>
        <v>Outdoor</v>
      </c>
      <c r="B447" t="s">
        <v>559</v>
      </c>
      <c r="C447">
        <f>VLOOKUP(B447,Table3[[#Headers],[#Data]],4, FALSE)</f>
        <v>51.74</v>
      </c>
      <c r="D447" t="str">
        <f>VLOOKUP('Rough data'!B447,Table3[[#Headers],[#Data]],2,FALSE)</f>
        <v>Garden Ornament Frog</v>
      </c>
      <c r="E447" t="str">
        <f>VLOOKUP(B447,Table3[[#Headers],[#Data]],5,FALSE)</f>
        <v>SELL0077</v>
      </c>
      <c r="F447" t="str">
        <f>VLOOKUP(E447,Table2[[#Headers],[#Data],[seller_id]:[seller_user]],2,FALSE)</f>
        <v>doorsyout</v>
      </c>
      <c r="G447">
        <v>1</v>
      </c>
      <c r="H447">
        <f t="shared" si="6"/>
        <v>51.74</v>
      </c>
    </row>
    <row r="448" spans="1:8" x14ac:dyDescent="0.3">
      <c r="A448" t="str">
        <f>VLOOKUP(B448,Table3[[#Headers],[#Data]],3,FALSE)</f>
        <v>Outdoor</v>
      </c>
      <c r="B448" t="s">
        <v>559</v>
      </c>
      <c r="C448">
        <f>VLOOKUP(B448,Table3[[#Headers],[#Data]],4, FALSE)</f>
        <v>51.74</v>
      </c>
      <c r="D448" t="str">
        <f>VLOOKUP('Rough data'!B448,Table3[[#Headers],[#Data]],2,FALSE)</f>
        <v>Garden Ornament Frog</v>
      </c>
      <c r="E448" t="str">
        <f>VLOOKUP(B448,Table3[[#Headers],[#Data]],5,FALSE)</f>
        <v>SELL0077</v>
      </c>
      <c r="F448" t="str">
        <f>VLOOKUP(E448,Table2[[#Headers],[#Data],[seller_id]:[seller_user]],2,FALSE)</f>
        <v>doorsyout</v>
      </c>
      <c r="G448">
        <v>1</v>
      </c>
      <c r="H448">
        <f t="shared" si="6"/>
        <v>51.74</v>
      </c>
    </row>
    <row r="449" spans="1:8" x14ac:dyDescent="0.3">
      <c r="A449" t="str">
        <f>VLOOKUP(B449,Table3[[#Headers],[#Data]],3,FALSE)</f>
        <v>Outdoor</v>
      </c>
      <c r="B449" t="s">
        <v>559</v>
      </c>
      <c r="C449">
        <f>VLOOKUP(B449,Table3[[#Headers],[#Data]],4, FALSE)</f>
        <v>51.74</v>
      </c>
      <c r="D449" t="str">
        <f>VLOOKUP('Rough data'!B449,Table3[[#Headers],[#Data]],2,FALSE)</f>
        <v>Garden Ornament Frog</v>
      </c>
      <c r="E449" t="str">
        <f>VLOOKUP(B449,Table3[[#Headers],[#Data]],5,FALSE)</f>
        <v>SELL0077</v>
      </c>
      <c r="F449" t="str">
        <f>VLOOKUP(E449,Table2[[#Headers],[#Data],[seller_id]:[seller_user]],2,FALSE)</f>
        <v>doorsyout</v>
      </c>
      <c r="G449">
        <v>1</v>
      </c>
      <c r="H449">
        <f t="shared" si="6"/>
        <v>51.74</v>
      </c>
    </row>
    <row r="450" spans="1:8" x14ac:dyDescent="0.3">
      <c r="A450" t="str">
        <f>VLOOKUP(B450,Table3[[#Headers],[#Data]],3,FALSE)</f>
        <v>Outdoor</v>
      </c>
      <c r="B450" t="s">
        <v>559</v>
      </c>
      <c r="C450">
        <f>VLOOKUP(B450,Table3[[#Headers],[#Data]],4, FALSE)</f>
        <v>51.74</v>
      </c>
      <c r="D450" t="str">
        <f>VLOOKUP('Rough data'!B450,Table3[[#Headers],[#Data]],2,FALSE)</f>
        <v>Garden Ornament Frog</v>
      </c>
      <c r="E450" t="str">
        <f>VLOOKUP(B450,Table3[[#Headers],[#Data]],5,FALSE)</f>
        <v>SELL0077</v>
      </c>
      <c r="F450" t="str">
        <f>VLOOKUP(E450,Table2[[#Headers],[#Data],[seller_id]:[seller_user]],2,FALSE)</f>
        <v>doorsyout</v>
      </c>
      <c r="G450">
        <v>1</v>
      </c>
      <c r="H450">
        <f t="shared" ref="H450:H513" si="7">G450*C450</f>
        <v>51.74</v>
      </c>
    </row>
    <row r="451" spans="1:8" x14ac:dyDescent="0.3">
      <c r="A451" t="str">
        <f>VLOOKUP(B451,Table3[[#Headers],[#Data]],3,FALSE)</f>
        <v>Outdoor</v>
      </c>
      <c r="B451" t="s">
        <v>559</v>
      </c>
      <c r="C451">
        <f>VLOOKUP(B451,Table3[[#Headers],[#Data]],4, FALSE)</f>
        <v>51.74</v>
      </c>
      <c r="D451" t="str">
        <f>VLOOKUP('Rough data'!B451,Table3[[#Headers],[#Data]],2,FALSE)</f>
        <v>Garden Ornament Frog</v>
      </c>
      <c r="E451" t="str">
        <f>VLOOKUP(B451,Table3[[#Headers],[#Data]],5,FALSE)</f>
        <v>SELL0077</v>
      </c>
      <c r="F451" t="str">
        <f>VLOOKUP(E451,Table2[[#Headers],[#Data],[seller_id]:[seller_user]],2,FALSE)</f>
        <v>doorsyout</v>
      </c>
      <c r="G451">
        <v>1</v>
      </c>
      <c r="H451">
        <f t="shared" si="7"/>
        <v>51.74</v>
      </c>
    </row>
    <row r="452" spans="1:8" x14ac:dyDescent="0.3">
      <c r="A452" t="str">
        <f>VLOOKUP(B452,Table3[[#Headers],[#Data]],3,FALSE)</f>
        <v>Outdoor</v>
      </c>
      <c r="B452" t="s">
        <v>559</v>
      </c>
      <c r="C452">
        <f>VLOOKUP(B452,Table3[[#Headers],[#Data]],4, FALSE)</f>
        <v>51.74</v>
      </c>
      <c r="D452" t="str">
        <f>VLOOKUP('Rough data'!B452,Table3[[#Headers],[#Data]],2,FALSE)</f>
        <v>Garden Ornament Frog</v>
      </c>
      <c r="E452" t="str">
        <f>VLOOKUP(B452,Table3[[#Headers],[#Data]],5,FALSE)</f>
        <v>SELL0077</v>
      </c>
      <c r="F452" t="str">
        <f>VLOOKUP(E452,Table2[[#Headers],[#Data],[seller_id]:[seller_user]],2,FALSE)</f>
        <v>doorsyout</v>
      </c>
      <c r="G452">
        <v>1</v>
      </c>
      <c r="H452">
        <f t="shared" si="7"/>
        <v>51.74</v>
      </c>
    </row>
    <row r="453" spans="1:8" x14ac:dyDescent="0.3">
      <c r="A453" t="str">
        <f>VLOOKUP(B453,Table3[[#Headers],[#Data]],3,FALSE)</f>
        <v>Outdoor</v>
      </c>
      <c r="B453" t="s">
        <v>559</v>
      </c>
      <c r="C453">
        <f>VLOOKUP(B453,Table3[[#Headers],[#Data]],4, FALSE)</f>
        <v>51.74</v>
      </c>
      <c r="D453" t="str">
        <f>VLOOKUP('Rough data'!B453,Table3[[#Headers],[#Data]],2,FALSE)</f>
        <v>Garden Ornament Frog</v>
      </c>
      <c r="E453" t="str">
        <f>VLOOKUP(B453,Table3[[#Headers],[#Data]],5,FALSE)</f>
        <v>SELL0077</v>
      </c>
      <c r="F453" t="str">
        <f>VLOOKUP(E453,Table2[[#Headers],[#Data],[seller_id]:[seller_user]],2,FALSE)</f>
        <v>doorsyout</v>
      </c>
      <c r="G453">
        <v>2</v>
      </c>
      <c r="H453">
        <f t="shared" si="7"/>
        <v>103.48</v>
      </c>
    </row>
    <row r="454" spans="1:8" x14ac:dyDescent="0.3">
      <c r="A454" t="str">
        <f>VLOOKUP(B454,Table3[[#Headers],[#Data]],3,FALSE)</f>
        <v>Outdoor</v>
      </c>
      <c r="B454" t="s">
        <v>559</v>
      </c>
      <c r="C454">
        <f>VLOOKUP(B454,Table3[[#Headers],[#Data]],4, FALSE)</f>
        <v>51.74</v>
      </c>
      <c r="D454" t="str">
        <f>VLOOKUP('Rough data'!B454,Table3[[#Headers],[#Data]],2,FALSE)</f>
        <v>Garden Ornament Frog</v>
      </c>
      <c r="E454" t="str">
        <f>VLOOKUP(B454,Table3[[#Headers],[#Data]],5,FALSE)</f>
        <v>SELL0077</v>
      </c>
      <c r="F454" t="str">
        <f>VLOOKUP(E454,Table2[[#Headers],[#Data],[seller_id]:[seller_user]],2,FALSE)</f>
        <v>doorsyout</v>
      </c>
      <c r="G454">
        <v>1</v>
      </c>
      <c r="H454">
        <f t="shared" si="7"/>
        <v>51.74</v>
      </c>
    </row>
    <row r="455" spans="1:8" x14ac:dyDescent="0.3">
      <c r="A455" t="str">
        <f>VLOOKUP(B455,Table3[[#Headers],[#Data]],3,FALSE)</f>
        <v>Outdoor</v>
      </c>
      <c r="B455" t="s">
        <v>559</v>
      </c>
      <c r="C455">
        <f>VLOOKUP(B455,Table3[[#Headers],[#Data]],4, FALSE)</f>
        <v>51.74</v>
      </c>
      <c r="D455" t="str">
        <f>VLOOKUP('Rough data'!B455,Table3[[#Headers],[#Data]],2,FALSE)</f>
        <v>Garden Ornament Frog</v>
      </c>
      <c r="E455" t="str">
        <f>VLOOKUP(B455,Table3[[#Headers],[#Data]],5,FALSE)</f>
        <v>SELL0077</v>
      </c>
      <c r="F455" t="str">
        <f>VLOOKUP(E455,Table2[[#Headers],[#Data],[seller_id]:[seller_user]],2,FALSE)</f>
        <v>doorsyout</v>
      </c>
      <c r="G455">
        <v>1</v>
      </c>
      <c r="H455">
        <f t="shared" si="7"/>
        <v>51.74</v>
      </c>
    </row>
    <row r="456" spans="1:8" x14ac:dyDescent="0.3">
      <c r="A456" t="str">
        <f>VLOOKUP(B456,Table3[[#Headers],[#Data]],3,FALSE)</f>
        <v>Jewellery</v>
      </c>
      <c r="B456" t="s">
        <v>565</v>
      </c>
      <c r="C456">
        <f>VLOOKUP(B456,Table3[[#Headers],[#Data]],4, FALSE)</f>
        <v>16.899999999999999</v>
      </c>
      <c r="D456" t="str">
        <f>VLOOKUP('Rough data'!B456,Table3[[#Headers],[#Data]],2,FALSE)</f>
        <v>gold Necklace stars</v>
      </c>
      <c r="E456" t="str">
        <f>VLOOKUP(B456,Table3[[#Headers],[#Data]],5,FALSE)</f>
        <v>SELL0078</v>
      </c>
      <c r="F456" t="str">
        <f>VLOOKUP(E456,Table2[[#Headers],[#Data],[seller_id]:[seller_user]],2,FALSE)</f>
        <v>r6vd2aojq8</v>
      </c>
      <c r="G456">
        <v>1</v>
      </c>
      <c r="H456">
        <f t="shared" si="7"/>
        <v>16.899999999999999</v>
      </c>
    </row>
    <row r="457" spans="1:8" x14ac:dyDescent="0.3">
      <c r="A457" t="str">
        <f>VLOOKUP(B457,Table3[[#Headers],[#Data]],3,FALSE)</f>
        <v>Gift_Sets</v>
      </c>
      <c r="B457" t="s">
        <v>569</v>
      </c>
      <c r="C457">
        <f>VLOOKUP(B457,Table3[[#Headers],[#Data]],4, FALSE)</f>
        <v>34.36</v>
      </c>
      <c r="D457" t="str">
        <f>VLOOKUP('Rough data'!B457,Table3[[#Headers],[#Data]],2,FALSE)</f>
        <v>Spa Pamper Gift Set Relaxing Calm</v>
      </c>
      <c r="E457" t="str">
        <f>VLOOKUP(B457,Table3[[#Headers],[#Data]],5,FALSE)</f>
        <v>SELL0078</v>
      </c>
      <c r="F457" t="str">
        <f>VLOOKUP(E457,Table2[[#Headers],[#Data],[seller_id]:[seller_user]],2,FALSE)</f>
        <v>r6vd2aojq8</v>
      </c>
      <c r="G457">
        <v>2</v>
      </c>
      <c r="H457">
        <f t="shared" si="7"/>
        <v>68.72</v>
      </c>
    </row>
    <row r="458" spans="1:8" x14ac:dyDescent="0.3">
      <c r="A458" t="str">
        <f>VLOOKUP(B458,Table3[[#Headers],[#Data]],3,FALSE)</f>
        <v>Gift_Sets</v>
      </c>
      <c r="B458" t="s">
        <v>569</v>
      </c>
      <c r="C458">
        <f>VLOOKUP(B458,Table3[[#Headers],[#Data]],4, FALSE)</f>
        <v>34.36</v>
      </c>
      <c r="D458" t="str">
        <f>VLOOKUP('Rough data'!B458,Table3[[#Headers],[#Data]],2,FALSE)</f>
        <v>Spa Pamper Gift Set Relaxing Calm</v>
      </c>
      <c r="E458" t="str">
        <f>VLOOKUP(B458,Table3[[#Headers],[#Data]],5,FALSE)</f>
        <v>SELL0078</v>
      </c>
      <c r="F458" t="str">
        <f>VLOOKUP(E458,Table2[[#Headers],[#Data],[seller_id]:[seller_user]],2,FALSE)</f>
        <v>r6vd2aojq8</v>
      </c>
      <c r="G458">
        <v>1</v>
      </c>
      <c r="H458">
        <f t="shared" si="7"/>
        <v>34.36</v>
      </c>
    </row>
    <row r="459" spans="1:8" x14ac:dyDescent="0.3">
      <c r="A459" t="str">
        <f>VLOOKUP(B459,Table3[[#Headers],[#Data]],3,FALSE)</f>
        <v>Stationery</v>
      </c>
      <c r="B459" t="s">
        <v>583</v>
      </c>
      <c r="C459">
        <f>VLOOKUP(B459,Table3[[#Headers],[#Data]],4, FALSE)</f>
        <v>6.18</v>
      </c>
      <c r="D459" t="str">
        <f>VLOOKUP('Rough data'!B459,Table3[[#Headers],[#Data]],2,FALSE)</f>
        <v>Highlighter 4pc Yellow</v>
      </c>
      <c r="E459" t="str">
        <f>VLOOKUP(B459,Table3[[#Headers],[#Data]],5,FALSE)</f>
        <v>SELL0080</v>
      </c>
      <c r="F459" t="str">
        <f>VLOOKUP(E459,Table2[[#Headers],[#Data],[seller_id]:[seller_user]],2,FALSE)</f>
        <v>cpghfp370y</v>
      </c>
      <c r="G459">
        <v>1</v>
      </c>
      <c r="H459">
        <f t="shared" si="7"/>
        <v>6.18</v>
      </c>
    </row>
    <row r="460" spans="1:8" x14ac:dyDescent="0.3">
      <c r="A460" t="str">
        <f>VLOOKUP(B460,Table3[[#Headers],[#Data]],3,FALSE)</f>
        <v>Stationery</v>
      </c>
      <c r="B460" t="s">
        <v>583</v>
      </c>
      <c r="C460">
        <f>VLOOKUP(B460,Table3[[#Headers],[#Data]],4, FALSE)</f>
        <v>6.18</v>
      </c>
      <c r="D460" t="str">
        <f>VLOOKUP('Rough data'!B460,Table3[[#Headers],[#Data]],2,FALSE)</f>
        <v>Highlighter 4pc Yellow</v>
      </c>
      <c r="E460" t="str">
        <f>VLOOKUP(B460,Table3[[#Headers],[#Data]],5,FALSE)</f>
        <v>SELL0080</v>
      </c>
      <c r="F460" t="str">
        <f>VLOOKUP(E460,Table2[[#Headers],[#Data],[seller_id]:[seller_user]],2,FALSE)</f>
        <v>cpghfp370y</v>
      </c>
      <c r="G460">
        <v>2</v>
      </c>
      <c r="H460">
        <f t="shared" si="7"/>
        <v>12.36</v>
      </c>
    </row>
    <row r="461" spans="1:8" x14ac:dyDescent="0.3">
      <c r="A461" t="str">
        <f>VLOOKUP(B461,Table3[[#Headers],[#Data]],3,FALSE)</f>
        <v>Stationery</v>
      </c>
      <c r="B461" t="s">
        <v>583</v>
      </c>
      <c r="C461">
        <f>VLOOKUP(B461,Table3[[#Headers],[#Data]],4, FALSE)</f>
        <v>6.18</v>
      </c>
      <c r="D461" t="str">
        <f>VLOOKUP('Rough data'!B461,Table3[[#Headers],[#Data]],2,FALSE)</f>
        <v>Highlighter 4pc Yellow</v>
      </c>
      <c r="E461" t="str">
        <f>VLOOKUP(B461,Table3[[#Headers],[#Data]],5,FALSE)</f>
        <v>SELL0080</v>
      </c>
      <c r="F461" t="str">
        <f>VLOOKUP(E461,Table2[[#Headers],[#Data],[seller_id]:[seller_user]],2,FALSE)</f>
        <v>cpghfp370y</v>
      </c>
      <c r="G461">
        <v>1</v>
      </c>
      <c r="H461">
        <f t="shared" si="7"/>
        <v>6.18</v>
      </c>
    </row>
    <row r="462" spans="1:8" x14ac:dyDescent="0.3">
      <c r="A462" t="str">
        <f>VLOOKUP(B462,Table3[[#Headers],[#Data]],3,FALSE)</f>
        <v>Clothes</v>
      </c>
      <c r="B462" t="s">
        <v>588</v>
      </c>
      <c r="C462">
        <f>VLOOKUP(B462,Table3[[#Headers],[#Data]],4, FALSE)</f>
        <v>56.67</v>
      </c>
      <c r="D462" t="str">
        <f>VLOOKUP('Rough data'!B462,Table3[[#Headers],[#Data]],2,FALSE)</f>
        <v>Men’s Chino Shorts M</v>
      </c>
      <c r="E462" t="str">
        <f>VLOOKUP(B462,Table3[[#Headers],[#Data]],5,FALSE)</f>
        <v>SELL0081</v>
      </c>
      <c r="F462" t="str">
        <f>VLOOKUP(E462,Table2[[#Headers],[#Data],[seller_id]:[seller_user]],2,FALSE)</f>
        <v>brizzy_bonanza_48</v>
      </c>
      <c r="G462">
        <v>1</v>
      </c>
      <c r="H462">
        <f t="shared" si="7"/>
        <v>56.67</v>
      </c>
    </row>
    <row r="463" spans="1:8" x14ac:dyDescent="0.3">
      <c r="A463" t="str">
        <f>VLOOKUP(B463,Table3[[#Headers],[#Data]],3,FALSE)</f>
        <v>Clothes</v>
      </c>
      <c r="B463" t="s">
        <v>588</v>
      </c>
      <c r="C463">
        <f>VLOOKUP(B463,Table3[[#Headers],[#Data]],4, FALSE)</f>
        <v>56.67</v>
      </c>
      <c r="D463" t="str">
        <f>VLOOKUP('Rough data'!B463,Table3[[#Headers],[#Data]],2,FALSE)</f>
        <v>Men’s Chino Shorts M</v>
      </c>
      <c r="E463" t="str">
        <f>VLOOKUP(B463,Table3[[#Headers],[#Data]],5,FALSE)</f>
        <v>SELL0081</v>
      </c>
      <c r="F463" t="str">
        <f>VLOOKUP(E463,Table2[[#Headers],[#Data],[seller_id]:[seller_user]],2,FALSE)</f>
        <v>brizzy_bonanza_48</v>
      </c>
      <c r="G463">
        <v>1</v>
      </c>
      <c r="H463">
        <f t="shared" si="7"/>
        <v>56.67</v>
      </c>
    </row>
    <row r="464" spans="1:8" x14ac:dyDescent="0.3">
      <c r="A464" t="str">
        <f>VLOOKUP(B464,Table3[[#Headers],[#Data]],3,FALSE)</f>
        <v>Gift_Sets</v>
      </c>
      <c r="B464" t="s">
        <v>590</v>
      </c>
      <c r="C464">
        <f>VLOOKUP(B464,Table3[[#Headers],[#Data]],4, FALSE)</f>
        <v>19.09</v>
      </c>
      <c r="D464" t="str">
        <f>VLOOKUP('Rough data'!B464,Table3[[#Headers],[#Data]],2,FALSE)</f>
        <v>Milk Chocolate Selection Box</v>
      </c>
      <c r="E464" t="str">
        <f>VLOOKUP(B464,Table3[[#Headers],[#Data]],5,FALSE)</f>
        <v>SELL0081</v>
      </c>
      <c r="F464" t="str">
        <f>VLOOKUP(E464,Table2[[#Headers],[#Data],[seller_id]:[seller_user]],2,FALSE)</f>
        <v>brizzy_bonanza_48</v>
      </c>
      <c r="G464">
        <v>1</v>
      </c>
      <c r="H464">
        <f t="shared" si="7"/>
        <v>19.09</v>
      </c>
    </row>
    <row r="465" spans="1:8" x14ac:dyDescent="0.3">
      <c r="A465" t="str">
        <f>VLOOKUP(B465,Table3[[#Headers],[#Data]],3,FALSE)</f>
        <v>Gift_Sets</v>
      </c>
      <c r="B465" t="s">
        <v>590</v>
      </c>
      <c r="C465">
        <f>VLOOKUP(B465,Table3[[#Headers],[#Data]],4, FALSE)</f>
        <v>19.09</v>
      </c>
      <c r="D465" t="str">
        <f>VLOOKUP('Rough data'!B465,Table3[[#Headers],[#Data]],2,FALSE)</f>
        <v>Milk Chocolate Selection Box</v>
      </c>
      <c r="E465" t="str">
        <f>VLOOKUP(B465,Table3[[#Headers],[#Data]],5,FALSE)</f>
        <v>SELL0081</v>
      </c>
      <c r="F465" t="str">
        <f>VLOOKUP(E465,Table2[[#Headers],[#Data],[seller_id]:[seller_user]],2,FALSE)</f>
        <v>brizzy_bonanza_48</v>
      </c>
      <c r="G465">
        <v>2</v>
      </c>
      <c r="H465">
        <f t="shared" si="7"/>
        <v>38.18</v>
      </c>
    </row>
    <row r="466" spans="1:8" x14ac:dyDescent="0.3">
      <c r="A466" t="str">
        <f>VLOOKUP(B466,Table3[[#Headers],[#Data]],3,FALSE)</f>
        <v>Outdoor</v>
      </c>
      <c r="B466" t="s">
        <v>594</v>
      </c>
      <c r="C466">
        <f>VLOOKUP(B466,Table3[[#Headers],[#Data]],4, FALSE)</f>
        <v>31.66</v>
      </c>
      <c r="D466" t="str">
        <f>VLOOKUP('Rough data'!B466,Table3[[#Headers],[#Data]],2,FALSE)</f>
        <v>Wood Chips - Hickory</v>
      </c>
      <c r="E466" t="str">
        <f>VLOOKUP(B466,Table3[[#Headers],[#Data]],5,FALSE)</f>
        <v>SELL0081</v>
      </c>
      <c r="F466" t="str">
        <f>VLOOKUP(E466,Table2[[#Headers],[#Data],[seller_id]:[seller_user]],2,FALSE)</f>
        <v>brizzy_bonanza_48</v>
      </c>
      <c r="G466">
        <v>1</v>
      </c>
      <c r="H466">
        <f t="shared" si="7"/>
        <v>31.66</v>
      </c>
    </row>
    <row r="467" spans="1:8" x14ac:dyDescent="0.3">
      <c r="A467" t="str">
        <f>VLOOKUP(B467,Table3[[#Headers],[#Data]],3,FALSE)</f>
        <v>Outdoor</v>
      </c>
      <c r="B467" t="s">
        <v>596</v>
      </c>
      <c r="C467">
        <f>VLOOKUP(B467,Table3[[#Headers],[#Data]],4, FALSE)</f>
        <v>48.14</v>
      </c>
      <c r="D467" t="str">
        <f>VLOOKUP('Rough data'!B467,Table3[[#Headers],[#Data]],2,FALSE)</f>
        <v>Disposible Mini Grill</v>
      </c>
      <c r="E467" t="str">
        <f>VLOOKUP(B467,Table3[[#Headers],[#Data]],5,FALSE)</f>
        <v>SELL0081</v>
      </c>
      <c r="F467" t="str">
        <f>VLOOKUP(E467,Table2[[#Headers],[#Data],[seller_id]:[seller_user]],2,FALSE)</f>
        <v>brizzy_bonanza_48</v>
      </c>
      <c r="G467">
        <v>5</v>
      </c>
      <c r="H467">
        <f t="shared" si="7"/>
        <v>240.7</v>
      </c>
    </row>
    <row r="468" spans="1:8" x14ac:dyDescent="0.3">
      <c r="A468" t="str">
        <f>VLOOKUP(B468,Table3[[#Headers],[#Data]],3,FALSE)</f>
        <v>Outdoor</v>
      </c>
      <c r="B468" t="s">
        <v>596</v>
      </c>
      <c r="C468">
        <f>VLOOKUP(B468,Table3[[#Headers],[#Data]],4, FALSE)</f>
        <v>48.14</v>
      </c>
      <c r="D468" t="str">
        <f>VLOOKUP('Rough data'!B468,Table3[[#Headers],[#Data]],2,FALSE)</f>
        <v>Disposible Mini Grill</v>
      </c>
      <c r="E468" t="str">
        <f>VLOOKUP(B468,Table3[[#Headers],[#Data]],5,FALSE)</f>
        <v>SELL0081</v>
      </c>
      <c r="F468" t="str">
        <f>VLOOKUP(E468,Table2[[#Headers],[#Data],[seller_id]:[seller_user]],2,FALSE)</f>
        <v>brizzy_bonanza_48</v>
      </c>
      <c r="G468">
        <v>1</v>
      </c>
      <c r="H468">
        <f t="shared" si="7"/>
        <v>48.14</v>
      </c>
    </row>
    <row r="469" spans="1:8" x14ac:dyDescent="0.3">
      <c r="A469" t="str">
        <f>VLOOKUP(B469,Table3[[#Headers],[#Data]],3,FALSE)</f>
        <v>Outdoor</v>
      </c>
      <c r="B469" t="s">
        <v>596</v>
      </c>
      <c r="C469">
        <f>VLOOKUP(B469,Table3[[#Headers],[#Data]],4, FALSE)</f>
        <v>48.14</v>
      </c>
      <c r="D469" t="str">
        <f>VLOOKUP('Rough data'!B469,Table3[[#Headers],[#Data]],2,FALSE)</f>
        <v>Disposible Mini Grill</v>
      </c>
      <c r="E469" t="str">
        <f>VLOOKUP(B469,Table3[[#Headers],[#Data]],5,FALSE)</f>
        <v>SELL0081</v>
      </c>
      <c r="F469" t="str">
        <f>VLOOKUP(E469,Table2[[#Headers],[#Data],[seller_id]:[seller_user]],2,FALSE)</f>
        <v>brizzy_bonanza_48</v>
      </c>
      <c r="G469">
        <v>1</v>
      </c>
      <c r="H469">
        <f t="shared" si="7"/>
        <v>48.14</v>
      </c>
    </row>
    <row r="470" spans="1:8" x14ac:dyDescent="0.3">
      <c r="A470" t="str">
        <f>VLOOKUP(B470,Table3[[#Headers],[#Data]],3,FALSE)</f>
        <v>Beauty</v>
      </c>
      <c r="B470" t="s">
        <v>598</v>
      </c>
      <c r="C470">
        <f>VLOOKUP(B470,Table3[[#Headers],[#Data]],4, FALSE)</f>
        <v>17.28</v>
      </c>
      <c r="D470" t="str">
        <f>VLOOKUP('Rough data'!B470,Table3[[#Headers],[#Data]],2,FALSE)</f>
        <v>Face Mist Vitamin E</v>
      </c>
      <c r="E470" t="str">
        <f>VLOOKUP(B470,Table3[[#Headers],[#Data]],5,FALSE)</f>
        <v>SELL0082</v>
      </c>
      <c r="F470" t="str">
        <f>VLOOKUP(E470,Table2[[#Headers],[#Data],[seller_id]:[seller_user]],2,FALSE)</f>
        <v>blessedforall</v>
      </c>
      <c r="G470">
        <v>1</v>
      </c>
      <c r="H470">
        <f t="shared" si="7"/>
        <v>17.28</v>
      </c>
    </row>
    <row r="471" spans="1:8" x14ac:dyDescent="0.3">
      <c r="A471" t="str">
        <f>VLOOKUP(B471,Table3[[#Headers],[#Data]],3,FALSE)</f>
        <v>Beauty</v>
      </c>
      <c r="B471" t="s">
        <v>598</v>
      </c>
      <c r="C471">
        <f>VLOOKUP(B471,Table3[[#Headers],[#Data]],4, FALSE)</f>
        <v>17.28</v>
      </c>
      <c r="D471" t="str">
        <f>VLOOKUP('Rough data'!B471,Table3[[#Headers],[#Data]],2,FALSE)</f>
        <v>Face Mist Vitamin E</v>
      </c>
      <c r="E471" t="str">
        <f>VLOOKUP(B471,Table3[[#Headers],[#Data]],5,FALSE)</f>
        <v>SELL0082</v>
      </c>
      <c r="F471" t="str">
        <f>VLOOKUP(E471,Table2[[#Headers],[#Data],[seller_id]:[seller_user]],2,FALSE)</f>
        <v>blessedforall</v>
      </c>
      <c r="G471">
        <v>1</v>
      </c>
      <c r="H471">
        <f t="shared" si="7"/>
        <v>17.28</v>
      </c>
    </row>
    <row r="472" spans="1:8" x14ac:dyDescent="0.3">
      <c r="A472" t="str">
        <f>VLOOKUP(B472,Table3[[#Headers],[#Data]],3,FALSE)</f>
        <v>Beauty</v>
      </c>
      <c r="B472" t="s">
        <v>598</v>
      </c>
      <c r="C472">
        <f>VLOOKUP(B472,Table3[[#Headers],[#Data]],4, FALSE)</f>
        <v>17.28</v>
      </c>
      <c r="D472" t="str">
        <f>VLOOKUP('Rough data'!B472,Table3[[#Headers],[#Data]],2,FALSE)</f>
        <v>Face Mist Vitamin E</v>
      </c>
      <c r="E472" t="str">
        <f>VLOOKUP(B472,Table3[[#Headers],[#Data]],5,FALSE)</f>
        <v>SELL0082</v>
      </c>
      <c r="F472" t="str">
        <f>VLOOKUP(E472,Table2[[#Headers],[#Data],[seller_id]:[seller_user]],2,FALSE)</f>
        <v>blessedforall</v>
      </c>
      <c r="G472">
        <v>2</v>
      </c>
      <c r="H472">
        <f t="shared" si="7"/>
        <v>34.56</v>
      </c>
    </row>
    <row r="473" spans="1:8" x14ac:dyDescent="0.3">
      <c r="A473" t="str">
        <f>VLOOKUP(B473,Table3[[#Headers],[#Data]],3,FALSE)</f>
        <v>Beauty</v>
      </c>
      <c r="B473" t="s">
        <v>603</v>
      </c>
      <c r="C473">
        <f>VLOOKUP(B473,Table3[[#Headers],[#Data]],4, FALSE)</f>
        <v>22.28</v>
      </c>
      <c r="D473" t="str">
        <f>VLOOKUP('Rough data'!B473,Table3[[#Headers],[#Data]],2,FALSE)</f>
        <v>Hair Strengthening Mask shea butter</v>
      </c>
      <c r="E473" t="str">
        <f>VLOOKUP(B473,Table3[[#Headers],[#Data]],5,FALSE)</f>
        <v>SELL0082</v>
      </c>
      <c r="F473" t="str">
        <f>VLOOKUP(E473,Table2[[#Headers],[#Data],[seller_id]:[seller_user]],2,FALSE)</f>
        <v>blessedforall</v>
      </c>
      <c r="G473">
        <v>2</v>
      </c>
      <c r="H473">
        <f t="shared" si="7"/>
        <v>44.56</v>
      </c>
    </row>
    <row r="474" spans="1:8" x14ac:dyDescent="0.3">
      <c r="A474" t="str">
        <f>VLOOKUP(B474,Table3[[#Headers],[#Data]],3,FALSE)</f>
        <v>Beauty</v>
      </c>
      <c r="B474" t="s">
        <v>603</v>
      </c>
      <c r="C474">
        <f>VLOOKUP(B474,Table3[[#Headers],[#Data]],4, FALSE)</f>
        <v>22.28</v>
      </c>
      <c r="D474" t="str">
        <f>VLOOKUP('Rough data'!B474,Table3[[#Headers],[#Data]],2,FALSE)</f>
        <v>Hair Strengthening Mask shea butter</v>
      </c>
      <c r="E474" t="str">
        <f>VLOOKUP(B474,Table3[[#Headers],[#Data]],5,FALSE)</f>
        <v>SELL0082</v>
      </c>
      <c r="F474" t="str">
        <f>VLOOKUP(E474,Table2[[#Headers],[#Data],[seller_id]:[seller_user]],2,FALSE)</f>
        <v>blessedforall</v>
      </c>
      <c r="G474">
        <v>1</v>
      </c>
      <c r="H474">
        <f t="shared" si="7"/>
        <v>22.28</v>
      </c>
    </row>
    <row r="475" spans="1:8" x14ac:dyDescent="0.3">
      <c r="A475" t="str">
        <f>VLOOKUP(B475,Table3[[#Headers],[#Data]],3,FALSE)</f>
        <v>Beauty</v>
      </c>
      <c r="B475" t="s">
        <v>608</v>
      </c>
      <c r="C475">
        <f>VLOOKUP(B475,Table3[[#Headers],[#Data]],4, FALSE)</f>
        <v>6.91</v>
      </c>
      <c r="D475" t="str">
        <f>VLOOKUP('Rough data'!B475,Table3[[#Headers],[#Data]],2,FALSE)</f>
        <v>Aloe Vera Gel 200ml</v>
      </c>
      <c r="E475" t="str">
        <f>VLOOKUP(B475,Table3[[#Headers],[#Data]],5,FALSE)</f>
        <v>SELL0083</v>
      </c>
      <c r="F475" t="str">
        <f>VLOOKUP(E475,Table2[[#Headers],[#Data],[seller_id]:[seller_user]],2,FALSE)</f>
        <v>makeupped</v>
      </c>
      <c r="G475">
        <v>1</v>
      </c>
      <c r="H475">
        <f t="shared" si="7"/>
        <v>6.91</v>
      </c>
    </row>
    <row r="476" spans="1:8" x14ac:dyDescent="0.3">
      <c r="A476" t="str">
        <f>VLOOKUP(B476,Table3[[#Headers],[#Data]],3,FALSE)</f>
        <v>Beauty</v>
      </c>
      <c r="B476" t="s">
        <v>608</v>
      </c>
      <c r="C476">
        <f>VLOOKUP(B476,Table3[[#Headers],[#Data]],4, FALSE)</f>
        <v>6.91</v>
      </c>
      <c r="D476" t="str">
        <f>VLOOKUP('Rough data'!B476,Table3[[#Headers],[#Data]],2,FALSE)</f>
        <v>Aloe Vera Gel 200ml</v>
      </c>
      <c r="E476" t="str">
        <f>VLOOKUP(B476,Table3[[#Headers],[#Data]],5,FALSE)</f>
        <v>SELL0083</v>
      </c>
      <c r="F476" t="str">
        <f>VLOOKUP(E476,Table2[[#Headers],[#Data],[seller_id]:[seller_user]],2,FALSE)</f>
        <v>makeupped</v>
      </c>
      <c r="G476">
        <v>1</v>
      </c>
      <c r="H476">
        <f t="shared" si="7"/>
        <v>6.91</v>
      </c>
    </row>
    <row r="477" spans="1:8" x14ac:dyDescent="0.3">
      <c r="A477" t="str">
        <f>VLOOKUP(B477,Table3[[#Headers],[#Data]],3,FALSE)</f>
        <v>Home</v>
      </c>
      <c r="B477" t="s">
        <v>612</v>
      </c>
      <c r="C477">
        <f>VLOOKUP(B477,Table3[[#Headers],[#Data]],4, FALSE)</f>
        <v>119.3</v>
      </c>
      <c r="D477" t="str">
        <f>VLOOKUP('Rough data'!B477,Table3[[#Headers],[#Data]],2,FALSE)</f>
        <v>Memory Foam Pillow Medium Firm x 2</v>
      </c>
      <c r="E477" t="str">
        <f>VLOOKUP(B477,Table3[[#Headers],[#Data]],5,FALSE)</f>
        <v>SELL0078</v>
      </c>
      <c r="F477" t="str">
        <f>VLOOKUP(E477,Table2[[#Headers],[#Data],[seller_id]:[seller_user]],2,FALSE)</f>
        <v>r6vd2aojq8</v>
      </c>
      <c r="G477">
        <v>1</v>
      </c>
      <c r="H477">
        <f t="shared" si="7"/>
        <v>119.3</v>
      </c>
    </row>
    <row r="478" spans="1:8" x14ac:dyDescent="0.3">
      <c r="A478" t="str">
        <f>VLOOKUP(B478,Table3[[#Headers],[#Data]],3,FALSE)</f>
        <v>Home</v>
      </c>
      <c r="B478" t="s">
        <v>612</v>
      </c>
      <c r="C478">
        <f>VLOOKUP(B478,Table3[[#Headers],[#Data]],4, FALSE)</f>
        <v>119.3</v>
      </c>
      <c r="D478" t="str">
        <f>VLOOKUP('Rough data'!B478,Table3[[#Headers],[#Data]],2,FALSE)</f>
        <v>Memory Foam Pillow Medium Firm x 2</v>
      </c>
      <c r="E478" t="str">
        <f>VLOOKUP(B478,Table3[[#Headers],[#Data]],5,FALSE)</f>
        <v>SELL0078</v>
      </c>
      <c r="F478" t="str">
        <f>VLOOKUP(E478,Table2[[#Headers],[#Data],[seller_id]:[seller_user]],2,FALSE)</f>
        <v>r6vd2aojq8</v>
      </c>
      <c r="G478">
        <v>1</v>
      </c>
      <c r="H478">
        <f t="shared" si="7"/>
        <v>119.3</v>
      </c>
    </row>
    <row r="479" spans="1:8" x14ac:dyDescent="0.3">
      <c r="A479" t="str">
        <f>VLOOKUP(B479,Table3[[#Headers],[#Data]],3,FALSE)</f>
        <v>Home</v>
      </c>
      <c r="B479" t="s">
        <v>612</v>
      </c>
      <c r="C479">
        <f>VLOOKUP(B479,Table3[[#Headers],[#Data]],4, FALSE)</f>
        <v>119.3</v>
      </c>
      <c r="D479" t="str">
        <f>VLOOKUP('Rough data'!B479,Table3[[#Headers],[#Data]],2,FALSE)</f>
        <v>Memory Foam Pillow Medium Firm x 2</v>
      </c>
      <c r="E479" t="str">
        <f>VLOOKUP(B479,Table3[[#Headers],[#Data]],5,FALSE)</f>
        <v>SELL0078</v>
      </c>
      <c r="F479" t="str">
        <f>VLOOKUP(E479,Table2[[#Headers],[#Data],[seller_id]:[seller_user]],2,FALSE)</f>
        <v>r6vd2aojq8</v>
      </c>
      <c r="G479">
        <v>1</v>
      </c>
      <c r="H479">
        <f t="shared" si="7"/>
        <v>119.3</v>
      </c>
    </row>
    <row r="480" spans="1:8" x14ac:dyDescent="0.3">
      <c r="A480" t="str">
        <f>VLOOKUP(B480,Table3[[#Headers],[#Data]],3,FALSE)</f>
        <v>Home</v>
      </c>
      <c r="B480" t="s">
        <v>612</v>
      </c>
      <c r="C480">
        <f>VLOOKUP(B480,Table3[[#Headers],[#Data]],4, FALSE)</f>
        <v>119.3</v>
      </c>
      <c r="D480" t="str">
        <f>VLOOKUP('Rough data'!B480,Table3[[#Headers],[#Data]],2,FALSE)</f>
        <v>Memory Foam Pillow Medium Firm x 2</v>
      </c>
      <c r="E480" t="str">
        <f>VLOOKUP(B480,Table3[[#Headers],[#Data]],5,FALSE)</f>
        <v>SELL0078</v>
      </c>
      <c r="F480" t="str">
        <f>VLOOKUP(E480,Table2[[#Headers],[#Data],[seller_id]:[seller_user]],2,FALSE)</f>
        <v>r6vd2aojq8</v>
      </c>
      <c r="G480">
        <v>1</v>
      </c>
      <c r="H480">
        <f t="shared" si="7"/>
        <v>119.3</v>
      </c>
    </row>
    <row r="481" spans="1:8" x14ac:dyDescent="0.3">
      <c r="A481" t="str">
        <f>VLOOKUP(B481,Table3[[#Headers],[#Data]],3,FALSE)</f>
        <v>Beauty</v>
      </c>
      <c r="B481" t="s">
        <v>614</v>
      </c>
      <c r="C481">
        <f>VLOOKUP(B481,Table3[[#Headers],[#Data]],4, FALSE)</f>
        <v>32.26</v>
      </c>
      <c r="D481" t="str">
        <f>VLOOKUP('Rough data'!B481,Table3[[#Headers],[#Data]],2,FALSE)</f>
        <v>Vitamin C Serum 50ml</v>
      </c>
      <c r="E481" t="str">
        <f>VLOOKUP(B481,Table3[[#Headers],[#Data]],5,FALSE)</f>
        <v>SELL0084</v>
      </c>
      <c r="F481" t="str">
        <f>VLOOKUP(E481,Table2[[#Headers],[#Data],[seller_id]:[seller_user]],2,FALSE)</f>
        <v>lfmk805jw2</v>
      </c>
      <c r="G481">
        <v>1</v>
      </c>
      <c r="H481">
        <f t="shared" si="7"/>
        <v>32.26</v>
      </c>
    </row>
    <row r="482" spans="1:8" x14ac:dyDescent="0.3">
      <c r="A482" t="str">
        <f>VLOOKUP(B482,Table3[[#Headers],[#Data]],3,FALSE)</f>
        <v>Beauty</v>
      </c>
      <c r="B482" t="s">
        <v>614</v>
      </c>
      <c r="C482">
        <f>VLOOKUP(B482,Table3[[#Headers],[#Data]],4, FALSE)</f>
        <v>32.26</v>
      </c>
      <c r="D482" t="str">
        <f>VLOOKUP('Rough data'!B482,Table3[[#Headers],[#Data]],2,FALSE)</f>
        <v>Vitamin C Serum 50ml</v>
      </c>
      <c r="E482" t="str">
        <f>VLOOKUP(B482,Table3[[#Headers],[#Data]],5,FALSE)</f>
        <v>SELL0084</v>
      </c>
      <c r="F482" t="str">
        <f>VLOOKUP(E482,Table2[[#Headers],[#Data],[seller_id]:[seller_user]],2,FALSE)</f>
        <v>lfmk805jw2</v>
      </c>
      <c r="G482">
        <v>1</v>
      </c>
      <c r="H482">
        <f t="shared" si="7"/>
        <v>32.26</v>
      </c>
    </row>
    <row r="483" spans="1:8" x14ac:dyDescent="0.3">
      <c r="A483" t="str">
        <f>VLOOKUP(B483,Table3[[#Headers],[#Data]],3,FALSE)</f>
        <v>Beauty</v>
      </c>
      <c r="B483" t="s">
        <v>614</v>
      </c>
      <c r="C483">
        <f>VLOOKUP(B483,Table3[[#Headers],[#Data]],4, FALSE)</f>
        <v>32.26</v>
      </c>
      <c r="D483" t="str">
        <f>VLOOKUP('Rough data'!B483,Table3[[#Headers],[#Data]],2,FALSE)</f>
        <v>Vitamin C Serum 50ml</v>
      </c>
      <c r="E483" t="str">
        <f>VLOOKUP(B483,Table3[[#Headers],[#Data]],5,FALSE)</f>
        <v>SELL0084</v>
      </c>
      <c r="F483" t="str">
        <f>VLOOKUP(E483,Table2[[#Headers],[#Data],[seller_id]:[seller_user]],2,FALSE)</f>
        <v>lfmk805jw2</v>
      </c>
      <c r="G483">
        <v>2</v>
      </c>
      <c r="H483">
        <f t="shared" si="7"/>
        <v>64.52</v>
      </c>
    </row>
    <row r="484" spans="1:8" x14ac:dyDescent="0.3">
      <c r="A484" t="str">
        <f>VLOOKUP(B484,Table3[[#Headers],[#Data]],3,FALSE)</f>
        <v>Beauty</v>
      </c>
      <c r="B484" t="s">
        <v>614</v>
      </c>
      <c r="C484">
        <f>VLOOKUP(B484,Table3[[#Headers],[#Data]],4, FALSE)</f>
        <v>32.26</v>
      </c>
      <c r="D484" t="str">
        <f>VLOOKUP('Rough data'!B484,Table3[[#Headers],[#Data]],2,FALSE)</f>
        <v>Vitamin C Serum 50ml</v>
      </c>
      <c r="E484" t="str">
        <f>VLOOKUP(B484,Table3[[#Headers],[#Data]],5,FALSE)</f>
        <v>SELL0084</v>
      </c>
      <c r="F484" t="str">
        <f>VLOOKUP(E484,Table2[[#Headers],[#Data],[seller_id]:[seller_user]],2,FALSE)</f>
        <v>lfmk805jw2</v>
      </c>
      <c r="G484">
        <v>1</v>
      </c>
      <c r="H484">
        <f t="shared" si="7"/>
        <v>32.26</v>
      </c>
    </row>
    <row r="485" spans="1:8" x14ac:dyDescent="0.3">
      <c r="A485" t="str">
        <f>VLOOKUP(B485,Table3[[#Headers],[#Data]],3,FALSE)</f>
        <v>Beauty</v>
      </c>
      <c r="B485" t="s">
        <v>616</v>
      </c>
      <c r="C485">
        <f>VLOOKUP(B485,Table3[[#Headers],[#Data]],4, FALSE)</f>
        <v>22.24</v>
      </c>
      <c r="D485" t="str">
        <f>VLOOKUP('Rough data'!B485,Table3[[#Headers],[#Data]],2,FALSE)</f>
        <v>Vitamin C Serum 30ml</v>
      </c>
      <c r="E485" t="str">
        <f>VLOOKUP(B485,Table3[[#Headers],[#Data]],5,FALSE)</f>
        <v>SELL0084</v>
      </c>
      <c r="F485" t="str">
        <f>VLOOKUP(E485,Table2[[#Headers],[#Data],[seller_id]:[seller_user]],2,FALSE)</f>
        <v>lfmk805jw2</v>
      </c>
      <c r="G485">
        <v>2</v>
      </c>
      <c r="H485">
        <f t="shared" si="7"/>
        <v>44.48</v>
      </c>
    </row>
    <row r="486" spans="1:8" x14ac:dyDescent="0.3">
      <c r="A486" t="str">
        <f>VLOOKUP(B486,Table3[[#Headers],[#Data]],3,FALSE)</f>
        <v>Beauty</v>
      </c>
      <c r="B486" t="s">
        <v>616</v>
      </c>
      <c r="C486">
        <f>VLOOKUP(B486,Table3[[#Headers],[#Data]],4, FALSE)</f>
        <v>22.24</v>
      </c>
      <c r="D486" t="str">
        <f>VLOOKUP('Rough data'!B486,Table3[[#Headers],[#Data]],2,FALSE)</f>
        <v>Vitamin C Serum 30ml</v>
      </c>
      <c r="E486" t="str">
        <f>VLOOKUP(B486,Table3[[#Headers],[#Data]],5,FALSE)</f>
        <v>SELL0084</v>
      </c>
      <c r="F486" t="str">
        <f>VLOOKUP(E486,Table2[[#Headers],[#Data],[seller_id]:[seller_user]],2,FALSE)</f>
        <v>lfmk805jw2</v>
      </c>
      <c r="G486">
        <v>1</v>
      </c>
      <c r="H486">
        <f t="shared" si="7"/>
        <v>22.24</v>
      </c>
    </row>
    <row r="487" spans="1:8" x14ac:dyDescent="0.3">
      <c r="A487" t="str">
        <f>VLOOKUP(B487,Table3[[#Headers],[#Data]],3,FALSE)</f>
        <v>Beauty</v>
      </c>
      <c r="B487" t="s">
        <v>621</v>
      </c>
      <c r="C487">
        <f>VLOOKUP(B487,Table3[[#Headers],[#Data]],4, FALSE)</f>
        <v>16.11</v>
      </c>
      <c r="D487" t="str">
        <f>VLOOKUP('Rough data'!B487,Table3[[#Headers],[#Data]],2,FALSE)</f>
        <v>Vitamin C Serum 200ml</v>
      </c>
      <c r="E487" t="str">
        <f>VLOOKUP(B487,Table3[[#Headers],[#Data]],5,FALSE)</f>
        <v>SELL0085</v>
      </c>
      <c r="F487" t="str">
        <f>VLOOKUP(E487,Table2[[#Headers],[#Data],[seller_id]:[seller_user]],2,FALSE)</f>
        <v>3n2ybcn0e4</v>
      </c>
      <c r="G487">
        <v>1</v>
      </c>
      <c r="H487">
        <f t="shared" si="7"/>
        <v>16.11</v>
      </c>
    </row>
    <row r="488" spans="1:8" x14ac:dyDescent="0.3">
      <c r="A488" t="str">
        <f>VLOOKUP(B488,Table3[[#Headers],[#Data]],3,FALSE)</f>
        <v>Beauty</v>
      </c>
      <c r="B488" t="s">
        <v>624</v>
      </c>
      <c r="C488">
        <f>VLOOKUP(B488,Table3[[#Headers],[#Data]],4, FALSE)</f>
        <v>26.2</v>
      </c>
      <c r="D488" t="str">
        <f>VLOOKUP('Rough data'!B488,Table3[[#Headers],[#Data]],2,FALSE)</f>
        <v>Vitamin C Serum 50ml</v>
      </c>
      <c r="E488" t="str">
        <f>VLOOKUP(B488,Table3[[#Headers],[#Data]],5,FALSE)</f>
        <v>SELL0001</v>
      </c>
      <c r="F488" t="str">
        <f>VLOOKUP(E488,Table2[[#Headers],[#Data],[seller_id]:[seller_user]],2,FALSE)</f>
        <v>beauty4everyone</v>
      </c>
      <c r="G488">
        <v>1</v>
      </c>
      <c r="H488">
        <f t="shared" si="7"/>
        <v>26.2</v>
      </c>
    </row>
    <row r="489" spans="1:8" x14ac:dyDescent="0.3">
      <c r="A489" t="str">
        <f>VLOOKUP(B489,Table3[[#Headers],[#Data]],3,FALSE)</f>
        <v>Beauty</v>
      </c>
      <c r="B489" t="s">
        <v>624</v>
      </c>
      <c r="C489">
        <f>VLOOKUP(B489,Table3[[#Headers],[#Data]],4, FALSE)</f>
        <v>26.2</v>
      </c>
      <c r="D489" t="str">
        <f>VLOOKUP('Rough data'!B489,Table3[[#Headers],[#Data]],2,FALSE)</f>
        <v>Vitamin C Serum 50ml</v>
      </c>
      <c r="E489" t="str">
        <f>VLOOKUP(B489,Table3[[#Headers],[#Data]],5,FALSE)</f>
        <v>SELL0001</v>
      </c>
      <c r="F489" t="str">
        <f>VLOOKUP(E489,Table2[[#Headers],[#Data],[seller_id]:[seller_user]],2,FALSE)</f>
        <v>beauty4everyone</v>
      </c>
      <c r="G489">
        <v>2</v>
      </c>
      <c r="H489">
        <f t="shared" si="7"/>
        <v>52.4</v>
      </c>
    </row>
    <row r="490" spans="1:8" x14ac:dyDescent="0.3">
      <c r="A490" t="str">
        <f>VLOOKUP(B490,Table3[[#Headers],[#Data]],3,FALSE)</f>
        <v>Beauty</v>
      </c>
      <c r="B490" t="s">
        <v>628</v>
      </c>
      <c r="C490">
        <f>VLOOKUP(B490,Table3[[#Headers],[#Data]],4, FALSE)</f>
        <v>19.37</v>
      </c>
      <c r="D490" t="str">
        <f>VLOOKUP('Rough data'!B490,Table3[[#Headers],[#Data]],2,FALSE)</f>
        <v>Aloe Vera Gel 200ml 2 pack</v>
      </c>
      <c r="E490" t="str">
        <f>VLOOKUP(B490,Table3[[#Headers],[#Data]],5,FALSE)</f>
        <v>SELL0086</v>
      </c>
      <c r="F490" t="str">
        <f>VLOOKUP(E490,Table2[[#Headers],[#Data],[seller_id]:[seller_user]],2,FALSE)</f>
        <v>clothesforlife</v>
      </c>
      <c r="G490">
        <v>2</v>
      </c>
      <c r="H490">
        <f t="shared" si="7"/>
        <v>38.74</v>
      </c>
    </row>
    <row r="491" spans="1:8" x14ac:dyDescent="0.3">
      <c r="A491" t="str">
        <f>VLOOKUP(B491,Table3[[#Headers],[#Data]],3,FALSE)</f>
        <v>Beauty</v>
      </c>
      <c r="B491" t="s">
        <v>630</v>
      </c>
      <c r="C491">
        <f>VLOOKUP(B491,Table3[[#Headers],[#Data]],4, FALSE)</f>
        <v>13.25</v>
      </c>
      <c r="D491" t="str">
        <f>VLOOKUP('Rough data'!B491,Table3[[#Headers],[#Data]],2,FALSE)</f>
        <v>Aloe Vera Gel 150ml 2 pack</v>
      </c>
      <c r="E491" t="str">
        <f>VLOOKUP(B491,Table3[[#Headers],[#Data]],5,FALSE)</f>
        <v>SELL0086</v>
      </c>
      <c r="F491" t="str">
        <f>VLOOKUP(E491,Table2[[#Headers],[#Data],[seller_id]:[seller_user]],2,FALSE)</f>
        <v>clothesforlife</v>
      </c>
      <c r="G491">
        <v>2</v>
      </c>
      <c r="H491">
        <f t="shared" si="7"/>
        <v>26.5</v>
      </c>
    </row>
    <row r="492" spans="1:8" x14ac:dyDescent="0.3">
      <c r="A492" t="str">
        <f>VLOOKUP(B492,Table3[[#Headers],[#Data]],3,FALSE)</f>
        <v>Beauty</v>
      </c>
      <c r="B492" t="s">
        <v>630</v>
      </c>
      <c r="C492">
        <f>VLOOKUP(B492,Table3[[#Headers],[#Data]],4, FALSE)</f>
        <v>13.25</v>
      </c>
      <c r="D492" t="str">
        <f>VLOOKUP('Rough data'!B492,Table3[[#Headers],[#Data]],2,FALSE)</f>
        <v>Aloe Vera Gel 150ml 2 pack</v>
      </c>
      <c r="E492" t="str">
        <f>VLOOKUP(B492,Table3[[#Headers],[#Data]],5,FALSE)</f>
        <v>SELL0086</v>
      </c>
      <c r="F492" t="str">
        <f>VLOOKUP(E492,Table2[[#Headers],[#Data],[seller_id]:[seller_user]],2,FALSE)</f>
        <v>clothesforlife</v>
      </c>
      <c r="G492">
        <v>1</v>
      </c>
      <c r="H492">
        <f t="shared" si="7"/>
        <v>13.25</v>
      </c>
    </row>
    <row r="493" spans="1:8" x14ac:dyDescent="0.3">
      <c r="A493" t="str">
        <f>VLOOKUP(B493,Table3[[#Headers],[#Data]],3,FALSE)</f>
        <v>Beauty</v>
      </c>
      <c r="B493" t="s">
        <v>630</v>
      </c>
      <c r="C493">
        <f>VLOOKUP(B493,Table3[[#Headers],[#Data]],4, FALSE)</f>
        <v>13.25</v>
      </c>
      <c r="D493" t="str">
        <f>VLOOKUP('Rough data'!B493,Table3[[#Headers],[#Data]],2,FALSE)</f>
        <v>Aloe Vera Gel 150ml 2 pack</v>
      </c>
      <c r="E493" t="str">
        <f>VLOOKUP(B493,Table3[[#Headers],[#Data]],5,FALSE)</f>
        <v>SELL0086</v>
      </c>
      <c r="F493" t="str">
        <f>VLOOKUP(E493,Table2[[#Headers],[#Data],[seller_id]:[seller_user]],2,FALSE)</f>
        <v>clothesforlife</v>
      </c>
      <c r="G493">
        <v>1</v>
      </c>
      <c r="H493">
        <f t="shared" si="7"/>
        <v>13.25</v>
      </c>
    </row>
    <row r="494" spans="1:8" x14ac:dyDescent="0.3">
      <c r="A494" t="str">
        <f>VLOOKUP(B494,Table3[[#Headers],[#Data]],3,FALSE)</f>
        <v>Clothes</v>
      </c>
      <c r="B494" t="s">
        <v>634</v>
      </c>
      <c r="C494">
        <f>VLOOKUP(B494,Table3[[#Headers],[#Data]],4, FALSE)</f>
        <v>36.49</v>
      </c>
      <c r="D494" t="str">
        <f>VLOOKUP('Rough data'!B494,Table3[[#Headers],[#Data]],2,FALSE)</f>
        <v>Cotton T‑Shirt Green S</v>
      </c>
      <c r="E494" t="str">
        <f>VLOOKUP(B494,Table3[[#Headers],[#Data]],5,FALSE)</f>
        <v>SELL0086</v>
      </c>
      <c r="F494" t="str">
        <f>VLOOKUP(E494,Table2[[#Headers],[#Data],[seller_id]:[seller_user]],2,FALSE)</f>
        <v>clothesforlife</v>
      </c>
      <c r="G494">
        <v>1</v>
      </c>
      <c r="H494">
        <f t="shared" si="7"/>
        <v>36.49</v>
      </c>
    </row>
    <row r="495" spans="1:8" x14ac:dyDescent="0.3">
      <c r="A495" t="str">
        <f>VLOOKUP(B495,Table3[[#Headers],[#Data]],3,FALSE)</f>
        <v>Clothes</v>
      </c>
      <c r="B495" t="s">
        <v>636</v>
      </c>
      <c r="C495">
        <f>VLOOKUP(B495,Table3[[#Headers],[#Data]],4, FALSE)</f>
        <v>27.32</v>
      </c>
      <c r="D495" t="str">
        <f>VLOOKUP('Rough data'!B495,Table3[[#Headers],[#Data]],2,FALSE)</f>
        <v>Denim S Child</v>
      </c>
      <c r="E495" t="str">
        <f>VLOOKUP(B495,Table3[[#Headers],[#Data]],5,FALSE)</f>
        <v>SELL0086</v>
      </c>
      <c r="F495" t="str">
        <f>VLOOKUP(E495,Table2[[#Headers],[#Data],[seller_id]:[seller_user]],2,FALSE)</f>
        <v>clothesforlife</v>
      </c>
      <c r="G495">
        <v>1</v>
      </c>
      <c r="H495">
        <f t="shared" si="7"/>
        <v>27.32</v>
      </c>
    </row>
    <row r="496" spans="1:8" x14ac:dyDescent="0.3">
      <c r="A496" t="str">
        <f>VLOOKUP(B496,Table3[[#Headers],[#Data]],3,FALSE)</f>
        <v>Clothes</v>
      </c>
      <c r="B496" t="s">
        <v>636</v>
      </c>
      <c r="C496">
        <f>VLOOKUP(B496,Table3[[#Headers],[#Data]],4, FALSE)</f>
        <v>27.32</v>
      </c>
      <c r="D496" t="str">
        <f>VLOOKUP('Rough data'!B496,Table3[[#Headers],[#Data]],2,FALSE)</f>
        <v>Denim S Child</v>
      </c>
      <c r="E496" t="str">
        <f>VLOOKUP(B496,Table3[[#Headers],[#Data]],5,FALSE)</f>
        <v>SELL0086</v>
      </c>
      <c r="F496" t="str">
        <f>VLOOKUP(E496,Table2[[#Headers],[#Data],[seller_id]:[seller_user]],2,FALSE)</f>
        <v>clothesforlife</v>
      </c>
      <c r="G496">
        <v>1</v>
      </c>
      <c r="H496">
        <f t="shared" si="7"/>
        <v>27.32</v>
      </c>
    </row>
    <row r="497" spans="1:8" x14ac:dyDescent="0.3">
      <c r="A497" t="str">
        <f>VLOOKUP(B497,Table3[[#Headers],[#Data]],3,FALSE)</f>
        <v>Clothes</v>
      </c>
      <c r="B497" t="s">
        <v>638</v>
      </c>
      <c r="C497">
        <f>VLOOKUP(B497,Table3[[#Headers],[#Data]],4, FALSE)</f>
        <v>44.13</v>
      </c>
      <c r="D497" t="str">
        <f>VLOOKUP('Rough data'!B497,Table3[[#Headers],[#Data]],2,FALSE)</f>
        <v>Men’s Chino Shorts XL</v>
      </c>
      <c r="E497" t="str">
        <f>VLOOKUP(B497,Table3[[#Headers],[#Data]],5,FALSE)</f>
        <v>SELL0086</v>
      </c>
      <c r="F497" t="str">
        <f>VLOOKUP(E497,Table2[[#Headers],[#Data],[seller_id]:[seller_user]],2,FALSE)</f>
        <v>clothesforlife</v>
      </c>
      <c r="G497">
        <v>1</v>
      </c>
      <c r="H497">
        <f t="shared" si="7"/>
        <v>44.13</v>
      </c>
    </row>
    <row r="498" spans="1:8" x14ac:dyDescent="0.3">
      <c r="A498" t="str">
        <f>VLOOKUP(B498,Table3[[#Headers],[#Data]],3,FALSE)</f>
        <v>Clothes</v>
      </c>
      <c r="B498" t="s">
        <v>638</v>
      </c>
      <c r="C498">
        <f>VLOOKUP(B498,Table3[[#Headers],[#Data]],4, FALSE)</f>
        <v>44.13</v>
      </c>
      <c r="D498" t="str">
        <f>VLOOKUP('Rough data'!B498,Table3[[#Headers],[#Data]],2,FALSE)</f>
        <v>Men’s Chino Shorts XL</v>
      </c>
      <c r="E498" t="str">
        <f>VLOOKUP(B498,Table3[[#Headers],[#Data]],5,FALSE)</f>
        <v>SELL0086</v>
      </c>
      <c r="F498" t="str">
        <f>VLOOKUP(E498,Table2[[#Headers],[#Data],[seller_id]:[seller_user]],2,FALSE)</f>
        <v>clothesforlife</v>
      </c>
      <c r="G498">
        <v>1</v>
      </c>
      <c r="H498">
        <f t="shared" si="7"/>
        <v>44.13</v>
      </c>
    </row>
    <row r="499" spans="1:8" x14ac:dyDescent="0.3">
      <c r="A499" t="str">
        <f>VLOOKUP(B499,Table3[[#Headers],[#Data]],3,FALSE)</f>
        <v>Clothes</v>
      </c>
      <c r="B499" t="s">
        <v>638</v>
      </c>
      <c r="C499">
        <f>VLOOKUP(B499,Table3[[#Headers],[#Data]],4, FALSE)</f>
        <v>44.13</v>
      </c>
      <c r="D499" t="str">
        <f>VLOOKUP('Rough data'!B499,Table3[[#Headers],[#Data]],2,FALSE)</f>
        <v>Men’s Chino Shorts XL</v>
      </c>
      <c r="E499" t="str">
        <f>VLOOKUP(B499,Table3[[#Headers],[#Data]],5,FALSE)</f>
        <v>SELL0086</v>
      </c>
      <c r="F499" t="str">
        <f>VLOOKUP(E499,Table2[[#Headers],[#Data],[seller_id]:[seller_user]],2,FALSE)</f>
        <v>clothesforlife</v>
      </c>
      <c r="G499">
        <v>1</v>
      </c>
      <c r="H499">
        <f t="shared" si="7"/>
        <v>44.13</v>
      </c>
    </row>
    <row r="500" spans="1:8" x14ac:dyDescent="0.3">
      <c r="A500" t="str">
        <f>VLOOKUP(B500,Table3[[#Headers],[#Data]],3,FALSE)</f>
        <v>Clothes</v>
      </c>
      <c r="B500" t="s">
        <v>638</v>
      </c>
      <c r="C500">
        <f>VLOOKUP(B500,Table3[[#Headers],[#Data]],4, FALSE)</f>
        <v>44.13</v>
      </c>
      <c r="D500" t="str">
        <f>VLOOKUP('Rough data'!B500,Table3[[#Headers],[#Data]],2,FALSE)</f>
        <v>Men’s Chino Shorts XL</v>
      </c>
      <c r="E500" t="str">
        <f>VLOOKUP(B500,Table3[[#Headers],[#Data]],5,FALSE)</f>
        <v>SELL0086</v>
      </c>
      <c r="F500" t="str">
        <f>VLOOKUP(E500,Table2[[#Headers],[#Data],[seller_id]:[seller_user]],2,FALSE)</f>
        <v>clothesforlife</v>
      </c>
      <c r="G500">
        <v>2</v>
      </c>
      <c r="H500">
        <f t="shared" si="7"/>
        <v>88.26</v>
      </c>
    </row>
    <row r="501" spans="1:8" x14ac:dyDescent="0.3">
      <c r="A501" t="str">
        <f>VLOOKUP(B501,Table3[[#Headers],[#Data]],3,FALSE)</f>
        <v>Clothes</v>
      </c>
      <c r="B501" t="s">
        <v>640</v>
      </c>
      <c r="C501">
        <f>VLOOKUP(B501,Table3[[#Headers],[#Data]],4, FALSE)</f>
        <v>37.99</v>
      </c>
      <c r="D501" t="str">
        <f>VLOOKUP('Rough data'!B501,Table3[[#Headers],[#Data]],2,FALSE)</f>
        <v>Cotton T Black Small</v>
      </c>
      <c r="E501" t="str">
        <f>VLOOKUP(B501,Table3[[#Headers],[#Data]],5,FALSE)</f>
        <v>SELL0086</v>
      </c>
      <c r="F501" t="str">
        <f>VLOOKUP(E501,Table2[[#Headers],[#Data],[seller_id]:[seller_user]],2,FALSE)</f>
        <v>clothesforlife</v>
      </c>
      <c r="G501">
        <v>1</v>
      </c>
      <c r="H501">
        <f t="shared" si="7"/>
        <v>37.99</v>
      </c>
    </row>
    <row r="502" spans="1:8" x14ac:dyDescent="0.3">
      <c r="A502" t="str">
        <f>VLOOKUP(B502,Table3[[#Headers],[#Data]],3,FALSE)</f>
        <v>Clothes</v>
      </c>
      <c r="B502" t="s">
        <v>640</v>
      </c>
      <c r="C502">
        <f>VLOOKUP(B502,Table3[[#Headers],[#Data]],4, FALSE)</f>
        <v>37.99</v>
      </c>
      <c r="D502" t="str">
        <f>VLOOKUP('Rough data'!B502,Table3[[#Headers],[#Data]],2,FALSE)</f>
        <v>Cotton T Black Small</v>
      </c>
      <c r="E502" t="str">
        <f>VLOOKUP(B502,Table3[[#Headers],[#Data]],5,FALSE)</f>
        <v>SELL0086</v>
      </c>
      <c r="F502" t="str">
        <f>VLOOKUP(E502,Table2[[#Headers],[#Data],[seller_id]:[seller_user]],2,FALSE)</f>
        <v>clothesforlife</v>
      </c>
      <c r="G502">
        <v>2</v>
      </c>
      <c r="H502">
        <f t="shared" si="7"/>
        <v>75.98</v>
      </c>
    </row>
    <row r="503" spans="1:8" x14ac:dyDescent="0.3">
      <c r="A503" t="str">
        <f>VLOOKUP(B503,Table3[[#Headers],[#Data]],3,FALSE)</f>
        <v>Clothes</v>
      </c>
      <c r="B503" t="s">
        <v>640</v>
      </c>
      <c r="C503">
        <f>VLOOKUP(B503,Table3[[#Headers],[#Data]],4, FALSE)</f>
        <v>37.99</v>
      </c>
      <c r="D503" t="str">
        <f>VLOOKUP('Rough data'!B503,Table3[[#Headers],[#Data]],2,FALSE)</f>
        <v>Cotton T Black Small</v>
      </c>
      <c r="E503" t="str">
        <f>VLOOKUP(B503,Table3[[#Headers],[#Data]],5,FALSE)</f>
        <v>SELL0086</v>
      </c>
      <c r="F503" t="str">
        <f>VLOOKUP(E503,Table2[[#Headers],[#Data],[seller_id]:[seller_user]],2,FALSE)</f>
        <v>clothesforlife</v>
      </c>
      <c r="G503">
        <v>2</v>
      </c>
      <c r="H503">
        <f t="shared" si="7"/>
        <v>75.98</v>
      </c>
    </row>
    <row r="504" spans="1:8" x14ac:dyDescent="0.3">
      <c r="A504" t="str">
        <f>VLOOKUP(B504,Table3[[#Headers],[#Data]],3,FALSE)</f>
        <v>Clothes</v>
      </c>
      <c r="B504" t="s">
        <v>652</v>
      </c>
      <c r="C504">
        <f>VLOOKUP(B504,Table3[[#Headers],[#Data]],4, FALSE)</f>
        <v>32.76</v>
      </c>
      <c r="D504" t="str">
        <f>VLOOKUP('Rough data'!B504,Table3[[#Headers],[#Data]],2,FALSE)</f>
        <v>Kids Cotton Pyjamas 6-8y</v>
      </c>
      <c r="E504" t="str">
        <f>VLOOKUP(B504,Table3[[#Headers],[#Data]],5,FALSE)</f>
        <v>SELL0086</v>
      </c>
      <c r="F504" t="str">
        <f>VLOOKUP(E504,Table2[[#Headers],[#Data],[seller_id]:[seller_user]],2,FALSE)</f>
        <v>clothesforlife</v>
      </c>
      <c r="G504">
        <v>1</v>
      </c>
      <c r="H504">
        <f t="shared" si="7"/>
        <v>32.76</v>
      </c>
    </row>
    <row r="505" spans="1:8" x14ac:dyDescent="0.3">
      <c r="A505" t="str">
        <f>VLOOKUP(B505,Table3[[#Headers],[#Data]],3,FALSE)</f>
        <v>Clothes</v>
      </c>
      <c r="B505" t="s">
        <v>654</v>
      </c>
      <c r="C505">
        <f>VLOOKUP(B505,Table3[[#Headers],[#Data]],4, FALSE)</f>
        <v>33.89</v>
      </c>
      <c r="D505" t="str">
        <f>VLOOKUP('Rough data'!B505,Table3[[#Headers],[#Data]],2,FALSE)</f>
        <v>Kids Cotton Pyjamas 9-11y</v>
      </c>
      <c r="E505" t="str">
        <f>VLOOKUP(B505,Table3[[#Headers],[#Data]],5,FALSE)</f>
        <v>SELL0086</v>
      </c>
      <c r="F505" t="str">
        <f>VLOOKUP(E505,Table2[[#Headers],[#Data],[seller_id]:[seller_user]],2,FALSE)</f>
        <v>clothesforlife</v>
      </c>
      <c r="G505">
        <v>1</v>
      </c>
      <c r="H505">
        <f t="shared" si="7"/>
        <v>33.89</v>
      </c>
    </row>
    <row r="506" spans="1:8" x14ac:dyDescent="0.3">
      <c r="A506" t="str">
        <f>VLOOKUP(B506,Table3[[#Headers],[#Data]],3,FALSE)</f>
        <v>Clothes</v>
      </c>
      <c r="B506" t="s">
        <v>654</v>
      </c>
      <c r="C506">
        <f>VLOOKUP(B506,Table3[[#Headers],[#Data]],4, FALSE)</f>
        <v>33.89</v>
      </c>
      <c r="D506" t="str">
        <f>VLOOKUP('Rough data'!B506,Table3[[#Headers],[#Data]],2,FALSE)</f>
        <v>Kids Cotton Pyjamas 9-11y</v>
      </c>
      <c r="E506" t="str">
        <f>VLOOKUP(B506,Table3[[#Headers],[#Data]],5,FALSE)</f>
        <v>SELL0086</v>
      </c>
      <c r="F506" t="str">
        <f>VLOOKUP(E506,Table2[[#Headers],[#Data],[seller_id]:[seller_user]],2,FALSE)</f>
        <v>clothesforlife</v>
      </c>
      <c r="G506">
        <v>1</v>
      </c>
      <c r="H506">
        <f t="shared" si="7"/>
        <v>33.89</v>
      </c>
    </row>
    <row r="507" spans="1:8" x14ac:dyDescent="0.3">
      <c r="A507" t="str">
        <f>VLOOKUP(B507,Table3[[#Headers],[#Data]],3,FALSE)</f>
        <v>Clothes</v>
      </c>
      <c r="B507" t="s">
        <v>658</v>
      </c>
      <c r="C507">
        <f>VLOOKUP(B507,Table3[[#Headers],[#Data]],4, FALSE)</f>
        <v>54.51</v>
      </c>
      <c r="D507" t="str">
        <f>VLOOKUP('Rough data'!B507,Table3[[#Headers],[#Data]],2,FALSE)</f>
        <v>Women’s Active Leggings (Yellow)</v>
      </c>
      <c r="E507" t="str">
        <f>VLOOKUP(B507,Table3[[#Headers],[#Data]],5,FALSE)</f>
        <v>SELL0086</v>
      </c>
      <c r="F507" t="str">
        <f>VLOOKUP(E507,Table2[[#Headers],[#Data],[seller_id]:[seller_user]],2,FALSE)</f>
        <v>clothesforlife</v>
      </c>
      <c r="G507">
        <v>2</v>
      </c>
      <c r="H507">
        <f t="shared" si="7"/>
        <v>109.02</v>
      </c>
    </row>
    <row r="508" spans="1:8" x14ac:dyDescent="0.3">
      <c r="A508" t="str">
        <f>VLOOKUP(B508,Table3[[#Headers],[#Data]],3,FALSE)</f>
        <v>Clothes</v>
      </c>
      <c r="B508" t="s">
        <v>658</v>
      </c>
      <c r="C508">
        <f>VLOOKUP(B508,Table3[[#Headers],[#Data]],4, FALSE)</f>
        <v>54.51</v>
      </c>
      <c r="D508" t="str">
        <f>VLOOKUP('Rough data'!B508,Table3[[#Headers],[#Data]],2,FALSE)</f>
        <v>Women’s Active Leggings (Yellow)</v>
      </c>
      <c r="E508" t="str">
        <f>VLOOKUP(B508,Table3[[#Headers],[#Data]],5,FALSE)</f>
        <v>SELL0086</v>
      </c>
      <c r="F508" t="str">
        <f>VLOOKUP(E508,Table2[[#Headers],[#Data],[seller_id]:[seller_user]],2,FALSE)</f>
        <v>clothesforlife</v>
      </c>
      <c r="G508">
        <v>2</v>
      </c>
      <c r="H508">
        <f t="shared" si="7"/>
        <v>109.02</v>
      </c>
    </row>
    <row r="509" spans="1:8" x14ac:dyDescent="0.3">
      <c r="A509" t="str">
        <f>VLOOKUP(B509,Table3[[#Headers],[#Data]],3,FALSE)</f>
        <v>Clothes</v>
      </c>
      <c r="B509" t="s">
        <v>658</v>
      </c>
      <c r="C509">
        <f>VLOOKUP(B509,Table3[[#Headers],[#Data]],4, FALSE)</f>
        <v>54.51</v>
      </c>
      <c r="D509" t="str">
        <f>VLOOKUP('Rough data'!B509,Table3[[#Headers],[#Data]],2,FALSE)</f>
        <v>Women’s Active Leggings (Yellow)</v>
      </c>
      <c r="E509" t="str">
        <f>VLOOKUP(B509,Table3[[#Headers],[#Data]],5,FALSE)</f>
        <v>SELL0086</v>
      </c>
      <c r="F509" t="str">
        <f>VLOOKUP(E509,Table2[[#Headers],[#Data],[seller_id]:[seller_user]],2,FALSE)</f>
        <v>clothesforlife</v>
      </c>
      <c r="G509">
        <v>1</v>
      </c>
      <c r="H509">
        <f t="shared" si="7"/>
        <v>54.51</v>
      </c>
    </row>
    <row r="510" spans="1:8" x14ac:dyDescent="0.3">
      <c r="A510" t="str">
        <f>VLOOKUP(B510,Table3[[#Headers],[#Data]],3,FALSE)</f>
        <v>Clothes</v>
      </c>
      <c r="B510" t="s">
        <v>658</v>
      </c>
      <c r="C510">
        <f>VLOOKUP(B510,Table3[[#Headers],[#Data]],4, FALSE)</f>
        <v>54.51</v>
      </c>
      <c r="D510" t="str">
        <f>VLOOKUP('Rough data'!B510,Table3[[#Headers],[#Data]],2,FALSE)</f>
        <v>Women’s Active Leggings (Yellow)</v>
      </c>
      <c r="E510" t="str">
        <f>VLOOKUP(B510,Table3[[#Headers],[#Data]],5,FALSE)</f>
        <v>SELL0086</v>
      </c>
      <c r="F510" t="str">
        <f>VLOOKUP(E510,Table2[[#Headers],[#Data],[seller_id]:[seller_user]],2,FALSE)</f>
        <v>clothesforlife</v>
      </c>
      <c r="G510">
        <v>2</v>
      </c>
      <c r="H510">
        <f t="shared" si="7"/>
        <v>109.02</v>
      </c>
    </row>
    <row r="511" spans="1:8" x14ac:dyDescent="0.3">
      <c r="A511" t="str">
        <f>VLOOKUP(B511,Table3[[#Headers],[#Data]],3,FALSE)</f>
        <v>Clothes</v>
      </c>
      <c r="B511" t="s">
        <v>666</v>
      </c>
      <c r="C511">
        <f>VLOOKUP(B511,Table3[[#Headers],[#Data]],4, FALSE)</f>
        <v>53.17</v>
      </c>
      <c r="D511" t="str">
        <f>VLOOKUP('Rough data'!B511,Table3[[#Headers],[#Data]],2,FALSE)</f>
        <v>Unisex Hoodie - Yellow L</v>
      </c>
      <c r="E511" t="str">
        <f>VLOOKUP(B511,Table3[[#Headers],[#Data]],5,FALSE)</f>
        <v>SELL0039</v>
      </c>
      <c r="F511" t="str">
        <f>VLOOKUP(E511,Table2[[#Headers],[#Data],[seller_id]:[seller_user]],2,FALSE)</f>
        <v>zmkizlf6t6</v>
      </c>
      <c r="G511">
        <v>2</v>
      </c>
      <c r="H511">
        <f t="shared" si="7"/>
        <v>106.34</v>
      </c>
    </row>
    <row r="512" spans="1:8" x14ac:dyDescent="0.3">
      <c r="A512" t="str">
        <f>VLOOKUP(B512,Table3[[#Headers],[#Data]],3,FALSE)</f>
        <v>Electronics</v>
      </c>
      <c r="B512" t="s">
        <v>671</v>
      </c>
      <c r="C512">
        <f>VLOOKUP(B512,Table3[[#Headers],[#Data]],4, FALSE)</f>
        <v>47.75</v>
      </c>
      <c r="D512" t="str">
        <f>VLOOKUP('Rough data'!B512,Table3[[#Headers],[#Data]],2,FALSE)</f>
        <v>Portable Power Bank 20000mAh</v>
      </c>
      <c r="E512" t="str">
        <f>VLOOKUP(B512,Table3[[#Headers],[#Data]],5,FALSE)</f>
        <v>SELL0024</v>
      </c>
      <c r="F512" t="str">
        <f>VLOOKUP(E512,Table2[[#Headers],[#Data],[seller_id]:[seller_user]],2,FALSE)</f>
        <v>ELEC25B</v>
      </c>
      <c r="G512">
        <v>1</v>
      </c>
      <c r="H512">
        <f t="shared" si="7"/>
        <v>47.75</v>
      </c>
    </row>
    <row r="513" spans="1:8" x14ac:dyDescent="0.3">
      <c r="A513" t="str">
        <f>VLOOKUP(B513,Table3[[#Headers],[#Data]],3,FALSE)</f>
        <v>Electronics</v>
      </c>
      <c r="B513" t="s">
        <v>675</v>
      </c>
      <c r="C513">
        <f>VLOOKUP(B513,Table3[[#Headers],[#Data]],4, FALSE)</f>
        <v>110.9</v>
      </c>
      <c r="D513" t="str">
        <f>VLOOKUP('Rough data'!B513,Table3[[#Headers],[#Data]],2,FALSE)</f>
        <v>Wireless Bluetooht Earphones</v>
      </c>
      <c r="E513" t="str">
        <f>VLOOKUP(B513,Table3[[#Headers],[#Data]],5,FALSE)</f>
        <v>SELL0087</v>
      </c>
      <c r="F513" t="str">
        <f>VLOOKUP(E513,Table2[[#Headers],[#Data],[seller_id]:[seller_user]],2,FALSE)</f>
        <v>electrowave</v>
      </c>
      <c r="G513">
        <v>2</v>
      </c>
      <c r="H513">
        <f t="shared" si="7"/>
        <v>221.8</v>
      </c>
    </row>
    <row r="514" spans="1:8" x14ac:dyDescent="0.3">
      <c r="A514" t="str">
        <f>VLOOKUP(B514,Table3[[#Headers],[#Data]],3,FALSE)</f>
        <v>Electronics</v>
      </c>
      <c r="B514" t="s">
        <v>679</v>
      </c>
      <c r="C514">
        <f>VLOOKUP(B514,Table3[[#Headers],[#Data]],4, FALSE)</f>
        <v>49.85</v>
      </c>
      <c r="D514" t="str">
        <f>VLOOKUP('Rough data'!B514,Table3[[#Headers],[#Data]],2,FALSE)</f>
        <v>HD Webcam 1080p USB Desktop</v>
      </c>
      <c r="E514" t="str">
        <f>VLOOKUP(B514,Table3[[#Headers],[#Data]],5,FALSE)</f>
        <v>SELL0024</v>
      </c>
      <c r="F514" t="str">
        <f>VLOOKUP(E514,Table2[[#Headers],[#Data],[seller_id]:[seller_user]],2,FALSE)</f>
        <v>ELEC25B</v>
      </c>
      <c r="G514">
        <v>1</v>
      </c>
      <c r="H514">
        <f t="shared" ref="H514:H577" si="8">G514*C514</f>
        <v>49.85</v>
      </c>
    </row>
    <row r="515" spans="1:8" x14ac:dyDescent="0.3">
      <c r="A515" t="str">
        <f>VLOOKUP(B515,Table3[[#Headers],[#Data]],3,FALSE)</f>
        <v>Electronics</v>
      </c>
      <c r="B515" t="s">
        <v>679</v>
      </c>
      <c r="C515">
        <f>VLOOKUP(B515,Table3[[#Headers],[#Data]],4, FALSE)</f>
        <v>49.85</v>
      </c>
      <c r="D515" t="str">
        <f>VLOOKUP('Rough data'!B515,Table3[[#Headers],[#Data]],2,FALSE)</f>
        <v>HD Webcam 1080p USB Desktop</v>
      </c>
      <c r="E515" t="str">
        <f>VLOOKUP(B515,Table3[[#Headers],[#Data]],5,FALSE)</f>
        <v>SELL0024</v>
      </c>
      <c r="F515" t="str">
        <f>VLOOKUP(E515,Table2[[#Headers],[#Data],[seller_id]:[seller_user]],2,FALSE)</f>
        <v>ELEC25B</v>
      </c>
      <c r="G515">
        <v>2</v>
      </c>
      <c r="H515">
        <f t="shared" si="8"/>
        <v>99.7</v>
      </c>
    </row>
    <row r="516" spans="1:8" x14ac:dyDescent="0.3">
      <c r="A516" t="str">
        <f>VLOOKUP(B516,Table3[[#Headers],[#Data]],3,FALSE)</f>
        <v>Electronics</v>
      </c>
      <c r="B516" t="s">
        <v>681</v>
      </c>
      <c r="C516">
        <f>VLOOKUP(B516,Table3[[#Headers],[#Data]],4, FALSE)</f>
        <v>97.88</v>
      </c>
      <c r="D516" t="str">
        <f>VLOOKUP('Rough data'!B516,Table3[[#Headers],[#Data]],2,FALSE)</f>
        <v>HD Webcam 1080p USB Desktop</v>
      </c>
      <c r="E516" t="str">
        <f>VLOOKUP(B516,Table3[[#Headers],[#Data]],5,FALSE)</f>
        <v>SELL0024</v>
      </c>
      <c r="F516" t="str">
        <f>VLOOKUP(E516,Table2[[#Headers],[#Data],[seller_id]:[seller_user]],2,FALSE)</f>
        <v>ELEC25B</v>
      </c>
      <c r="G516">
        <v>1</v>
      </c>
      <c r="H516">
        <f t="shared" si="8"/>
        <v>97.88</v>
      </c>
    </row>
    <row r="517" spans="1:8" x14ac:dyDescent="0.3">
      <c r="A517" t="str">
        <f>VLOOKUP(B517,Table3[[#Headers],[#Data]],3,FALSE)</f>
        <v>Electronics</v>
      </c>
      <c r="B517" t="s">
        <v>681</v>
      </c>
      <c r="C517">
        <f>VLOOKUP(B517,Table3[[#Headers],[#Data]],4, FALSE)</f>
        <v>97.88</v>
      </c>
      <c r="D517" t="str">
        <f>VLOOKUP('Rough data'!B517,Table3[[#Headers],[#Data]],2,FALSE)</f>
        <v>HD Webcam 1080p USB Desktop</v>
      </c>
      <c r="E517" t="str">
        <f>VLOOKUP(B517,Table3[[#Headers],[#Data]],5,FALSE)</f>
        <v>SELL0024</v>
      </c>
      <c r="F517" t="str">
        <f>VLOOKUP(E517,Table2[[#Headers],[#Data],[seller_id]:[seller_user]],2,FALSE)</f>
        <v>ELEC25B</v>
      </c>
      <c r="G517">
        <v>1</v>
      </c>
      <c r="H517">
        <f t="shared" si="8"/>
        <v>97.88</v>
      </c>
    </row>
    <row r="518" spans="1:8" x14ac:dyDescent="0.3">
      <c r="A518" t="str">
        <f>VLOOKUP(B518,Table3[[#Headers],[#Data]],3,FALSE)</f>
        <v>Electronics</v>
      </c>
      <c r="B518" t="s">
        <v>681</v>
      </c>
      <c r="C518">
        <f>VLOOKUP(B518,Table3[[#Headers],[#Data]],4, FALSE)</f>
        <v>97.88</v>
      </c>
      <c r="D518" t="str">
        <f>VLOOKUP('Rough data'!B518,Table3[[#Headers],[#Data]],2,FALSE)</f>
        <v>HD Webcam 1080p USB Desktop</v>
      </c>
      <c r="E518" t="str">
        <f>VLOOKUP(B518,Table3[[#Headers],[#Data]],5,FALSE)</f>
        <v>SELL0024</v>
      </c>
      <c r="F518" t="str">
        <f>VLOOKUP(E518,Table2[[#Headers],[#Data],[seller_id]:[seller_user]],2,FALSE)</f>
        <v>ELEC25B</v>
      </c>
      <c r="G518">
        <v>1</v>
      </c>
      <c r="H518">
        <f t="shared" si="8"/>
        <v>97.88</v>
      </c>
    </row>
    <row r="519" spans="1:8" x14ac:dyDescent="0.3">
      <c r="A519" t="str">
        <f>VLOOKUP(B519,Table3[[#Headers],[#Data]],3,FALSE)</f>
        <v>Electronics</v>
      </c>
      <c r="B519" t="s">
        <v>682</v>
      </c>
      <c r="C519">
        <f>VLOOKUP(B519,Table3[[#Headers],[#Data]],4, FALSE)</f>
        <v>63.55</v>
      </c>
      <c r="D519" t="str">
        <f>VLOOKUP('Rough data'!B519,Table3[[#Headers],[#Data]],2,FALSE)</f>
        <v>Smart Home Hub (Navy) 2023</v>
      </c>
      <c r="E519" t="str">
        <f>VLOOKUP(B519,Table3[[#Headers],[#Data]],5,FALSE)</f>
        <v>SELL0024</v>
      </c>
      <c r="F519" t="str">
        <f>VLOOKUP(E519,Table2[[#Headers],[#Data],[seller_id]:[seller_user]],2,FALSE)</f>
        <v>ELEC25B</v>
      </c>
      <c r="G519">
        <v>1</v>
      </c>
      <c r="H519">
        <f t="shared" si="8"/>
        <v>63.55</v>
      </c>
    </row>
    <row r="520" spans="1:8" x14ac:dyDescent="0.3">
      <c r="A520" t="str">
        <f>VLOOKUP(B520,Table3[[#Headers],[#Data]],3,FALSE)</f>
        <v>Electronics</v>
      </c>
      <c r="B520" t="s">
        <v>682</v>
      </c>
      <c r="C520">
        <f>VLOOKUP(B520,Table3[[#Headers],[#Data]],4, FALSE)</f>
        <v>63.55</v>
      </c>
      <c r="D520" t="str">
        <f>VLOOKUP('Rough data'!B520,Table3[[#Headers],[#Data]],2,FALSE)</f>
        <v>Smart Home Hub (Navy) 2023</v>
      </c>
      <c r="E520" t="str">
        <f>VLOOKUP(B520,Table3[[#Headers],[#Data]],5,FALSE)</f>
        <v>SELL0024</v>
      </c>
      <c r="F520" t="str">
        <f>VLOOKUP(E520,Table2[[#Headers],[#Data],[seller_id]:[seller_user]],2,FALSE)</f>
        <v>ELEC25B</v>
      </c>
      <c r="G520">
        <v>1</v>
      </c>
      <c r="H520">
        <f t="shared" si="8"/>
        <v>63.55</v>
      </c>
    </row>
    <row r="521" spans="1:8" x14ac:dyDescent="0.3">
      <c r="A521" t="str">
        <f>VLOOKUP(B521,Table3[[#Headers],[#Data]],3,FALSE)</f>
        <v>Clothes</v>
      </c>
      <c r="B521" t="s">
        <v>687</v>
      </c>
      <c r="C521">
        <f>VLOOKUP(B521,Table3[[#Headers],[#Data]],4, FALSE)</f>
        <v>53.17</v>
      </c>
      <c r="D521" t="str">
        <f>VLOOKUP('Rough data'!B521,Table3[[#Headers],[#Data]],2,FALSE)</f>
        <v>Unisex Hoodie - Grey L</v>
      </c>
      <c r="E521" t="str">
        <f>VLOOKUP(B521,Table3[[#Headers],[#Data]],5,FALSE)</f>
        <v>SELL0039</v>
      </c>
      <c r="F521" t="str">
        <f>VLOOKUP(E521,Table2[[#Headers],[#Data],[seller_id]:[seller_user]],2,FALSE)</f>
        <v>zmkizlf6t6</v>
      </c>
      <c r="G521">
        <v>1</v>
      </c>
      <c r="H521">
        <f t="shared" si="8"/>
        <v>53.17</v>
      </c>
    </row>
    <row r="522" spans="1:8" x14ac:dyDescent="0.3">
      <c r="A522" t="str">
        <f>VLOOKUP(B522,Table3[[#Headers],[#Data]],3,FALSE)</f>
        <v>Clothes</v>
      </c>
      <c r="B522" t="s">
        <v>688</v>
      </c>
      <c r="C522">
        <f>VLOOKUP(B522,Table3[[#Headers],[#Data]],4, FALSE)</f>
        <v>53.17</v>
      </c>
      <c r="D522" t="str">
        <f>VLOOKUP('Rough data'!B522,Table3[[#Headers],[#Data]],2,FALSE)</f>
        <v>Unisex Hoodie - Yellow L</v>
      </c>
      <c r="E522" t="str">
        <f>VLOOKUP(B522,Table3[[#Headers],[#Data]],5,FALSE)</f>
        <v>SELL0039</v>
      </c>
      <c r="F522" t="str">
        <f>VLOOKUP(E522,Table2[[#Headers],[#Data],[seller_id]:[seller_user]],2,FALSE)</f>
        <v>zmkizlf6t6</v>
      </c>
      <c r="G522">
        <v>1</v>
      </c>
      <c r="H522">
        <f t="shared" si="8"/>
        <v>53.17</v>
      </c>
    </row>
    <row r="523" spans="1:8" x14ac:dyDescent="0.3">
      <c r="A523" t="str">
        <f>VLOOKUP(B523,Table3[[#Headers],[#Data]],3,FALSE)</f>
        <v>Electronics</v>
      </c>
      <c r="B523" t="s">
        <v>689</v>
      </c>
      <c r="C523">
        <f>VLOOKUP(B523,Table3[[#Headers],[#Data]],4, FALSE)</f>
        <v>66.33</v>
      </c>
      <c r="D523" t="str">
        <f>VLOOKUP('Rough data'!B523,Table3[[#Headers],[#Data]],2,FALSE)</f>
        <v>Smart Home Hub (Green) 2023</v>
      </c>
      <c r="E523" t="str">
        <f>VLOOKUP(B523,Table3[[#Headers],[#Data]],5,FALSE)</f>
        <v>SELL0024</v>
      </c>
      <c r="F523" t="str">
        <f>VLOOKUP(E523,Table2[[#Headers],[#Data],[seller_id]:[seller_user]],2,FALSE)</f>
        <v>ELEC25B</v>
      </c>
      <c r="G523">
        <v>1</v>
      </c>
      <c r="H523">
        <f t="shared" si="8"/>
        <v>66.33</v>
      </c>
    </row>
    <row r="524" spans="1:8" x14ac:dyDescent="0.3">
      <c r="A524" t="str">
        <f>VLOOKUP(B524,Table3[[#Headers],[#Data]],3,FALSE)</f>
        <v>Electronics</v>
      </c>
      <c r="B524" t="s">
        <v>691</v>
      </c>
      <c r="C524">
        <f>VLOOKUP(B524,Table3[[#Headers],[#Data]],4, FALSE)</f>
        <v>115.55</v>
      </c>
      <c r="D524" t="str">
        <f>VLOOKUP('Rough data'!B524,Table3[[#Headers],[#Data]],2,FALSE)</f>
        <v>Smart LED Light Bulb</v>
      </c>
      <c r="E524" t="str">
        <f>VLOOKUP(B524,Table3[[#Headers],[#Data]],5,FALSE)</f>
        <v>SELL0087</v>
      </c>
      <c r="F524" t="str">
        <f>VLOOKUP(E524,Table2[[#Headers],[#Data],[seller_id]:[seller_user]],2,FALSE)</f>
        <v>electrowave</v>
      </c>
      <c r="G524">
        <v>1</v>
      </c>
      <c r="H524">
        <f t="shared" si="8"/>
        <v>115.55</v>
      </c>
    </row>
    <row r="525" spans="1:8" x14ac:dyDescent="0.3">
      <c r="A525" t="str">
        <f>VLOOKUP(B525,Table3[[#Headers],[#Data]],3,FALSE)</f>
        <v>Electronics</v>
      </c>
      <c r="B525" t="s">
        <v>691</v>
      </c>
      <c r="C525">
        <f>VLOOKUP(B525,Table3[[#Headers],[#Data]],4, FALSE)</f>
        <v>115.55</v>
      </c>
      <c r="D525" t="str">
        <f>VLOOKUP('Rough data'!B525,Table3[[#Headers],[#Data]],2,FALSE)</f>
        <v>Smart LED Light Bulb</v>
      </c>
      <c r="E525" t="str">
        <f>VLOOKUP(B525,Table3[[#Headers],[#Data]],5,FALSE)</f>
        <v>SELL0087</v>
      </c>
      <c r="F525" t="str">
        <f>VLOOKUP(E525,Table2[[#Headers],[#Data],[seller_id]:[seller_user]],2,FALSE)</f>
        <v>electrowave</v>
      </c>
      <c r="G525">
        <v>1</v>
      </c>
      <c r="H525">
        <f t="shared" si="8"/>
        <v>115.55</v>
      </c>
    </row>
    <row r="526" spans="1:8" x14ac:dyDescent="0.3">
      <c r="A526" t="str">
        <f>VLOOKUP(B526,Table3[[#Headers],[#Data]],3,FALSE)</f>
        <v>Electronics</v>
      </c>
      <c r="B526" t="s">
        <v>692</v>
      </c>
      <c r="C526">
        <f>VLOOKUP(B526,Table3[[#Headers],[#Data]],4, FALSE)</f>
        <v>29.36</v>
      </c>
      <c r="D526" t="str">
        <f>VLOOKUP('Rough data'!B526,Table3[[#Headers],[#Data]],2,FALSE)</f>
        <v>Smart Home Hub (Black) 2023</v>
      </c>
      <c r="E526" t="str">
        <f>VLOOKUP(B526,Table3[[#Headers],[#Data]],5,FALSE)</f>
        <v>SELL0024</v>
      </c>
      <c r="F526" t="str">
        <f>VLOOKUP(E526,Table2[[#Headers],[#Data],[seller_id]:[seller_user]],2,FALSE)</f>
        <v>ELEC25B</v>
      </c>
      <c r="G526">
        <v>1</v>
      </c>
      <c r="H526">
        <f t="shared" si="8"/>
        <v>29.36</v>
      </c>
    </row>
    <row r="527" spans="1:8" x14ac:dyDescent="0.3">
      <c r="A527" t="str">
        <f>VLOOKUP(B527,Table3[[#Headers],[#Data]],3,FALSE)</f>
        <v>Electronics</v>
      </c>
      <c r="B527" t="s">
        <v>692</v>
      </c>
      <c r="C527">
        <f>VLOOKUP(B527,Table3[[#Headers],[#Data]],4, FALSE)</f>
        <v>29.36</v>
      </c>
      <c r="D527" t="str">
        <f>VLOOKUP('Rough data'!B527,Table3[[#Headers],[#Data]],2,FALSE)</f>
        <v>Smart Home Hub (Black) 2023</v>
      </c>
      <c r="E527" t="str">
        <f>VLOOKUP(B527,Table3[[#Headers],[#Data]],5,FALSE)</f>
        <v>SELL0024</v>
      </c>
      <c r="F527" t="str">
        <f>VLOOKUP(E527,Table2[[#Headers],[#Data],[seller_id]:[seller_user]],2,FALSE)</f>
        <v>ELEC25B</v>
      </c>
      <c r="G527">
        <v>1</v>
      </c>
      <c r="H527">
        <f t="shared" si="8"/>
        <v>29.36</v>
      </c>
    </row>
    <row r="528" spans="1:8" x14ac:dyDescent="0.3">
      <c r="A528" t="str">
        <f>VLOOKUP(B528,Table3[[#Headers],[#Data]],3,FALSE)</f>
        <v>Electronics</v>
      </c>
      <c r="B528" t="s">
        <v>692</v>
      </c>
      <c r="C528">
        <f>VLOOKUP(B528,Table3[[#Headers],[#Data]],4, FALSE)</f>
        <v>29.36</v>
      </c>
      <c r="D528" t="str">
        <f>VLOOKUP('Rough data'!B528,Table3[[#Headers],[#Data]],2,FALSE)</f>
        <v>Smart Home Hub (Black) 2023</v>
      </c>
      <c r="E528" t="str">
        <f>VLOOKUP(B528,Table3[[#Headers],[#Data]],5,FALSE)</f>
        <v>SELL0024</v>
      </c>
      <c r="F528" t="str">
        <f>VLOOKUP(E528,Table2[[#Headers],[#Data],[seller_id]:[seller_user]],2,FALSE)</f>
        <v>ELEC25B</v>
      </c>
      <c r="G528">
        <v>1</v>
      </c>
      <c r="H528">
        <f t="shared" si="8"/>
        <v>29.36</v>
      </c>
    </row>
    <row r="529" spans="1:8" x14ac:dyDescent="0.3">
      <c r="A529" t="str">
        <f>VLOOKUP(B529,Table3[[#Headers],[#Data]],3,FALSE)</f>
        <v>Electronics</v>
      </c>
      <c r="B529" t="s">
        <v>694</v>
      </c>
      <c r="C529">
        <f>VLOOKUP(B529,Table3[[#Headers],[#Data]],4, FALSE)</f>
        <v>92.77</v>
      </c>
      <c r="D529" t="str">
        <f>VLOOKUP('Rough data'!B529,Table3[[#Headers],[#Data]],2,FALSE)</f>
        <v>Smart LED Light Bulb</v>
      </c>
      <c r="E529" t="str">
        <f>VLOOKUP(B529,Table3[[#Headers],[#Data]],5,FALSE)</f>
        <v>SELL0087</v>
      </c>
      <c r="F529" t="str">
        <f>VLOOKUP(E529,Table2[[#Headers],[#Data],[seller_id]:[seller_user]],2,FALSE)</f>
        <v>electrowave</v>
      </c>
      <c r="G529">
        <v>1</v>
      </c>
      <c r="H529">
        <f t="shared" si="8"/>
        <v>92.77</v>
      </c>
    </row>
    <row r="530" spans="1:8" x14ac:dyDescent="0.3">
      <c r="A530" t="str">
        <f>VLOOKUP(B530,Table3[[#Headers],[#Data]],3,FALSE)</f>
        <v>Electronics</v>
      </c>
      <c r="B530" t="s">
        <v>694</v>
      </c>
      <c r="C530">
        <f>VLOOKUP(B530,Table3[[#Headers],[#Data]],4, FALSE)</f>
        <v>92.77</v>
      </c>
      <c r="D530" t="str">
        <f>VLOOKUP('Rough data'!B530,Table3[[#Headers],[#Data]],2,FALSE)</f>
        <v>Smart LED Light Bulb</v>
      </c>
      <c r="E530" t="str">
        <f>VLOOKUP(B530,Table3[[#Headers],[#Data]],5,FALSE)</f>
        <v>SELL0087</v>
      </c>
      <c r="F530" t="str">
        <f>VLOOKUP(E530,Table2[[#Headers],[#Data],[seller_id]:[seller_user]],2,FALSE)</f>
        <v>electrowave</v>
      </c>
      <c r="G530">
        <v>1</v>
      </c>
      <c r="H530">
        <f t="shared" si="8"/>
        <v>92.77</v>
      </c>
    </row>
    <row r="531" spans="1:8" x14ac:dyDescent="0.3">
      <c r="A531" t="str">
        <f>VLOOKUP(B531,Table3[[#Headers],[#Data]],3,FALSE)</f>
        <v>Electronics</v>
      </c>
      <c r="B531" t="s">
        <v>694</v>
      </c>
      <c r="C531">
        <f>VLOOKUP(B531,Table3[[#Headers],[#Data]],4, FALSE)</f>
        <v>92.77</v>
      </c>
      <c r="D531" t="str">
        <f>VLOOKUP('Rough data'!B531,Table3[[#Headers],[#Data]],2,FALSE)</f>
        <v>Smart LED Light Bulb</v>
      </c>
      <c r="E531" t="str">
        <f>VLOOKUP(B531,Table3[[#Headers],[#Data]],5,FALSE)</f>
        <v>SELL0087</v>
      </c>
      <c r="F531" t="str">
        <f>VLOOKUP(E531,Table2[[#Headers],[#Data],[seller_id]:[seller_user]],2,FALSE)</f>
        <v>electrowave</v>
      </c>
      <c r="G531">
        <v>1</v>
      </c>
      <c r="H531">
        <f t="shared" si="8"/>
        <v>92.77</v>
      </c>
    </row>
    <row r="532" spans="1:8" x14ac:dyDescent="0.3">
      <c r="A532" t="str">
        <f>VLOOKUP(B532,Table3[[#Headers],[#Data]],3,FALSE)</f>
        <v>Electronics</v>
      </c>
      <c r="B532" t="s">
        <v>695</v>
      </c>
      <c r="C532">
        <f>VLOOKUP(B532,Table3[[#Headers],[#Data]],4, FALSE)</f>
        <v>63.84</v>
      </c>
      <c r="D532" t="str">
        <f>VLOOKUP('Rough data'!B532,Table3[[#Headers],[#Data]],2,FALSE)</f>
        <v>Noise Cancelling Headphones (Blue)</v>
      </c>
      <c r="E532" t="str">
        <f>VLOOKUP(B532,Table3[[#Headers],[#Data]],5,FALSE)</f>
        <v>SELL0088</v>
      </c>
      <c r="F532" t="str">
        <f>VLOOKUP(E532,Table2[[#Headers],[#Data],[seller_id]:[seller_user]],2,FALSE)</f>
        <v>7ti9lfa6h5</v>
      </c>
      <c r="G532">
        <v>1</v>
      </c>
      <c r="H532">
        <f t="shared" si="8"/>
        <v>63.84</v>
      </c>
    </row>
    <row r="533" spans="1:8" x14ac:dyDescent="0.3">
      <c r="A533" t="str">
        <f>VLOOKUP(B533,Table3[[#Headers],[#Data]],3,FALSE)</f>
        <v>Electronics</v>
      </c>
      <c r="B533" t="s">
        <v>695</v>
      </c>
      <c r="C533">
        <f>VLOOKUP(B533,Table3[[#Headers],[#Data]],4, FALSE)</f>
        <v>63.84</v>
      </c>
      <c r="D533" t="str">
        <f>VLOOKUP('Rough data'!B533,Table3[[#Headers],[#Data]],2,FALSE)</f>
        <v>Noise Cancelling Headphones (Blue)</v>
      </c>
      <c r="E533" t="str">
        <f>VLOOKUP(B533,Table3[[#Headers],[#Data]],5,FALSE)</f>
        <v>SELL0088</v>
      </c>
      <c r="F533" t="str">
        <f>VLOOKUP(E533,Table2[[#Headers],[#Data],[seller_id]:[seller_user]],2,FALSE)</f>
        <v>7ti9lfa6h5</v>
      </c>
      <c r="G533">
        <v>1</v>
      </c>
      <c r="H533">
        <f t="shared" si="8"/>
        <v>63.84</v>
      </c>
    </row>
    <row r="534" spans="1:8" x14ac:dyDescent="0.3">
      <c r="A534" t="str">
        <f>VLOOKUP(B534,Table3[[#Headers],[#Data]],3,FALSE)</f>
        <v>Electronics</v>
      </c>
      <c r="B534" t="s">
        <v>695</v>
      </c>
      <c r="C534">
        <f>VLOOKUP(B534,Table3[[#Headers],[#Data]],4, FALSE)</f>
        <v>63.84</v>
      </c>
      <c r="D534" t="str">
        <f>VLOOKUP('Rough data'!B534,Table3[[#Headers],[#Data]],2,FALSE)</f>
        <v>Noise Cancelling Headphones (Blue)</v>
      </c>
      <c r="E534" t="str">
        <f>VLOOKUP(B534,Table3[[#Headers],[#Data]],5,FALSE)</f>
        <v>SELL0088</v>
      </c>
      <c r="F534" t="str">
        <f>VLOOKUP(E534,Table2[[#Headers],[#Data],[seller_id]:[seller_user]],2,FALSE)</f>
        <v>7ti9lfa6h5</v>
      </c>
      <c r="G534">
        <v>1</v>
      </c>
      <c r="H534">
        <f t="shared" si="8"/>
        <v>63.84</v>
      </c>
    </row>
    <row r="535" spans="1:8" x14ac:dyDescent="0.3">
      <c r="A535" t="str">
        <f>VLOOKUP(B535,Table3[[#Headers],[#Data]],3,FALSE)</f>
        <v>Electronics</v>
      </c>
      <c r="B535" t="s">
        <v>698</v>
      </c>
      <c r="C535">
        <f>VLOOKUP(B535,Table3[[#Headers],[#Data]],4, FALSE)</f>
        <v>63.84</v>
      </c>
      <c r="D535" t="str">
        <f>VLOOKUP('Rough data'!B535,Table3[[#Headers],[#Data]],2,FALSE)</f>
        <v>Noise Cancelling Headphones (Red)</v>
      </c>
      <c r="E535" t="str">
        <f>VLOOKUP(B535,Table3[[#Headers],[#Data]],5,FALSE)</f>
        <v>SELL0088</v>
      </c>
      <c r="F535" t="str">
        <f>VLOOKUP(E535,Table2[[#Headers],[#Data],[seller_id]:[seller_user]],2,FALSE)</f>
        <v>7ti9lfa6h5</v>
      </c>
      <c r="G535">
        <v>1</v>
      </c>
      <c r="H535">
        <f t="shared" si="8"/>
        <v>63.84</v>
      </c>
    </row>
    <row r="536" spans="1:8" x14ac:dyDescent="0.3">
      <c r="A536" t="str">
        <f>VLOOKUP(B536,Table3[[#Headers],[#Data]],3,FALSE)</f>
        <v>Electronics</v>
      </c>
      <c r="B536" t="s">
        <v>698</v>
      </c>
      <c r="C536">
        <f>VLOOKUP(B536,Table3[[#Headers],[#Data]],4, FALSE)</f>
        <v>63.84</v>
      </c>
      <c r="D536" t="str">
        <f>VLOOKUP('Rough data'!B536,Table3[[#Headers],[#Data]],2,FALSE)</f>
        <v>Noise Cancelling Headphones (Red)</v>
      </c>
      <c r="E536" t="str">
        <f>VLOOKUP(B536,Table3[[#Headers],[#Data]],5,FALSE)</f>
        <v>SELL0088</v>
      </c>
      <c r="F536" t="str">
        <f>VLOOKUP(E536,Table2[[#Headers],[#Data],[seller_id]:[seller_user]],2,FALSE)</f>
        <v>7ti9lfa6h5</v>
      </c>
      <c r="G536">
        <v>1</v>
      </c>
      <c r="H536">
        <f t="shared" si="8"/>
        <v>63.84</v>
      </c>
    </row>
    <row r="537" spans="1:8" x14ac:dyDescent="0.3">
      <c r="A537" t="str">
        <f>VLOOKUP(B537,Table3[[#Headers],[#Data]],3,FALSE)</f>
        <v>Electronics</v>
      </c>
      <c r="B537" t="s">
        <v>698</v>
      </c>
      <c r="C537">
        <f>VLOOKUP(B537,Table3[[#Headers],[#Data]],4, FALSE)</f>
        <v>63.84</v>
      </c>
      <c r="D537" t="str">
        <f>VLOOKUP('Rough data'!B537,Table3[[#Headers],[#Data]],2,FALSE)</f>
        <v>Noise Cancelling Headphones (Red)</v>
      </c>
      <c r="E537" t="str">
        <f>VLOOKUP(B537,Table3[[#Headers],[#Data]],5,FALSE)</f>
        <v>SELL0088</v>
      </c>
      <c r="F537" t="str">
        <f>VLOOKUP(E537,Table2[[#Headers],[#Data],[seller_id]:[seller_user]],2,FALSE)</f>
        <v>7ti9lfa6h5</v>
      </c>
      <c r="G537">
        <v>1</v>
      </c>
      <c r="H537">
        <f t="shared" si="8"/>
        <v>63.84</v>
      </c>
    </row>
    <row r="538" spans="1:8" x14ac:dyDescent="0.3">
      <c r="A538" t="str">
        <f>VLOOKUP(B538,Table3[[#Headers],[#Data]],3,FALSE)</f>
        <v>Electronics</v>
      </c>
      <c r="B538" t="s">
        <v>700</v>
      </c>
      <c r="C538">
        <f>VLOOKUP(B538,Table3[[#Headers],[#Data]],4, FALSE)</f>
        <v>63.84</v>
      </c>
      <c r="D538" t="str">
        <f>VLOOKUP('Rough data'!B538,Table3[[#Headers],[#Data]],2,FALSE)</f>
        <v>Noise Cancelling Headphones (Yellow)</v>
      </c>
      <c r="E538" t="str">
        <f>VLOOKUP(B538,Table3[[#Headers],[#Data]],5,FALSE)</f>
        <v>SELL0088</v>
      </c>
      <c r="F538" t="str">
        <f>VLOOKUP(E538,Table2[[#Headers],[#Data],[seller_id]:[seller_user]],2,FALSE)</f>
        <v>7ti9lfa6h5</v>
      </c>
      <c r="G538">
        <v>1</v>
      </c>
      <c r="H538">
        <f t="shared" si="8"/>
        <v>63.84</v>
      </c>
    </row>
    <row r="539" spans="1:8" x14ac:dyDescent="0.3">
      <c r="A539" t="str">
        <f>VLOOKUP(B539,Table3[[#Headers],[#Data]],3,FALSE)</f>
        <v>Electronics</v>
      </c>
      <c r="B539" t="s">
        <v>704</v>
      </c>
      <c r="C539">
        <f>VLOOKUP(B539,Table3[[#Headers],[#Data]],4, FALSE)</f>
        <v>113.45</v>
      </c>
      <c r="D539" t="str">
        <f>VLOOKUP('Rough data'!B539,Table3[[#Headers],[#Data]],2,FALSE)</f>
        <v>Noise Cancelling Headphones (White)</v>
      </c>
      <c r="E539" t="str">
        <f>VLOOKUP(B539,Table3[[#Headers],[#Data]],5,FALSE)</f>
        <v>SELL0088</v>
      </c>
      <c r="F539" t="str">
        <f>VLOOKUP(E539,Table2[[#Headers],[#Data],[seller_id]:[seller_user]],2,FALSE)</f>
        <v>7ti9lfa6h5</v>
      </c>
      <c r="G539">
        <v>1</v>
      </c>
      <c r="H539">
        <f t="shared" si="8"/>
        <v>113.45</v>
      </c>
    </row>
    <row r="540" spans="1:8" x14ac:dyDescent="0.3">
      <c r="A540" t="str">
        <f>VLOOKUP(B540,Table3[[#Headers],[#Data]],3,FALSE)</f>
        <v>Electronics</v>
      </c>
      <c r="B540" t="s">
        <v>706</v>
      </c>
      <c r="C540">
        <f>VLOOKUP(B540,Table3[[#Headers],[#Data]],4, FALSE)</f>
        <v>63.84</v>
      </c>
      <c r="D540" t="str">
        <f>VLOOKUP('Rough data'!B540,Table3[[#Headers],[#Data]],2,FALSE)</f>
        <v>Noise Cancelling Headphones (Green)</v>
      </c>
      <c r="E540" t="str">
        <f>VLOOKUP(B540,Table3[[#Headers],[#Data]],5,FALSE)</f>
        <v>SELL0088</v>
      </c>
      <c r="F540" t="str">
        <f>VLOOKUP(E540,Table2[[#Headers],[#Data],[seller_id]:[seller_user]],2,FALSE)</f>
        <v>7ti9lfa6h5</v>
      </c>
      <c r="G540">
        <v>1</v>
      </c>
      <c r="H540">
        <f t="shared" si="8"/>
        <v>63.84</v>
      </c>
    </row>
    <row r="541" spans="1:8" x14ac:dyDescent="0.3">
      <c r="A541" t="str">
        <f>VLOOKUP(B541,Table3[[#Headers],[#Data]],3,FALSE)</f>
        <v>Electronics</v>
      </c>
      <c r="B541" t="s">
        <v>707</v>
      </c>
      <c r="C541">
        <f>VLOOKUP(B541,Table3[[#Headers],[#Data]],4, FALSE)</f>
        <v>63.84</v>
      </c>
      <c r="D541" t="str">
        <f>VLOOKUP('Rough data'!B541,Table3[[#Headers],[#Data]],2,FALSE)</f>
        <v>Noise Cancelling Headphones (Black)</v>
      </c>
      <c r="E541" t="str">
        <f>VLOOKUP(B541,Table3[[#Headers],[#Data]],5,FALSE)</f>
        <v>SELL0088</v>
      </c>
      <c r="F541" t="str">
        <f>VLOOKUP(E541,Table2[[#Headers],[#Data],[seller_id]:[seller_user]],2,FALSE)</f>
        <v>7ti9lfa6h5</v>
      </c>
      <c r="G541">
        <v>2</v>
      </c>
      <c r="H541">
        <f t="shared" si="8"/>
        <v>127.68</v>
      </c>
    </row>
    <row r="542" spans="1:8" x14ac:dyDescent="0.3">
      <c r="A542" t="str">
        <f>VLOOKUP(B542,Table3[[#Headers],[#Data]],3,FALSE)</f>
        <v>Electronics</v>
      </c>
      <c r="B542" t="s">
        <v>707</v>
      </c>
      <c r="C542">
        <f>VLOOKUP(B542,Table3[[#Headers],[#Data]],4, FALSE)</f>
        <v>63.84</v>
      </c>
      <c r="D542" t="str">
        <f>VLOOKUP('Rough data'!B542,Table3[[#Headers],[#Data]],2,FALSE)</f>
        <v>Noise Cancelling Headphones (Black)</v>
      </c>
      <c r="E542" t="str">
        <f>VLOOKUP(B542,Table3[[#Headers],[#Data]],5,FALSE)</f>
        <v>SELL0088</v>
      </c>
      <c r="F542" t="str">
        <f>VLOOKUP(E542,Table2[[#Headers],[#Data],[seller_id]:[seller_user]],2,FALSE)</f>
        <v>7ti9lfa6h5</v>
      </c>
      <c r="G542">
        <v>1</v>
      </c>
      <c r="H542">
        <f t="shared" si="8"/>
        <v>63.84</v>
      </c>
    </row>
    <row r="543" spans="1:8" x14ac:dyDescent="0.3">
      <c r="A543" t="str">
        <f>VLOOKUP(B543,Table3[[#Headers],[#Data]],3,FALSE)</f>
        <v>Electronics</v>
      </c>
      <c r="B543" t="s">
        <v>707</v>
      </c>
      <c r="C543">
        <f>VLOOKUP(B543,Table3[[#Headers],[#Data]],4, FALSE)</f>
        <v>63.84</v>
      </c>
      <c r="D543" t="str">
        <f>VLOOKUP('Rough data'!B543,Table3[[#Headers],[#Data]],2,FALSE)</f>
        <v>Noise Cancelling Headphones (Black)</v>
      </c>
      <c r="E543" t="str">
        <f>VLOOKUP(B543,Table3[[#Headers],[#Data]],5,FALSE)</f>
        <v>SELL0088</v>
      </c>
      <c r="F543" t="str">
        <f>VLOOKUP(E543,Table2[[#Headers],[#Data],[seller_id]:[seller_user]],2,FALSE)</f>
        <v>7ti9lfa6h5</v>
      </c>
      <c r="G543">
        <v>2</v>
      </c>
      <c r="H543">
        <f t="shared" si="8"/>
        <v>127.68</v>
      </c>
    </row>
    <row r="544" spans="1:8" x14ac:dyDescent="0.3">
      <c r="A544" t="str">
        <f>VLOOKUP(B544,Table3[[#Headers],[#Data]],3,FALSE)</f>
        <v>Electronics</v>
      </c>
      <c r="B544" t="s">
        <v>709</v>
      </c>
      <c r="C544">
        <f>VLOOKUP(B544,Table3[[#Headers],[#Data]],4, FALSE)</f>
        <v>63.84</v>
      </c>
      <c r="D544" t="str">
        <f>VLOOKUP('Rough data'!B544,Table3[[#Headers],[#Data]],2,FALSE)</f>
        <v>Noise Cancelling Headphones (Red)</v>
      </c>
      <c r="E544" t="str">
        <f>VLOOKUP(B544,Table3[[#Headers],[#Data]],5,FALSE)</f>
        <v>SELL0088</v>
      </c>
      <c r="F544" t="str">
        <f>VLOOKUP(E544,Table2[[#Headers],[#Data],[seller_id]:[seller_user]],2,FALSE)</f>
        <v>7ti9lfa6h5</v>
      </c>
      <c r="G544">
        <v>1</v>
      </c>
      <c r="H544">
        <f t="shared" si="8"/>
        <v>63.84</v>
      </c>
    </row>
    <row r="545" spans="1:8" x14ac:dyDescent="0.3">
      <c r="A545" t="str">
        <f>VLOOKUP(B545,Table3[[#Headers],[#Data]],3,FALSE)</f>
        <v>Electronics</v>
      </c>
      <c r="B545" t="s">
        <v>710</v>
      </c>
      <c r="C545">
        <f>VLOOKUP(B545,Table3[[#Headers],[#Data]],4, FALSE)</f>
        <v>36.57</v>
      </c>
      <c r="D545" t="str">
        <f>VLOOKUP('Rough data'!B545,Table3[[#Headers],[#Data]],2,FALSE)</f>
        <v>Portable Power Bank 10,000mAh (Navy)</v>
      </c>
      <c r="E545" t="str">
        <f>VLOOKUP(B545,Table3[[#Headers],[#Data]],5,FALSE)</f>
        <v>SELL0088</v>
      </c>
      <c r="F545" t="str">
        <f>VLOOKUP(E545,Table2[[#Headers],[#Data],[seller_id]:[seller_user]],2,FALSE)</f>
        <v>7ti9lfa6h5</v>
      </c>
      <c r="G545">
        <v>2</v>
      </c>
      <c r="H545">
        <f t="shared" si="8"/>
        <v>73.14</v>
      </c>
    </row>
    <row r="546" spans="1:8" x14ac:dyDescent="0.3">
      <c r="A546" t="str">
        <f>VLOOKUP(B546,Table3[[#Headers],[#Data]],3,FALSE)</f>
        <v>Electronics</v>
      </c>
      <c r="B546" t="s">
        <v>710</v>
      </c>
      <c r="C546">
        <f>VLOOKUP(B546,Table3[[#Headers],[#Data]],4, FALSE)</f>
        <v>36.57</v>
      </c>
      <c r="D546" t="str">
        <f>VLOOKUP('Rough data'!B546,Table3[[#Headers],[#Data]],2,FALSE)</f>
        <v>Portable Power Bank 10,000mAh (Navy)</v>
      </c>
      <c r="E546" t="str">
        <f>VLOOKUP(B546,Table3[[#Headers],[#Data]],5,FALSE)</f>
        <v>SELL0088</v>
      </c>
      <c r="F546" t="str">
        <f>VLOOKUP(E546,Table2[[#Headers],[#Data],[seller_id]:[seller_user]],2,FALSE)</f>
        <v>7ti9lfa6h5</v>
      </c>
      <c r="G546">
        <v>1</v>
      </c>
      <c r="H546">
        <f t="shared" si="8"/>
        <v>36.57</v>
      </c>
    </row>
    <row r="547" spans="1:8" x14ac:dyDescent="0.3">
      <c r="A547" t="str">
        <f>VLOOKUP(B547,Table3[[#Headers],[#Data]],3,FALSE)</f>
        <v>Electronics</v>
      </c>
      <c r="B547" t="s">
        <v>710</v>
      </c>
      <c r="C547">
        <f>VLOOKUP(B547,Table3[[#Headers],[#Data]],4, FALSE)</f>
        <v>36.57</v>
      </c>
      <c r="D547" t="str">
        <f>VLOOKUP('Rough data'!B547,Table3[[#Headers],[#Data]],2,FALSE)</f>
        <v>Portable Power Bank 10,000mAh (Navy)</v>
      </c>
      <c r="E547" t="str">
        <f>VLOOKUP(B547,Table3[[#Headers],[#Data]],5,FALSE)</f>
        <v>SELL0088</v>
      </c>
      <c r="F547" t="str">
        <f>VLOOKUP(E547,Table2[[#Headers],[#Data],[seller_id]:[seller_user]],2,FALSE)</f>
        <v>7ti9lfa6h5</v>
      </c>
      <c r="G547">
        <v>2</v>
      </c>
      <c r="H547">
        <f t="shared" si="8"/>
        <v>73.14</v>
      </c>
    </row>
    <row r="548" spans="1:8" x14ac:dyDescent="0.3">
      <c r="A548" t="str">
        <f>VLOOKUP(B548,Table3[[#Headers],[#Data]],3,FALSE)</f>
        <v>Electronics</v>
      </c>
      <c r="B548" t="s">
        <v>710</v>
      </c>
      <c r="C548">
        <f>VLOOKUP(B548,Table3[[#Headers],[#Data]],4, FALSE)</f>
        <v>36.57</v>
      </c>
      <c r="D548" t="str">
        <f>VLOOKUP('Rough data'!B548,Table3[[#Headers],[#Data]],2,FALSE)</f>
        <v>Portable Power Bank 10,000mAh (Navy)</v>
      </c>
      <c r="E548" t="str">
        <f>VLOOKUP(B548,Table3[[#Headers],[#Data]],5,FALSE)</f>
        <v>SELL0088</v>
      </c>
      <c r="F548" t="str">
        <f>VLOOKUP(E548,Table2[[#Headers],[#Data],[seller_id]:[seller_user]],2,FALSE)</f>
        <v>7ti9lfa6h5</v>
      </c>
      <c r="G548">
        <v>1</v>
      </c>
      <c r="H548">
        <f t="shared" si="8"/>
        <v>36.57</v>
      </c>
    </row>
    <row r="549" spans="1:8" x14ac:dyDescent="0.3">
      <c r="A549" t="str">
        <f>VLOOKUP(B549,Table3[[#Headers],[#Data]],3,FALSE)</f>
        <v>Electronics</v>
      </c>
      <c r="B549" t="s">
        <v>712</v>
      </c>
      <c r="C549">
        <f>VLOOKUP(B549,Table3[[#Headers],[#Data]],4, FALSE)</f>
        <v>36.57</v>
      </c>
      <c r="D549" t="str">
        <f>VLOOKUP('Rough data'!B549,Table3[[#Headers],[#Data]],2,FALSE)</f>
        <v>Portable Power Bank 10,000mAh (White)</v>
      </c>
      <c r="E549" t="str">
        <f>VLOOKUP(B549,Table3[[#Headers],[#Data]],5,FALSE)</f>
        <v>SELL0088</v>
      </c>
      <c r="F549" t="str">
        <f>VLOOKUP(E549,Table2[[#Headers],[#Data],[seller_id]:[seller_user]],2,FALSE)</f>
        <v>7ti9lfa6h5</v>
      </c>
      <c r="G549">
        <v>1</v>
      </c>
      <c r="H549">
        <f t="shared" si="8"/>
        <v>36.57</v>
      </c>
    </row>
    <row r="550" spans="1:8" x14ac:dyDescent="0.3">
      <c r="A550" t="str">
        <f>VLOOKUP(B550,Table3[[#Headers],[#Data]],3,FALSE)</f>
        <v>Gift_Sets</v>
      </c>
      <c r="B550" t="s">
        <v>718</v>
      </c>
      <c r="C550">
        <f>VLOOKUP(B550,Table3[[#Headers],[#Data]],4, FALSE)</f>
        <v>24.92</v>
      </c>
      <c r="D550" t="str">
        <f>VLOOKUP('Rough data'!B550,Table3[[#Headers],[#Data]],2,FALSE)</f>
        <v>Spa Pamper Gift Set Fruity Mix</v>
      </c>
      <c r="E550" t="str">
        <f>VLOOKUP(B550,Table3[[#Headers],[#Data]],5,FALSE)</f>
        <v>SELL0088</v>
      </c>
      <c r="F550" t="str">
        <f>VLOOKUP(E550,Table2[[#Headers],[#Data],[seller_id]:[seller_user]],2,FALSE)</f>
        <v>7ti9lfa6h5</v>
      </c>
      <c r="G550">
        <v>1</v>
      </c>
      <c r="H550">
        <f t="shared" si="8"/>
        <v>24.92</v>
      </c>
    </row>
    <row r="551" spans="1:8" x14ac:dyDescent="0.3">
      <c r="A551" t="str">
        <f>VLOOKUP(B551,Table3[[#Headers],[#Data]],3,FALSE)</f>
        <v>Gift_Sets</v>
      </c>
      <c r="B551" t="s">
        <v>718</v>
      </c>
      <c r="C551">
        <f>VLOOKUP(B551,Table3[[#Headers],[#Data]],4, FALSE)</f>
        <v>24.92</v>
      </c>
      <c r="D551" t="str">
        <f>VLOOKUP('Rough data'!B551,Table3[[#Headers],[#Data]],2,FALSE)</f>
        <v>Spa Pamper Gift Set Fruity Mix</v>
      </c>
      <c r="E551" t="str">
        <f>VLOOKUP(B551,Table3[[#Headers],[#Data]],5,FALSE)</f>
        <v>SELL0088</v>
      </c>
      <c r="F551" t="str">
        <f>VLOOKUP(E551,Table2[[#Headers],[#Data],[seller_id]:[seller_user]],2,FALSE)</f>
        <v>7ti9lfa6h5</v>
      </c>
      <c r="G551">
        <v>1</v>
      </c>
      <c r="H551">
        <f t="shared" si="8"/>
        <v>24.92</v>
      </c>
    </row>
    <row r="552" spans="1:8" x14ac:dyDescent="0.3">
      <c r="A552" t="str">
        <f>VLOOKUP(B552,Table3[[#Headers],[#Data]],3,FALSE)</f>
        <v>Gift_Sets</v>
      </c>
      <c r="B552" t="s">
        <v>720</v>
      </c>
      <c r="C552">
        <f>VLOOKUP(B552,Table3[[#Headers],[#Data]],4, FALSE)</f>
        <v>33.89</v>
      </c>
      <c r="D552" t="str">
        <f>VLOOKUP('Rough data'!B552,Table3[[#Headers],[#Data]],2,FALSE)</f>
        <v>Mini Plant Starter Kit (Lily)</v>
      </c>
      <c r="E552" t="str">
        <f>VLOOKUP(B552,Table3[[#Headers],[#Data]],5,FALSE)</f>
        <v>SELL0088</v>
      </c>
      <c r="F552" t="str">
        <f>VLOOKUP(E552,Table2[[#Headers],[#Data],[seller_id]:[seller_user]],2,FALSE)</f>
        <v>7ti9lfa6h5</v>
      </c>
      <c r="G552">
        <v>1</v>
      </c>
      <c r="H552">
        <f t="shared" si="8"/>
        <v>33.89</v>
      </c>
    </row>
    <row r="553" spans="1:8" x14ac:dyDescent="0.3">
      <c r="A553" t="str">
        <f>VLOOKUP(B553,Table3[[#Headers],[#Data]],3,FALSE)</f>
        <v>Gift_Sets</v>
      </c>
      <c r="B553" t="s">
        <v>720</v>
      </c>
      <c r="C553">
        <f>VLOOKUP(B553,Table3[[#Headers],[#Data]],4, FALSE)</f>
        <v>33.89</v>
      </c>
      <c r="D553" t="str">
        <f>VLOOKUP('Rough data'!B553,Table3[[#Headers],[#Data]],2,FALSE)</f>
        <v>Mini Plant Starter Kit (Lily)</v>
      </c>
      <c r="E553" t="str">
        <f>VLOOKUP(B553,Table3[[#Headers],[#Data]],5,FALSE)</f>
        <v>SELL0088</v>
      </c>
      <c r="F553" t="str">
        <f>VLOOKUP(E553,Table2[[#Headers],[#Data],[seller_id]:[seller_user]],2,FALSE)</f>
        <v>7ti9lfa6h5</v>
      </c>
      <c r="G553">
        <v>2</v>
      </c>
      <c r="H553">
        <f t="shared" si="8"/>
        <v>67.78</v>
      </c>
    </row>
    <row r="554" spans="1:8" x14ac:dyDescent="0.3">
      <c r="A554" t="str">
        <f>VLOOKUP(B554,Table3[[#Headers],[#Data]],3,FALSE)</f>
        <v>Gift_Sets</v>
      </c>
      <c r="B554" t="s">
        <v>722</v>
      </c>
      <c r="C554">
        <f>VLOOKUP(B554,Table3[[#Headers],[#Data]],4, FALSE)</f>
        <v>32.33</v>
      </c>
      <c r="D554" t="str">
        <f>VLOOKUP('Rough data'!B554,Table3[[#Headers],[#Data]],2,FALSE)</f>
        <v>Tea Lovers Hamper Darjelling</v>
      </c>
      <c r="E554" t="str">
        <f>VLOOKUP(B554,Table3[[#Headers],[#Data]],5,FALSE)</f>
        <v>SELL0088</v>
      </c>
      <c r="F554" t="str">
        <f>VLOOKUP(E554,Table2[[#Headers],[#Data],[seller_id]:[seller_user]],2,FALSE)</f>
        <v>7ti9lfa6h5</v>
      </c>
      <c r="G554">
        <v>1</v>
      </c>
      <c r="H554">
        <f t="shared" si="8"/>
        <v>32.33</v>
      </c>
    </row>
    <row r="555" spans="1:8" x14ac:dyDescent="0.3">
      <c r="A555" t="str">
        <f>VLOOKUP(B555,Table3[[#Headers],[#Data]],3,FALSE)</f>
        <v>Gift_Sets</v>
      </c>
      <c r="B555" t="s">
        <v>722</v>
      </c>
      <c r="C555">
        <f>VLOOKUP(B555,Table3[[#Headers],[#Data]],4, FALSE)</f>
        <v>32.33</v>
      </c>
      <c r="D555" t="str">
        <f>VLOOKUP('Rough data'!B555,Table3[[#Headers],[#Data]],2,FALSE)</f>
        <v>Tea Lovers Hamper Darjelling</v>
      </c>
      <c r="E555" t="str">
        <f>VLOOKUP(B555,Table3[[#Headers],[#Data]],5,FALSE)</f>
        <v>SELL0088</v>
      </c>
      <c r="F555" t="str">
        <f>VLOOKUP(E555,Table2[[#Headers],[#Data],[seller_id]:[seller_user]],2,FALSE)</f>
        <v>7ti9lfa6h5</v>
      </c>
      <c r="G555">
        <v>1</v>
      </c>
      <c r="H555">
        <f t="shared" si="8"/>
        <v>32.33</v>
      </c>
    </row>
    <row r="556" spans="1:8" x14ac:dyDescent="0.3">
      <c r="A556" t="str">
        <f>VLOOKUP(B556,Table3[[#Headers],[#Data]],3,FALSE)</f>
        <v>Gift_Sets</v>
      </c>
      <c r="B556" t="s">
        <v>722</v>
      </c>
      <c r="C556">
        <f>VLOOKUP(B556,Table3[[#Headers],[#Data]],4, FALSE)</f>
        <v>32.33</v>
      </c>
      <c r="D556" t="str">
        <f>VLOOKUP('Rough data'!B556,Table3[[#Headers],[#Data]],2,FALSE)</f>
        <v>Tea Lovers Hamper Darjelling</v>
      </c>
      <c r="E556" t="str">
        <f>VLOOKUP(B556,Table3[[#Headers],[#Data]],5,FALSE)</f>
        <v>SELL0088</v>
      </c>
      <c r="F556" t="str">
        <f>VLOOKUP(E556,Table2[[#Headers],[#Data],[seller_id]:[seller_user]],2,FALSE)</f>
        <v>7ti9lfa6h5</v>
      </c>
      <c r="G556">
        <v>1</v>
      </c>
      <c r="H556">
        <f t="shared" si="8"/>
        <v>32.33</v>
      </c>
    </row>
    <row r="557" spans="1:8" x14ac:dyDescent="0.3">
      <c r="A557" t="str">
        <f>VLOOKUP(B557,Table3[[#Headers],[#Data]],3,FALSE)</f>
        <v>Gift_Sets</v>
      </c>
      <c r="B557" t="s">
        <v>724</v>
      </c>
      <c r="C557">
        <f>VLOOKUP(B557,Table3[[#Headers],[#Data]],4, FALSE)</f>
        <v>13.54</v>
      </c>
      <c r="D557" t="str">
        <f>VLOOKUP('Rough data'!B557,Table3[[#Headers],[#Data]],2,FALSE)</f>
        <v>Bath Bomb Variety Pack (Rose lavender)</v>
      </c>
      <c r="E557" t="str">
        <f>VLOOKUP(B557,Table3[[#Headers],[#Data]],5,FALSE)</f>
        <v>SELL0088</v>
      </c>
      <c r="F557" t="str">
        <f>VLOOKUP(E557,Table2[[#Headers],[#Data],[seller_id]:[seller_user]],2,FALSE)</f>
        <v>7ti9lfa6h5</v>
      </c>
      <c r="G557">
        <v>1</v>
      </c>
      <c r="H557">
        <f t="shared" si="8"/>
        <v>13.54</v>
      </c>
    </row>
    <row r="558" spans="1:8" x14ac:dyDescent="0.3">
      <c r="A558" t="str">
        <f>VLOOKUP(B558,Table3[[#Headers],[#Data]],3,FALSE)</f>
        <v>Gift_Sets</v>
      </c>
      <c r="B558" t="s">
        <v>726</v>
      </c>
      <c r="C558">
        <f>VLOOKUP(B558,Table3[[#Headers],[#Data]],4, FALSE)</f>
        <v>21.81</v>
      </c>
      <c r="D558" t="str">
        <f>VLOOKUP('Rough data'!B558,Table3[[#Headers],[#Data]],2,FALSE)</f>
        <v>White Chocolate Selection Box</v>
      </c>
      <c r="E558" t="str">
        <f>VLOOKUP(B558,Table3[[#Headers],[#Data]],5,FALSE)</f>
        <v>SELL0088</v>
      </c>
      <c r="F558" t="str">
        <f>VLOOKUP(E558,Table2[[#Headers],[#Data],[seller_id]:[seller_user]],2,FALSE)</f>
        <v>7ti9lfa6h5</v>
      </c>
      <c r="G558">
        <v>1</v>
      </c>
      <c r="H558">
        <f t="shared" si="8"/>
        <v>21.81</v>
      </c>
    </row>
    <row r="559" spans="1:8" x14ac:dyDescent="0.3">
      <c r="A559" t="str">
        <f>VLOOKUP(B559,Table3[[#Headers],[#Data]],3,FALSE)</f>
        <v>Gift_Sets</v>
      </c>
      <c r="B559" t="s">
        <v>726</v>
      </c>
      <c r="C559">
        <f>VLOOKUP(B559,Table3[[#Headers],[#Data]],4, FALSE)</f>
        <v>21.81</v>
      </c>
      <c r="D559" t="str">
        <f>VLOOKUP('Rough data'!B559,Table3[[#Headers],[#Data]],2,FALSE)</f>
        <v>White Chocolate Selection Box</v>
      </c>
      <c r="E559" t="str">
        <f>VLOOKUP(B559,Table3[[#Headers],[#Data]],5,FALSE)</f>
        <v>SELL0088</v>
      </c>
      <c r="F559" t="str">
        <f>VLOOKUP(E559,Table2[[#Headers],[#Data],[seller_id]:[seller_user]],2,FALSE)</f>
        <v>7ti9lfa6h5</v>
      </c>
      <c r="G559">
        <v>2</v>
      </c>
      <c r="H559">
        <f t="shared" si="8"/>
        <v>43.62</v>
      </c>
    </row>
    <row r="560" spans="1:8" x14ac:dyDescent="0.3">
      <c r="A560" t="str">
        <f>VLOOKUP(B560,Table3[[#Headers],[#Data]],3,FALSE)</f>
        <v>Gift_Sets</v>
      </c>
      <c r="B560" t="s">
        <v>726</v>
      </c>
      <c r="C560">
        <f>VLOOKUP(B560,Table3[[#Headers],[#Data]],4, FALSE)</f>
        <v>21.81</v>
      </c>
      <c r="D560" t="str">
        <f>VLOOKUP('Rough data'!B560,Table3[[#Headers],[#Data]],2,FALSE)</f>
        <v>White Chocolate Selection Box</v>
      </c>
      <c r="E560" t="str">
        <f>VLOOKUP(B560,Table3[[#Headers],[#Data]],5,FALSE)</f>
        <v>SELL0088</v>
      </c>
      <c r="F560" t="str">
        <f>VLOOKUP(E560,Table2[[#Headers],[#Data],[seller_id]:[seller_user]],2,FALSE)</f>
        <v>7ti9lfa6h5</v>
      </c>
      <c r="G560">
        <v>1</v>
      </c>
      <c r="H560">
        <f t="shared" si="8"/>
        <v>21.81</v>
      </c>
    </row>
    <row r="561" spans="1:8" x14ac:dyDescent="0.3">
      <c r="A561" t="str">
        <f>VLOOKUP(B561,Table3[[#Headers],[#Data]],3,FALSE)</f>
        <v>Gift_Sets</v>
      </c>
      <c r="B561" t="s">
        <v>726</v>
      </c>
      <c r="C561">
        <f>VLOOKUP(B561,Table3[[#Headers],[#Data]],4, FALSE)</f>
        <v>21.81</v>
      </c>
      <c r="D561" t="str">
        <f>VLOOKUP('Rough data'!B561,Table3[[#Headers],[#Data]],2,FALSE)</f>
        <v>White Chocolate Selection Box</v>
      </c>
      <c r="E561" t="str">
        <f>VLOOKUP(B561,Table3[[#Headers],[#Data]],5,FALSE)</f>
        <v>SELL0088</v>
      </c>
      <c r="F561" t="str">
        <f>VLOOKUP(E561,Table2[[#Headers],[#Data],[seller_id]:[seller_user]],2,FALSE)</f>
        <v>7ti9lfa6h5</v>
      </c>
      <c r="G561">
        <v>1</v>
      </c>
      <c r="H561">
        <f t="shared" si="8"/>
        <v>21.81</v>
      </c>
    </row>
    <row r="562" spans="1:8" x14ac:dyDescent="0.3">
      <c r="A562" t="str">
        <f>VLOOKUP(B562,Table3[[#Headers],[#Data]],3,FALSE)</f>
        <v>Gift_Sets</v>
      </c>
      <c r="B562" t="s">
        <v>728</v>
      </c>
      <c r="C562">
        <f>VLOOKUP(B562,Table3[[#Headers],[#Data]],4, FALSE)</f>
        <v>33.89</v>
      </c>
      <c r="D562" t="str">
        <f>VLOOKUP('Rough data'!B562,Table3[[#Headers],[#Data]],2,FALSE)</f>
        <v>Mini Plant Starter Kit (Diasy)</v>
      </c>
      <c r="E562" t="str">
        <f>VLOOKUP(B562,Table3[[#Headers],[#Data]],5,FALSE)</f>
        <v>SELL0088</v>
      </c>
      <c r="F562" t="str">
        <f>VLOOKUP(E562,Table2[[#Headers],[#Data],[seller_id]:[seller_user]],2,FALSE)</f>
        <v>7ti9lfa6h5</v>
      </c>
      <c r="G562">
        <v>1</v>
      </c>
      <c r="H562">
        <f t="shared" si="8"/>
        <v>33.89</v>
      </c>
    </row>
    <row r="563" spans="1:8" x14ac:dyDescent="0.3">
      <c r="A563" t="str">
        <f>VLOOKUP(B563,Table3[[#Headers],[#Data]],3,FALSE)</f>
        <v>Gift_Sets</v>
      </c>
      <c r="B563" t="s">
        <v>728</v>
      </c>
      <c r="C563">
        <f>VLOOKUP(B563,Table3[[#Headers],[#Data]],4, FALSE)</f>
        <v>33.89</v>
      </c>
      <c r="D563" t="str">
        <f>VLOOKUP('Rough data'!B563,Table3[[#Headers],[#Data]],2,FALSE)</f>
        <v>Mini Plant Starter Kit (Diasy)</v>
      </c>
      <c r="E563" t="str">
        <f>VLOOKUP(B563,Table3[[#Headers],[#Data]],5,FALSE)</f>
        <v>SELL0088</v>
      </c>
      <c r="F563" t="str">
        <f>VLOOKUP(E563,Table2[[#Headers],[#Data],[seller_id]:[seller_user]],2,FALSE)</f>
        <v>7ti9lfa6h5</v>
      </c>
      <c r="G563">
        <v>1</v>
      </c>
      <c r="H563">
        <f t="shared" si="8"/>
        <v>33.89</v>
      </c>
    </row>
    <row r="564" spans="1:8" x14ac:dyDescent="0.3">
      <c r="A564" t="str">
        <f>VLOOKUP(B564,Table3[[#Headers],[#Data]],3,FALSE)</f>
        <v>Gift_Sets</v>
      </c>
      <c r="B564" t="s">
        <v>728</v>
      </c>
      <c r="C564">
        <f>VLOOKUP(B564,Table3[[#Headers],[#Data]],4, FALSE)</f>
        <v>33.89</v>
      </c>
      <c r="D564" t="str">
        <f>VLOOKUP('Rough data'!B564,Table3[[#Headers],[#Data]],2,FALSE)</f>
        <v>Mini Plant Starter Kit (Diasy)</v>
      </c>
      <c r="E564" t="str">
        <f>VLOOKUP(B564,Table3[[#Headers],[#Data]],5,FALSE)</f>
        <v>SELL0088</v>
      </c>
      <c r="F564" t="str">
        <f>VLOOKUP(E564,Table2[[#Headers],[#Data],[seller_id]:[seller_user]],2,FALSE)</f>
        <v>7ti9lfa6h5</v>
      </c>
      <c r="G564">
        <v>2</v>
      </c>
      <c r="H564">
        <f t="shared" si="8"/>
        <v>67.78</v>
      </c>
    </row>
    <row r="565" spans="1:8" x14ac:dyDescent="0.3">
      <c r="A565" t="str">
        <f>VLOOKUP(B565,Table3[[#Headers],[#Data]],3,FALSE)</f>
        <v>Gift_Sets</v>
      </c>
      <c r="B565" t="s">
        <v>732</v>
      </c>
      <c r="C565">
        <f>VLOOKUP(B565,Table3[[#Headers],[#Data]],4, FALSE)</f>
        <v>32.71</v>
      </c>
      <c r="D565" t="str">
        <f>VLOOKUP('Rough data'!B565,Table3[[#Headers],[#Data]],2,FALSE)</f>
        <v>Luxury Skincare Set Moisturiser Bath Bomb</v>
      </c>
      <c r="E565" t="str">
        <f>VLOOKUP(B565,Table3[[#Headers],[#Data]],5,FALSE)</f>
        <v>SELL0088</v>
      </c>
      <c r="F565" t="str">
        <f>VLOOKUP(E565,Table2[[#Headers],[#Data],[seller_id]:[seller_user]],2,FALSE)</f>
        <v>7ti9lfa6h5</v>
      </c>
      <c r="G565">
        <v>1</v>
      </c>
      <c r="H565">
        <f t="shared" si="8"/>
        <v>32.71</v>
      </c>
    </row>
    <row r="566" spans="1:8" x14ac:dyDescent="0.3">
      <c r="A566" t="str">
        <f>VLOOKUP(B566,Table3[[#Headers],[#Data]],3,FALSE)</f>
        <v>Gift_Sets</v>
      </c>
      <c r="B566" t="s">
        <v>734</v>
      </c>
      <c r="C566">
        <f>VLOOKUP(B566,Table3[[#Headers],[#Data]],4, FALSE)</f>
        <v>24.26</v>
      </c>
      <c r="D566" t="str">
        <f>VLOOKUP('Rough data'!B566,Table3[[#Headers],[#Data]],2,FALSE)</f>
        <v>Fruity Mango Bath Gel Gift Set</v>
      </c>
      <c r="E566" t="str">
        <f>VLOOKUP(B566,Table3[[#Headers],[#Data]],5,FALSE)</f>
        <v>SELL0088</v>
      </c>
      <c r="F566" t="str">
        <f>VLOOKUP(E566,Table2[[#Headers],[#Data],[seller_id]:[seller_user]],2,FALSE)</f>
        <v>7ti9lfa6h5</v>
      </c>
      <c r="G566">
        <v>2</v>
      </c>
      <c r="H566">
        <f t="shared" si="8"/>
        <v>48.52</v>
      </c>
    </row>
    <row r="567" spans="1:8" x14ac:dyDescent="0.3">
      <c r="A567" t="str">
        <f>VLOOKUP(B567,Table3[[#Headers],[#Data]],3,FALSE)</f>
        <v>Gift_Sets</v>
      </c>
      <c r="B567" t="s">
        <v>734</v>
      </c>
      <c r="C567">
        <f>VLOOKUP(B567,Table3[[#Headers],[#Data]],4, FALSE)</f>
        <v>24.26</v>
      </c>
      <c r="D567" t="str">
        <f>VLOOKUP('Rough data'!B567,Table3[[#Headers],[#Data]],2,FALSE)</f>
        <v>Fruity Mango Bath Gel Gift Set</v>
      </c>
      <c r="E567" t="str">
        <f>VLOOKUP(B567,Table3[[#Headers],[#Data]],5,FALSE)</f>
        <v>SELL0088</v>
      </c>
      <c r="F567" t="str">
        <f>VLOOKUP(E567,Table2[[#Headers],[#Data],[seller_id]:[seller_user]],2,FALSE)</f>
        <v>7ti9lfa6h5</v>
      </c>
      <c r="G567">
        <v>1</v>
      </c>
      <c r="H567">
        <f t="shared" si="8"/>
        <v>24.26</v>
      </c>
    </row>
    <row r="568" spans="1:8" x14ac:dyDescent="0.3">
      <c r="A568" t="str">
        <f>VLOOKUP(B568,Table3[[#Headers],[#Data]],3,FALSE)</f>
        <v>Home</v>
      </c>
      <c r="B568" t="s">
        <v>740</v>
      </c>
      <c r="C568">
        <f>VLOOKUP(B568,Table3[[#Headers],[#Data]],4, FALSE)</f>
        <v>49.8</v>
      </c>
      <c r="D568" t="str">
        <f>VLOOKUP('Rough data'!B568,Table3[[#Headers],[#Data]],2,FALSE)</f>
        <v>Vase Ceramic Sand Finish Navy</v>
      </c>
      <c r="E568" t="str">
        <f>VLOOKUP(B568,Table3[[#Headers],[#Data]],5,FALSE)</f>
        <v>SELL0027</v>
      </c>
      <c r="F568" t="str">
        <f>VLOOKUP(E568,Table2[[#Headers],[#Data],[seller_id]:[seller_user]],2,FALSE)</f>
        <v>home458</v>
      </c>
      <c r="G568">
        <v>1</v>
      </c>
      <c r="H568">
        <f t="shared" si="8"/>
        <v>49.8</v>
      </c>
    </row>
    <row r="569" spans="1:8" x14ac:dyDescent="0.3">
      <c r="A569" t="str">
        <f>VLOOKUP(B569,Table3[[#Headers],[#Data]],3,FALSE)</f>
        <v>Gift_Sets</v>
      </c>
      <c r="B569" t="s">
        <v>742</v>
      </c>
      <c r="C569">
        <f>VLOOKUP(B569,Table3[[#Headers],[#Data]],4, FALSE)</f>
        <v>32.89</v>
      </c>
      <c r="D569" t="str">
        <f>VLOOKUP('Rough data'!B569,Table3[[#Headers],[#Data]],2,FALSE)</f>
        <v>Baby Shower Gift Bundle (Blue)</v>
      </c>
      <c r="E569" t="str">
        <f>VLOOKUP(B569,Table3[[#Headers],[#Data]],5,FALSE)</f>
        <v>SELL0088</v>
      </c>
      <c r="F569" t="str">
        <f>VLOOKUP(E569,Table2[[#Headers],[#Data],[seller_id]:[seller_user]],2,FALSE)</f>
        <v>7ti9lfa6h5</v>
      </c>
      <c r="G569">
        <v>1</v>
      </c>
      <c r="H569">
        <f t="shared" si="8"/>
        <v>32.89</v>
      </c>
    </row>
    <row r="570" spans="1:8" x14ac:dyDescent="0.3">
      <c r="A570" t="str">
        <f>VLOOKUP(B570,Table3[[#Headers],[#Data]],3,FALSE)</f>
        <v>Gift_Sets</v>
      </c>
      <c r="B570" t="s">
        <v>744</v>
      </c>
      <c r="C570">
        <f>VLOOKUP(B570,Table3[[#Headers],[#Data]],4, FALSE)</f>
        <v>32.99</v>
      </c>
      <c r="D570" t="str">
        <f>VLOOKUP('Rough data'!B570,Table3[[#Headers],[#Data]],2,FALSE)</f>
        <v>Baby Shower Gift Bundle (Yellow)</v>
      </c>
      <c r="E570" t="str">
        <f>VLOOKUP(B570,Table3[[#Headers],[#Data]],5,FALSE)</f>
        <v>SELL0088</v>
      </c>
      <c r="F570" t="str">
        <f>VLOOKUP(E570,Table2[[#Headers],[#Data],[seller_id]:[seller_user]],2,FALSE)</f>
        <v>7ti9lfa6h5</v>
      </c>
      <c r="G570">
        <v>1</v>
      </c>
      <c r="H570">
        <f t="shared" si="8"/>
        <v>32.99</v>
      </c>
    </row>
    <row r="571" spans="1:8" x14ac:dyDescent="0.3">
      <c r="A571" t="str">
        <f>VLOOKUP(B571,Table3[[#Headers],[#Data]],3,FALSE)</f>
        <v>Gift_Sets</v>
      </c>
      <c r="B571" t="s">
        <v>746</v>
      </c>
      <c r="C571">
        <f>VLOOKUP(B571,Table3[[#Headers],[#Data]],4, FALSE)</f>
        <v>32.299999999999997</v>
      </c>
      <c r="D571" t="str">
        <f>VLOOKUP('Rough data'!B571,Table3[[#Headers],[#Data]],2,FALSE)</f>
        <v>Mens Cologne Gift Set Tester Bottles</v>
      </c>
      <c r="E571" t="str">
        <f>VLOOKUP(B571,Table3[[#Headers],[#Data]],5,FALSE)</f>
        <v>SELL0088</v>
      </c>
      <c r="F571" t="str">
        <f>VLOOKUP(E571,Table2[[#Headers],[#Data],[seller_id]:[seller_user]],2,FALSE)</f>
        <v>7ti9lfa6h5</v>
      </c>
      <c r="G571">
        <v>1</v>
      </c>
      <c r="H571">
        <f t="shared" si="8"/>
        <v>32.299999999999997</v>
      </c>
    </row>
    <row r="572" spans="1:8" x14ac:dyDescent="0.3">
      <c r="A572" t="str">
        <f>VLOOKUP(B572,Table3[[#Headers],[#Data]],3,FALSE)</f>
        <v>Gift_Sets</v>
      </c>
      <c r="B572" t="s">
        <v>746</v>
      </c>
      <c r="C572">
        <f>VLOOKUP(B572,Table3[[#Headers],[#Data]],4, FALSE)</f>
        <v>32.299999999999997</v>
      </c>
      <c r="D572" t="str">
        <f>VLOOKUP('Rough data'!B572,Table3[[#Headers],[#Data]],2,FALSE)</f>
        <v>Mens Cologne Gift Set Tester Bottles</v>
      </c>
      <c r="E572" t="str">
        <f>VLOOKUP(B572,Table3[[#Headers],[#Data]],5,FALSE)</f>
        <v>SELL0088</v>
      </c>
      <c r="F572" t="str">
        <f>VLOOKUP(E572,Table2[[#Headers],[#Data],[seller_id]:[seller_user]],2,FALSE)</f>
        <v>7ti9lfa6h5</v>
      </c>
      <c r="G572">
        <v>1</v>
      </c>
      <c r="H572">
        <f t="shared" si="8"/>
        <v>32.299999999999997</v>
      </c>
    </row>
    <row r="573" spans="1:8" x14ac:dyDescent="0.3">
      <c r="A573" t="str">
        <f>VLOOKUP(B573,Table3[[#Headers],[#Data]],3,FALSE)</f>
        <v>Gift_Sets</v>
      </c>
      <c r="B573" t="s">
        <v>746</v>
      </c>
      <c r="C573">
        <f>VLOOKUP(B573,Table3[[#Headers],[#Data]],4, FALSE)</f>
        <v>32.299999999999997</v>
      </c>
      <c r="D573" t="str">
        <f>VLOOKUP('Rough data'!B573,Table3[[#Headers],[#Data]],2,FALSE)</f>
        <v>Mens Cologne Gift Set Tester Bottles</v>
      </c>
      <c r="E573" t="str">
        <f>VLOOKUP(B573,Table3[[#Headers],[#Data]],5,FALSE)</f>
        <v>SELL0088</v>
      </c>
      <c r="F573" t="str">
        <f>VLOOKUP(E573,Table2[[#Headers],[#Data],[seller_id]:[seller_user]],2,FALSE)</f>
        <v>7ti9lfa6h5</v>
      </c>
      <c r="G573">
        <v>1</v>
      </c>
      <c r="H573">
        <f t="shared" si="8"/>
        <v>32.299999999999997</v>
      </c>
    </row>
    <row r="574" spans="1:8" x14ac:dyDescent="0.3">
      <c r="A574" t="str">
        <f>VLOOKUP(B574,Table3[[#Headers],[#Data]],3,FALSE)</f>
        <v>Health</v>
      </c>
      <c r="B574" t="s">
        <v>748</v>
      </c>
      <c r="C574">
        <f>VLOOKUP(B574,Table3[[#Headers],[#Data]],4, FALSE)</f>
        <v>75.05</v>
      </c>
      <c r="D574" t="str">
        <f>VLOOKUP('Rough data'!B574,Table3[[#Headers],[#Data]],2,FALSE)</f>
        <v>Blood Pressure Monitor bluetooth</v>
      </c>
      <c r="E574" t="str">
        <f>VLOOKUP(B574,Table3[[#Headers],[#Data]],5,FALSE)</f>
        <v>SELL0089</v>
      </c>
      <c r="F574" t="str">
        <f>VLOOKUP(E574,Table2[[#Headers],[#Data],[seller_id]:[seller_user]],2,FALSE)</f>
        <v>pyrurodqk4</v>
      </c>
      <c r="G574">
        <v>1</v>
      </c>
      <c r="H574">
        <f t="shared" si="8"/>
        <v>75.05</v>
      </c>
    </row>
    <row r="575" spans="1:8" x14ac:dyDescent="0.3">
      <c r="A575" t="str">
        <f>VLOOKUP(B575,Table3[[#Headers],[#Data]],3,FALSE)</f>
        <v>Health</v>
      </c>
      <c r="B575" t="s">
        <v>748</v>
      </c>
      <c r="C575">
        <f>VLOOKUP(B575,Table3[[#Headers],[#Data]],4, FALSE)</f>
        <v>75.05</v>
      </c>
      <c r="D575" t="str">
        <f>VLOOKUP('Rough data'!B575,Table3[[#Headers],[#Data]],2,FALSE)</f>
        <v>Blood Pressure Monitor bluetooth</v>
      </c>
      <c r="E575" t="str">
        <f>VLOOKUP(B575,Table3[[#Headers],[#Data]],5,FALSE)</f>
        <v>SELL0089</v>
      </c>
      <c r="F575" t="str">
        <f>VLOOKUP(E575,Table2[[#Headers],[#Data],[seller_id]:[seller_user]],2,FALSE)</f>
        <v>pyrurodqk4</v>
      </c>
      <c r="G575">
        <v>1</v>
      </c>
      <c r="H575">
        <f t="shared" si="8"/>
        <v>75.05</v>
      </c>
    </row>
    <row r="576" spans="1:8" x14ac:dyDescent="0.3">
      <c r="A576" t="str">
        <f>VLOOKUP(B576,Table3[[#Headers],[#Data]],3,FALSE)</f>
        <v>Health</v>
      </c>
      <c r="B576" t="s">
        <v>753</v>
      </c>
      <c r="C576">
        <f>VLOOKUP(B576,Table3[[#Headers],[#Data]],4, FALSE)</f>
        <v>70.97</v>
      </c>
      <c r="D576" t="str">
        <f>VLOOKUP('Rough data'!B576,Table3[[#Headers],[#Data]],2,FALSE)</f>
        <v>Smartwatch Health Tracking</v>
      </c>
      <c r="E576" t="str">
        <f>VLOOKUP(B576,Table3[[#Headers],[#Data]],5,FALSE)</f>
        <v>SELL0089</v>
      </c>
      <c r="F576" t="str">
        <f>VLOOKUP(E576,Table2[[#Headers],[#Data],[seller_id]:[seller_user]],2,FALSE)</f>
        <v>pyrurodqk4</v>
      </c>
      <c r="G576">
        <v>1</v>
      </c>
      <c r="H576">
        <f t="shared" si="8"/>
        <v>70.97</v>
      </c>
    </row>
    <row r="577" spans="1:8" x14ac:dyDescent="0.3">
      <c r="A577" t="str">
        <f>VLOOKUP(B577,Table3[[#Headers],[#Data]],3,FALSE)</f>
        <v>Health</v>
      </c>
      <c r="B577" t="s">
        <v>759</v>
      </c>
      <c r="C577">
        <f>VLOOKUP(B577,Table3[[#Headers],[#Data]],4, FALSE)</f>
        <v>77.56</v>
      </c>
      <c r="D577" t="str">
        <f>VLOOKUP('Rough data'!B577,Table3[[#Headers],[#Data]],2,FALSE)</f>
        <v>Yoga Mat - 10mm Thick (Green)</v>
      </c>
      <c r="E577" t="str">
        <f>VLOOKUP(B577,Table3[[#Headers],[#Data]],5,FALSE)</f>
        <v>SELL0089</v>
      </c>
      <c r="F577" t="str">
        <f>VLOOKUP(E577,Table2[[#Headers],[#Data],[seller_id]:[seller_user]],2,FALSE)</f>
        <v>pyrurodqk4</v>
      </c>
      <c r="G577">
        <v>2</v>
      </c>
      <c r="H577">
        <f t="shared" si="8"/>
        <v>155.12</v>
      </c>
    </row>
    <row r="578" spans="1:8" x14ac:dyDescent="0.3">
      <c r="A578" t="str">
        <f>VLOOKUP(B578,Table3[[#Headers],[#Data]],3,FALSE)</f>
        <v>Health</v>
      </c>
      <c r="B578" t="s">
        <v>760</v>
      </c>
      <c r="C578">
        <f>VLOOKUP(B578,Table3[[#Headers],[#Data]],4, FALSE)</f>
        <v>23.35</v>
      </c>
      <c r="D578" t="str">
        <f>VLOOKUP('Rough data'!B578,Table3[[#Headers],[#Data]],2,FALSE)</f>
        <v>Adjustable Dumbbell 10kg</v>
      </c>
      <c r="E578" t="str">
        <f>VLOOKUP(B578,Table3[[#Headers],[#Data]],5,FALSE)</f>
        <v>SELL0051</v>
      </c>
      <c r="F578" t="str">
        <f>VLOOKUP(E578,Table2[[#Headers],[#Data],[seller_id]:[seller_user]],2,FALSE)</f>
        <v>healthway</v>
      </c>
      <c r="G578">
        <v>1</v>
      </c>
      <c r="H578">
        <f t="shared" ref="H578:H641" si="9">G578*C578</f>
        <v>23.35</v>
      </c>
    </row>
    <row r="579" spans="1:8" x14ac:dyDescent="0.3">
      <c r="A579" t="str">
        <f>VLOOKUP(B579,Table3[[#Headers],[#Data]],3,FALSE)</f>
        <v>Health</v>
      </c>
      <c r="B579" t="s">
        <v>760</v>
      </c>
      <c r="C579">
        <f>VLOOKUP(B579,Table3[[#Headers],[#Data]],4, FALSE)</f>
        <v>23.35</v>
      </c>
      <c r="D579" t="str">
        <f>VLOOKUP('Rough data'!B579,Table3[[#Headers],[#Data]],2,FALSE)</f>
        <v>Adjustable Dumbbell 10kg</v>
      </c>
      <c r="E579" t="str">
        <f>VLOOKUP(B579,Table3[[#Headers],[#Data]],5,FALSE)</f>
        <v>SELL0051</v>
      </c>
      <c r="F579" t="str">
        <f>VLOOKUP(E579,Table2[[#Headers],[#Data],[seller_id]:[seller_user]],2,FALSE)</f>
        <v>healthway</v>
      </c>
      <c r="G579">
        <v>2</v>
      </c>
      <c r="H579">
        <f t="shared" si="9"/>
        <v>46.7</v>
      </c>
    </row>
    <row r="580" spans="1:8" x14ac:dyDescent="0.3">
      <c r="A580" t="str">
        <f>VLOOKUP(B580,Table3[[#Headers],[#Data]],3,FALSE)</f>
        <v>Health</v>
      </c>
      <c r="B580" t="s">
        <v>760</v>
      </c>
      <c r="C580">
        <f>VLOOKUP(B580,Table3[[#Headers],[#Data]],4, FALSE)</f>
        <v>23.35</v>
      </c>
      <c r="D580" t="str">
        <f>VLOOKUP('Rough data'!B580,Table3[[#Headers],[#Data]],2,FALSE)</f>
        <v>Adjustable Dumbbell 10kg</v>
      </c>
      <c r="E580" t="str">
        <f>VLOOKUP(B580,Table3[[#Headers],[#Data]],5,FALSE)</f>
        <v>SELL0051</v>
      </c>
      <c r="F580" t="str">
        <f>VLOOKUP(E580,Table2[[#Headers],[#Data],[seller_id]:[seller_user]],2,FALSE)</f>
        <v>healthway</v>
      </c>
      <c r="G580">
        <v>1</v>
      </c>
      <c r="H580">
        <f t="shared" si="9"/>
        <v>23.35</v>
      </c>
    </row>
    <row r="581" spans="1:8" x14ac:dyDescent="0.3">
      <c r="A581" t="str">
        <f>VLOOKUP(B581,Table3[[#Headers],[#Data]],3,FALSE)</f>
        <v>Health</v>
      </c>
      <c r="B581" t="s">
        <v>760</v>
      </c>
      <c r="C581">
        <f>VLOOKUP(B581,Table3[[#Headers],[#Data]],4, FALSE)</f>
        <v>23.35</v>
      </c>
      <c r="D581" t="str">
        <f>VLOOKUP('Rough data'!B581,Table3[[#Headers],[#Data]],2,FALSE)</f>
        <v>Adjustable Dumbbell 10kg</v>
      </c>
      <c r="E581" t="str">
        <f>VLOOKUP(B581,Table3[[#Headers],[#Data]],5,FALSE)</f>
        <v>SELL0051</v>
      </c>
      <c r="F581" t="str">
        <f>VLOOKUP(E581,Table2[[#Headers],[#Data],[seller_id]:[seller_user]],2,FALSE)</f>
        <v>healthway</v>
      </c>
      <c r="G581">
        <v>1</v>
      </c>
      <c r="H581">
        <f t="shared" si="9"/>
        <v>23.35</v>
      </c>
    </row>
    <row r="582" spans="1:8" x14ac:dyDescent="0.3">
      <c r="A582" t="str">
        <f>VLOOKUP(B582,Table3[[#Headers],[#Data]],3,FALSE)</f>
        <v>Health</v>
      </c>
      <c r="B582" t="s">
        <v>764</v>
      </c>
      <c r="C582">
        <f>VLOOKUP(B582,Table3[[#Headers],[#Data]],4, FALSE)</f>
        <v>60.86</v>
      </c>
      <c r="D582" t="str">
        <f>VLOOKUP('Rough data'!B582,Table3[[#Headers],[#Data]],2,FALSE)</f>
        <v>Adjustable Dumbbell 12kg</v>
      </c>
      <c r="E582" t="str">
        <f>VLOOKUP(B582,Table3[[#Headers],[#Data]],5,FALSE)</f>
        <v>SELL0051</v>
      </c>
      <c r="F582" t="str">
        <f>VLOOKUP(E582,Table2[[#Headers],[#Data],[seller_id]:[seller_user]],2,FALSE)</f>
        <v>healthway</v>
      </c>
      <c r="G582">
        <v>1</v>
      </c>
      <c r="H582">
        <f t="shared" si="9"/>
        <v>60.86</v>
      </c>
    </row>
    <row r="583" spans="1:8" x14ac:dyDescent="0.3">
      <c r="A583" t="str">
        <f>VLOOKUP(B583,Table3[[#Headers],[#Data]],3,FALSE)</f>
        <v>Health</v>
      </c>
      <c r="B583" t="s">
        <v>764</v>
      </c>
      <c r="C583">
        <f>VLOOKUP(B583,Table3[[#Headers],[#Data]],4, FALSE)</f>
        <v>60.86</v>
      </c>
      <c r="D583" t="str">
        <f>VLOOKUP('Rough data'!B583,Table3[[#Headers],[#Data]],2,FALSE)</f>
        <v>Adjustable Dumbbell 12kg</v>
      </c>
      <c r="E583" t="str">
        <f>VLOOKUP(B583,Table3[[#Headers],[#Data]],5,FALSE)</f>
        <v>SELL0051</v>
      </c>
      <c r="F583" t="str">
        <f>VLOOKUP(E583,Table2[[#Headers],[#Data],[seller_id]:[seller_user]],2,FALSE)</f>
        <v>healthway</v>
      </c>
      <c r="G583">
        <v>1</v>
      </c>
      <c r="H583">
        <f t="shared" si="9"/>
        <v>60.86</v>
      </c>
    </row>
    <row r="584" spans="1:8" x14ac:dyDescent="0.3">
      <c r="A584" t="str">
        <f>VLOOKUP(B584,Table3[[#Headers],[#Data]],3,FALSE)</f>
        <v>Health</v>
      </c>
      <c r="B584" t="s">
        <v>764</v>
      </c>
      <c r="C584">
        <f>VLOOKUP(B584,Table3[[#Headers],[#Data]],4, FALSE)</f>
        <v>60.86</v>
      </c>
      <c r="D584" t="str">
        <f>VLOOKUP('Rough data'!B584,Table3[[#Headers],[#Data]],2,FALSE)</f>
        <v>Adjustable Dumbbell 12kg</v>
      </c>
      <c r="E584" t="str">
        <f>VLOOKUP(B584,Table3[[#Headers],[#Data]],5,FALSE)</f>
        <v>SELL0051</v>
      </c>
      <c r="F584" t="str">
        <f>VLOOKUP(E584,Table2[[#Headers],[#Data],[seller_id]:[seller_user]],2,FALSE)</f>
        <v>healthway</v>
      </c>
      <c r="G584">
        <v>1</v>
      </c>
      <c r="H584">
        <f t="shared" si="9"/>
        <v>60.86</v>
      </c>
    </row>
    <row r="585" spans="1:8" x14ac:dyDescent="0.3">
      <c r="A585" t="str">
        <f>VLOOKUP(B585,Table3[[#Headers],[#Data]],3,FALSE)</f>
        <v>Health</v>
      </c>
      <c r="B585" t="s">
        <v>766</v>
      </c>
      <c r="C585">
        <f>VLOOKUP(B585,Table3[[#Headers],[#Data]],4, FALSE)</f>
        <v>77.97</v>
      </c>
      <c r="D585" t="str">
        <f>VLOOKUP('Rough data'!B585,Table3[[#Headers],[#Data]],2,FALSE)</f>
        <v>Adjustable Dumbbell 20kg</v>
      </c>
      <c r="E585" t="str">
        <f>VLOOKUP(B585,Table3[[#Headers],[#Data]],5,FALSE)</f>
        <v>SELL0051</v>
      </c>
      <c r="F585" t="str">
        <f>VLOOKUP(E585,Table2[[#Headers],[#Data],[seller_id]:[seller_user]],2,FALSE)</f>
        <v>healthway</v>
      </c>
      <c r="G585">
        <v>1</v>
      </c>
      <c r="H585">
        <f t="shared" si="9"/>
        <v>77.97</v>
      </c>
    </row>
    <row r="586" spans="1:8" x14ac:dyDescent="0.3">
      <c r="A586" t="str">
        <f>VLOOKUP(B586,Table3[[#Headers],[#Data]],3,FALSE)</f>
        <v>Health</v>
      </c>
      <c r="B586" t="s">
        <v>768</v>
      </c>
      <c r="C586">
        <f>VLOOKUP(B586,Table3[[#Headers],[#Data]],4, FALSE)</f>
        <v>60.93</v>
      </c>
      <c r="D586" t="str">
        <f>VLOOKUP('Rough data'!B586,Table3[[#Headers],[#Data]],2,FALSE)</f>
        <v>Adjustable Dumbbell 25kg</v>
      </c>
      <c r="E586" t="str">
        <f>VLOOKUP(B586,Table3[[#Headers],[#Data]],5,FALSE)</f>
        <v>SELL0051</v>
      </c>
      <c r="F586" t="str">
        <f>VLOOKUP(E586,Table2[[#Headers],[#Data],[seller_id]:[seller_user]],2,FALSE)</f>
        <v>healthway</v>
      </c>
      <c r="G586">
        <v>1</v>
      </c>
      <c r="H586">
        <f t="shared" si="9"/>
        <v>60.93</v>
      </c>
    </row>
    <row r="587" spans="1:8" x14ac:dyDescent="0.3">
      <c r="A587" t="str">
        <f>VLOOKUP(B587,Table3[[#Headers],[#Data]],3,FALSE)</f>
        <v>Health</v>
      </c>
      <c r="B587" t="s">
        <v>770</v>
      </c>
      <c r="C587">
        <f>VLOOKUP(B587,Table3[[#Headers],[#Data]],4, FALSE)</f>
        <v>32.81</v>
      </c>
      <c r="D587" t="str">
        <f>VLOOKUP('Rough data'!B587,Table3[[#Headers],[#Data]],2,FALSE)</f>
        <v>Protein Shaker Bottle 600ml</v>
      </c>
      <c r="E587" t="str">
        <f>VLOOKUP(B587,Table3[[#Headers],[#Data]],5,FALSE)</f>
        <v>SELL0051</v>
      </c>
      <c r="F587" t="str">
        <f>VLOOKUP(E587,Table2[[#Headers],[#Data],[seller_id]:[seller_user]],2,FALSE)</f>
        <v>healthway</v>
      </c>
      <c r="G587">
        <v>1</v>
      </c>
      <c r="H587">
        <f t="shared" si="9"/>
        <v>32.81</v>
      </c>
    </row>
    <row r="588" spans="1:8" x14ac:dyDescent="0.3">
      <c r="A588" t="str">
        <f>VLOOKUP(B588,Table3[[#Headers],[#Data]],3,FALSE)</f>
        <v>Health</v>
      </c>
      <c r="B588" t="s">
        <v>772</v>
      </c>
      <c r="C588">
        <f>VLOOKUP(B588,Table3[[#Headers],[#Data]],4, FALSE)</f>
        <v>32.93</v>
      </c>
      <c r="D588" t="str">
        <f>VLOOKUP('Rough data'!B588,Table3[[#Headers],[#Data]],2,FALSE)</f>
        <v>Protein Shaker Bottle 500ml</v>
      </c>
      <c r="E588" t="str">
        <f>VLOOKUP(B588,Table3[[#Headers],[#Data]],5,FALSE)</f>
        <v>SELL0051</v>
      </c>
      <c r="F588" t="str">
        <f>VLOOKUP(E588,Table2[[#Headers],[#Data],[seller_id]:[seller_user]],2,FALSE)</f>
        <v>healthway</v>
      </c>
      <c r="G588">
        <v>1</v>
      </c>
      <c r="H588">
        <f t="shared" si="9"/>
        <v>32.93</v>
      </c>
    </row>
    <row r="589" spans="1:8" x14ac:dyDescent="0.3">
      <c r="A589" t="str">
        <f>VLOOKUP(B589,Table3[[#Headers],[#Data]],3,FALSE)</f>
        <v>Health</v>
      </c>
      <c r="B589" t="s">
        <v>772</v>
      </c>
      <c r="C589">
        <f>VLOOKUP(B589,Table3[[#Headers],[#Data]],4, FALSE)</f>
        <v>32.93</v>
      </c>
      <c r="D589" t="str">
        <f>VLOOKUP('Rough data'!B589,Table3[[#Headers],[#Data]],2,FALSE)</f>
        <v>Protein Shaker Bottle 500ml</v>
      </c>
      <c r="E589" t="str">
        <f>VLOOKUP(B589,Table3[[#Headers],[#Data]],5,FALSE)</f>
        <v>SELL0051</v>
      </c>
      <c r="F589" t="str">
        <f>VLOOKUP(E589,Table2[[#Headers],[#Data],[seller_id]:[seller_user]],2,FALSE)</f>
        <v>healthway</v>
      </c>
      <c r="G589">
        <v>1</v>
      </c>
      <c r="H589">
        <f t="shared" si="9"/>
        <v>32.93</v>
      </c>
    </row>
    <row r="590" spans="1:8" x14ac:dyDescent="0.3">
      <c r="A590" t="str">
        <f>VLOOKUP(B590,Table3[[#Headers],[#Data]],3,FALSE)</f>
        <v>Health</v>
      </c>
      <c r="B590" t="s">
        <v>776</v>
      </c>
      <c r="C590">
        <f>VLOOKUP(B590,Table3[[#Headers],[#Data]],4, FALSE)</f>
        <v>34.46</v>
      </c>
      <c r="D590" t="str">
        <f>VLOOKUP('Rough data'!B590,Table3[[#Headers],[#Data]],2,FALSE)</f>
        <v>Protein Shaker Bottle 600ml</v>
      </c>
      <c r="E590" t="str">
        <f>VLOOKUP(B590,Table3[[#Headers],[#Data]],5,FALSE)</f>
        <v>SELL0066</v>
      </c>
      <c r="F590" t="str">
        <f>VLOOKUP(E590,Table2[[#Headers],[#Data],[seller_id]:[seller_user]],2,FALSE)</f>
        <v>healthcarehelp</v>
      </c>
      <c r="G590">
        <v>1</v>
      </c>
      <c r="H590">
        <f t="shared" si="9"/>
        <v>34.46</v>
      </c>
    </row>
    <row r="591" spans="1:8" x14ac:dyDescent="0.3">
      <c r="A591" t="str">
        <f>VLOOKUP(B591,Table3[[#Headers],[#Data]],3,FALSE)</f>
        <v>Beauty</v>
      </c>
      <c r="B591" t="s">
        <v>777</v>
      </c>
      <c r="C591">
        <f>VLOOKUP(B591,Table3[[#Headers],[#Data]],4, FALSE)</f>
        <v>15.83</v>
      </c>
      <c r="D591" t="str">
        <f>VLOOKUP('Rough data'!B591,Table3[[#Headers],[#Data]],2,FALSE)</f>
        <v>Hydrating Face Mist Vitamin E</v>
      </c>
      <c r="E591" t="str">
        <f>VLOOKUP(B591,Table3[[#Headers],[#Data]],5,FALSE)</f>
        <v>SELL0083</v>
      </c>
      <c r="F591" t="str">
        <f>VLOOKUP(E591,Table2[[#Headers],[#Data],[seller_id]:[seller_user]],2,FALSE)</f>
        <v>makeupped</v>
      </c>
      <c r="G591">
        <v>1</v>
      </c>
      <c r="H591">
        <f t="shared" si="9"/>
        <v>15.83</v>
      </c>
    </row>
    <row r="592" spans="1:8" x14ac:dyDescent="0.3">
      <c r="A592" t="str">
        <f>VLOOKUP(B592,Table3[[#Headers],[#Data]],3,FALSE)</f>
        <v>Beauty</v>
      </c>
      <c r="B592" t="s">
        <v>777</v>
      </c>
      <c r="C592">
        <f>VLOOKUP(B592,Table3[[#Headers],[#Data]],4, FALSE)</f>
        <v>15.83</v>
      </c>
      <c r="D592" t="str">
        <f>VLOOKUP('Rough data'!B592,Table3[[#Headers],[#Data]],2,FALSE)</f>
        <v>Hydrating Face Mist Vitamin E</v>
      </c>
      <c r="E592" t="str">
        <f>VLOOKUP(B592,Table3[[#Headers],[#Data]],5,FALSE)</f>
        <v>SELL0083</v>
      </c>
      <c r="F592" t="str">
        <f>VLOOKUP(E592,Table2[[#Headers],[#Data],[seller_id]:[seller_user]],2,FALSE)</f>
        <v>makeupped</v>
      </c>
      <c r="G592">
        <v>1</v>
      </c>
      <c r="H592">
        <f t="shared" si="9"/>
        <v>15.83</v>
      </c>
    </row>
    <row r="593" spans="1:8" x14ac:dyDescent="0.3">
      <c r="A593" t="str">
        <f>VLOOKUP(B593,Table3[[#Headers],[#Data]],3,FALSE)</f>
        <v>Beauty</v>
      </c>
      <c r="B593" t="s">
        <v>779</v>
      </c>
      <c r="C593">
        <f>VLOOKUP(B593,Table3[[#Headers],[#Data]],4, FALSE)</f>
        <v>13.58</v>
      </c>
      <c r="D593" t="str">
        <f>VLOOKUP('Rough data'!B593,Table3[[#Headers],[#Data]],2,FALSE)</f>
        <v>Nail Polish - Midnight Sky</v>
      </c>
      <c r="E593" t="str">
        <f>VLOOKUP(B593,Table3[[#Headers],[#Data]],5,FALSE)</f>
        <v>SELL0083</v>
      </c>
      <c r="F593" t="str">
        <f>VLOOKUP(E593,Table2[[#Headers],[#Data],[seller_id]:[seller_user]],2,FALSE)</f>
        <v>makeupped</v>
      </c>
      <c r="G593">
        <v>1</v>
      </c>
      <c r="H593">
        <f t="shared" si="9"/>
        <v>13.58</v>
      </c>
    </row>
    <row r="594" spans="1:8" x14ac:dyDescent="0.3">
      <c r="A594" t="str">
        <f>VLOOKUP(B594,Table3[[#Headers],[#Data]],3,FALSE)</f>
        <v>Beauty</v>
      </c>
      <c r="B594" t="s">
        <v>781</v>
      </c>
      <c r="C594">
        <f>VLOOKUP(B594,Table3[[#Headers],[#Data]],4, FALSE)</f>
        <v>17.829999999999998</v>
      </c>
      <c r="D594" t="str">
        <f>VLOOKUP('Rough data'!B594,Table3[[#Headers],[#Data]],2,FALSE)</f>
        <v>Aloe Vera Gel 500ml</v>
      </c>
      <c r="E594" t="str">
        <f>VLOOKUP(B594,Table3[[#Headers],[#Data]],5,FALSE)</f>
        <v>SELL0083</v>
      </c>
      <c r="F594" t="str">
        <f>VLOOKUP(E594,Table2[[#Headers],[#Data],[seller_id]:[seller_user]],2,FALSE)</f>
        <v>makeupped</v>
      </c>
      <c r="G594">
        <v>1</v>
      </c>
      <c r="H594">
        <f t="shared" si="9"/>
        <v>17.829999999999998</v>
      </c>
    </row>
    <row r="595" spans="1:8" x14ac:dyDescent="0.3">
      <c r="A595" t="str">
        <f>VLOOKUP(B595,Table3[[#Headers],[#Data]],3,FALSE)</f>
        <v>Beauty</v>
      </c>
      <c r="B595" t="s">
        <v>781</v>
      </c>
      <c r="C595">
        <f>VLOOKUP(B595,Table3[[#Headers],[#Data]],4, FALSE)</f>
        <v>17.829999999999998</v>
      </c>
      <c r="D595" t="str">
        <f>VLOOKUP('Rough data'!B595,Table3[[#Headers],[#Data]],2,FALSE)</f>
        <v>Aloe Vera Gel 500ml</v>
      </c>
      <c r="E595" t="str">
        <f>VLOOKUP(B595,Table3[[#Headers],[#Data]],5,FALSE)</f>
        <v>SELL0083</v>
      </c>
      <c r="F595" t="str">
        <f>VLOOKUP(E595,Table2[[#Headers],[#Data],[seller_id]:[seller_user]],2,FALSE)</f>
        <v>makeupped</v>
      </c>
      <c r="G595">
        <v>1</v>
      </c>
      <c r="H595">
        <f t="shared" si="9"/>
        <v>17.829999999999998</v>
      </c>
    </row>
    <row r="596" spans="1:8" x14ac:dyDescent="0.3">
      <c r="A596" t="str">
        <f>VLOOKUP(B596,Table3[[#Headers],[#Data]],3,FALSE)</f>
        <v>Beauty</v>
      </c>
      <c r="B596" t="s">
        <v>781</v>
      </c>
      <c r="C596">
        <f>VLOOKUP(B596,Table3[[#Headers],[#Data]],4, FALSE)</f>
        <v>17.829999999999998</v>
      </c>
      <c r="D596" t="str">
        <f>VLOOKUP('Rough data'!B596,Table3[[#Headers],[#Data]],2,FALSE)</f>
        <v>Aloe Vera Gel 500ml</v>
      </c>
      <c r="E596" t="str">
        <f>VLOOKUP(B596,Table3[[#Headers],[#Data]],5,FALSE)</f>
        <v>SELL0083</v>
      </c>
      <c r="F596" t="str">
        <f>VLOOKUP(E596,Table2[[#Headers],[#Data],[seller_id]:[seller_user]],2,FALSE)</f>
        <v>makeupped</v>
      </c>
      <c r="G596">
        <v>1</v>
      </c>
      <c r="H596">
        <f t="shared" si="9"/>
        <v>17.829999999999998</v>
      </c>
    </row>
    <row r="597" spans="1:8" x14ac:dyDescent="0.3">
      <c r="A597" t="str">
        <f>VLOOKUP(B597,Table3[[#Headers],[#Data]],3,FALSE)</f>
        <v>Health</v>
      </c>
      <c r="B597" t="s">
        <v>788</v>
      </c>
      <c r="C597">
        <f>VLOOKUP(B597,Table3[[#Headers],[#Data]],4, FALSE)</f>
        <v>43.01</v>
      </c>
      <c r="D597" t="str">
        <f>VLOOKUP('Rough data'!B597,Table3[[#Headers],[#Data]],2,FALSE)</f>
        <v>Foam Roller - Firm Black</v>
      </c>
      <c r="E597" t="str">
        <f>VLOOKUP(B597,Table3[[#Headers],[#Data]],5,FALSE)</f>
        <v>SELL0090</v>
      </c>
      <c r="F597" t="str">
        <f>VLOOKUP(E597,Table2[[#Headers],[#Data],[seller_id]:[seller_user]],2,FALSE)</f>
        <v>housenice</v>
      </c>
      <c r="G597">
        <v>1</v>
      </c>
      <c r="H597">
        <f t="shared" si="9"/>
        <v>43.01</v>
      </c>
    </row>
    <row r="598" spans="1:8" x14ac:dyDescent="0.3">
      <c r="A598" t="str">
        <f>VLOOKUP(B598,Table3[[#Headers],[#Data]],3,FALSE)</f>
        <v>Health</v>
      </c>
      <c r="B598" t="s">
        <v>796</v>
      </c>
      <c r="C598">
        <f>VLOOKUP(B598,Table3[[#Headers],[#Data]],4, FALSE)</f>
        <v>29.59</v>
      </c>
      <c r="D598" t="str">
        <f>VLOOKUP('Rough data'!B598,Table3[[#Headers],[#Data]],2,FALSE)</f>
        <v>Reusable Ice Pack (2 pack) (Grey)</v>
      </c>
      <c r="E598" t="str">
        <f>VLOOKUP(B598,Table3[[#Headers],[#Data]],5,FALSE)</f>
        <v>SELL0090</v>
      </c>
      <c r="F598" t="str">
        <f>VLOOKUP(E598,Table2[[#Headers],[#Data],[seller_id]:[seller_user]],2,FALSE)</f>
        <v>housenice</v>
      </c>
      <c r="G598">
        <v>1</v>
      </c>
      <c r="H598">
        <f t="shared" si="9"/>
        <v>29.59</v>
      </c>
    </row>
    <row r="599" spans="1:8" x14ac:dyDescent="0.3">
      <c r="A599" t="str">
        <f>VLOOKUP(B599,Table3[[#Headers],[#Data]],3,FALSE)</f>
        <v>Health</v>
      </c>
      <c r="B599" t="s">
        <v>796</v>
      </c>
      <c r="C599">
        <f>VLOOKUP(B599,Table3[[#Headers],[#Data]],4, FALSE)</f>
        <v>29.59</v>
      </c>
      <c r="D599" t="str">
        <f>VLOOKUP('Rough data'!B599,Table3[[#Headers],[#Data]],2,FALSE)</f>
        <v>Reusable Ice Pack (2 pack) (Grey)</v>
      </c>
      <c r="E599" t="str">
        <f>VLOOKUP(B599,Table3[[#Headers],[#Data]],5,FALSE)</f>
        <v>SELL0090</v>
      </c>
      <c r="F599" t="str">
        <f>VLOOKUP(E599,Table2[[#Headers],[#Data],[seller_id]:[seller_user]],2,FALSE)</f>
        <v>housenice</v>
      </c>
      <c r="G599">
        <v>2</v>
      </c>
      <c r="H599">
        <f t="shared" si="9"/>
        <v>59.18</v>
      </c>
    </row>
    <row r="600" spans="1:8" x14ac:dyDescent="0.3">
      <c r="A600" t="str">
        <f>VLOOKUP(B600,Table3[[#Headers],[#Data]],3,FALSE)</f>
        <v>Home</v>
      </c>
      <c r="B600" t="s">
        <v>797</v>
      </c>
      <c r="C600">
        <f>VLOOKUP(B600,Table3[[#Headers],[#Data]],4, FALSE)</f>
        <v>86.5</v>
      </c>
      <c r="D600" t="str">
        <f>VLOOKUP('Rough data'!B600,Table3[[#Headers],[#Data]],2,FALSE)</f>
        <v>Indoor Plant Pot - XL</v>
      </c>
      <c r="E600" t="str">
        <f>VLOOKUP(B600,Table3[[#Headers],[#Data]],5,FALSE)</f>
        <v>SELL0027</v>
      </c>
      <c r="F600" t="str">
        <f>VLOOKUP(E600,Table2[[#Headers],[#Data],[seller_id]:[seller_user]],2,FALSE)</f>
        <v>home458</v>
      </c>
      <c r="G600">
        <v>1</v>
      </c>
      <c r="H600">
        <f t="shared" si="9"/>
        <v>86.5</v>
      </c>
    </row>
    <row r="601" spans="1:8" x14ac:dyDescent="0.3">
      <c r="A601" t="str">
        <f>VLOOKUP(B601,Table3[[#Headers],[#Data]],3,FALSE)</f>
        <v>Home</v>
      </c>
      <c r="B601" t="s">
        <v>799</v>
      </c>
      <c r="C601">
        <f>VLOOKUP(B601,Table3[[#Headers],[#Data]],4, FALSE)</f>
        <v>20.79</v>
      </c>
      <c r="D601" t="str">
        <f>VLOOKUP('Rough data'!B601,Table3[[#Headers],[#Data]],2,FALSE)</f>
        <v>Silicone Laundry Basket - White</v>
      </c>
      <c r="E601" t="str">
        <f>VLOOKUP(B601,Table3[[#Headers],[#Data]],5,FALSE)</f>
        <v>SELL0027</v>
      </c>
      <c r="F601" t="str">
        <f>VLOOKUP(E601,Table2[[#Headers],[#Data],[seller_id]:[seller_user]],2,FALSE)</f>
        <v>home458</v>
      </c>
      <c r="G601">
        <v>1</v>
      </c>
      <c r="H601">
        <f t="shared" si="9"/>
        <v>20.79</v>
      </c>
    </row>
    <row r="602" spans="1:8" x14ac:dyDescent="0.3">
      <c r="A602" t="str">
        <f>VLOOKUP(B602,Table3[[#Headers],[#Data]],3,FALSE)</f>
        <v>Home</v>
      </c>
      <c r="B602" t="s">
        <v>799</v>
      </c>
      <c r="C602">
        <f>VLOOKUP(B602,Table3[[#Headers],[#Data]],4, FALSE)</f>
        <v>20.79</v>
      </c>
      <c r="D602" t="str">
        <f>VLOOKUP('Rough data'!B602,Table3[[#Headers],[#Data]],2,FALSE)</f>
        <v>Silicone Laundry Basket - White</v>
      </c>
      <c r="E602" t="str">
        <f>VLOOKUP(B602,Table3[[#Headers],[#Data]],5,FALSE)</f>
        <v>SELL0027</v>
      </c>
      <c r="F602" t="str">
        <f>VLOOKUP(E602,Table2[[#Headers],[#Data],[seller_id]:[seller_user]],2,FALSE)</f>
        <v>home458</v>
      </c>
      <c r="G602">
        <v>1</v>
      </c>
      <c r="H602">
        <f t="shared" si="9"/>
        <v>20.79</v>
      </c>
    </row>
    <row r="603" spans="1:8" x14ac:dyDescent="0.3">
      <c r="A603" t="str">
        <f>VLOOKUP(B603,Table3[[#Headers],[#Data]],3,FALSE)</f>
        <v>Home</v>
      </c>
      <c r="B603" t="s">
        <v>799</v>
      </c>
      <c r="C603">
        <f>VLOOKUP(B603,Table3[[#Headers],[#Data]],4, FALSE)</f>
        <v>20.79</v>
      </c>
      <c r="D603" t="str">
        <f>VLOOKUP('Rough data'!B603,Table3[[#Headers],[#Data]],2,FALSE)</f>
        <v>Silicone Laundry Basket - White</v>
      </c>
      <c r="E603" t="str">
        <f>VLOOKUP(B603,Table3[[#Headers],[#Data]],5,FALSE)</f>
        <v>SELL0027</v>
      </c>
      <c r="F603" t="str">
        <f>VLOOKUP(E603,Table2[[#Headers],[#Data],[seller_id]:[seller_user]],2,FALSE)</f>
        <v>home458</v>
      </c>
      <c r="G603">
        <v>1</v>
      </c>
      <c r="H603">
        <f t="shared" si="9"/>
        <v>20.79</v>
      </c>
    </row>
    <row r="604" spans="1:8" x14ac:dyDescent="0.3">
      <c r="A604" t="str">
        <f>VLOOKUP(B604,Table3[[#Headers],[#Data]],3,FALSE)</f>
        <v>Home</v>
      </c>
      <c r="B604" t="s">
        <v>803</v>
      </c>
      <c r="C604">
        <f>VLOOKUP(B604,Table3[[#Headers],[#Data]],4, FALSE)</f>
        <v>115.49</v>
      </c>
      <c r="D604" t="str">
        <f>VLOOKUP('Rough data'!B604,Table3[[#Headers],[#Data]],2,FALSE)</f>
        <v>Memory Foam Pillow Medium Firm</v>
      </c>
      <c r="E604" t="str">
        <f>VLOOKUP(B604,Table3[[#Headers],[#Data]],5,FALSE)</f>
        <v>SELL0027</v>
      </c>
      <c r="F604" t="str">
        <f>VLOOKUP(E604,Table2[[#Headers],[#Data],[seller_id]:[seller_user]],2,FALSE)</f>
        <v>home458</v>
      </c>
      <c r="G604">
        <v>1</v>
      </c>
      <c r="H604">
        <f t="shared" si="9"/>
        <v>115.49</v>
      </c>
    </row>
    <row r="605" spans="1:8" x14ac:dyDescent="0.3">
      <c r="A605" t="str">
        <f>VLOOKUP(B605,Table3[[#Headers],[#Data]],3,FALSE)</f>
        <v>Home</v>
      </c>
      <c r="B605" t="s">
        <v>803</v>
      </c>
      <c r="C605">
        <f>VLOOKUP(B605,Table3[[#Headers],[#Data]],4, FALSE)</f>
        <v>115.49</v>
      </c>
      <c r="D605" t="str">
        <f>VLOOKUP('Rough data'!B605,Table3[[#Headers],[#Data]],2,FALSE)</f>
        <v>Memory Foam Pillow Medium Firm</v>
      </c>
      <c r="E605" t="str">
        <f>VLOOKUP(B605,Table3[[#Headers],[#Data]],5,FALSE)</f>
        <v>SELL0027</v>
      </c>
      <c r="F605" t="str">
        <f>VLOOKUP(E605,Table2[[#Headers],[#Data],[seller_id]:[seller_user]],2,FALSE)</f>
        <v>home458</v>
      </c>
      <c r="G605">
        <v>1</v>
      </c>
      <c r="H605">
        <f t="shared" si="9"/>
        <v>115.49</v>
      </c>
    </row>
    <row r="606" spans="1:8" x14ac:dyDescent="0.3">
      <c r="A606" t="str">
        <f>VLOOKUP(B606,Table3[[#Headers],[#Data]],3,FALSE)</f>
        <v>Home</v>
      </c>
      <c r="B606" t="s">
        <v>805</v>
      </c>
      <c r="C606">
        <f>VLOOKUP(B606,Table3[[#Headers],[#Data]],4, FALSE)</f>
        <v>46.25</v>
      </c>
      <c r="D606" t="str">
        <f>VLOOKUP('Rough data'!B606,Table3[[#Headers],[#Data]],2,FALSE)</f>
        <v>Memory Foam Pillow Firm x 2</v>
      </c>
      <c r="E606" t="str">
        <f>VLOOKUP(B606,Table3[[#Headers],[#Data]],5,FALSE)</f>
        <v>SELL0027</v>
      </c>
      <c r="F606" t="str">
        <f>VLOOKUP(E606,Table2[[#Headers],[#Data],[seller_id]:[seller_user]],2,FALSE)</f>
        <v>home458</v>
      </c>
      <c r="G606">
        <v>2</v>
      </c>
      <c r="H606">
        <f t="shared" si="9"/>
        <v>92.5</v>
      </c>
    </row>
    <row r="607" spans="1:8" x14ac:dyDescent="0.3">
      <c r="A607" t="str">
        <f>VLOOKUP(B607,Table3[[#Headers],[#Data]],3,FALSE)</f>
        <v>Home</v>
      </c>
      <c r="B607" t="s">
        <v>807</v>
      </c>
      <c r="C607">
        <f>VLOOKUP(B607,Table3[[#Headers],[#Data]],4, FALSE)</f>
        <v>34.11</v>
      </c>
      <c r="D607" t="str">
        <f>VLOOKUP('Rough data'!B607,Table3[[#Headers],[#Data]],2,FALSE)</f>
        <v>Beeswax Candle - Mint Rosemary</v>
      </c>
      <c r="E607" t="str">
        <f>VLOOKUP(B607,Table3[[#Headers],[#Data]],5,FALSE)</f>
        <v>SELL0027</v>
      </c>
      <c r="F607" t="str">
        <f>VLOOKUP(E607,Table2[[#Headers],[#Data],[seller_id]:[seller_user]],2,FALSE)</f>
        <v>home458</v>
      </c>
      <c r="G607">
        <v>6</v>
      </c>
      <c r="H607">
        <f t="shared" si="9"/>
        <v>204.66</v>
      </c>
    </row>
    <row r="608" spans="1:8" x14ac:dyDescent="0.3">
      <c r="A608" t="str">
        <f>VLOOKUP(B608,Table3[[#Headers],[#Data]],3,FALSE)</f>
        <v>Home</v>
      </c>
      <c r="B608" t="s">
        <v>809</v>
      </c>
      <c r="C608">
        <f>VLOOKUP(B608,Table3[[#Headers],[#Data]],4, FALSE)</f>
        <v>29.46</v>
      </c>
      <c r="D608" t="str">
        <f>VLOOKUP('Rough data'!B608,Table3[[#Headers],[#Data]],2,FALSE)</f>
        <v>Cotton Bath Towels Navy</v>
      </c>
      <c r="E608" t="str">
        <f>VLOOKUP(B608,Table3[[#Headers],[#Data]],5,FALSE)</f>
        <v>SELL0090</v>
      </c>
      <c r="F608" t="str">
        <f>VLOOKUP(E608,Table2[[#Headers],[#Data],[seller_id]:[seller_user]],2,FALSE)</f>
        <v>housenice</v>
      </c>
      <c r="G608">
        <v>1</v>
      </c>
      <c r="H608">
        <f t="shared" si="9"/>
        <v>29.46</v>
      </c>
    </row>
    <row r="609" spans="1:8" x14ac:dyDescent="0.3">
      <c r="A609" t="str">
        <f>VLOOKUP(B609,Table3[[#Headers],[#Data]],3,FALSE)</f>
        <v>Home</v>
      </c>
      <c r="B609" t="s">
        <v>813</v>
      </c>
      <c r="C609">
        <f>VLOOKUP(B609,Table3[[#Headers],[#Data]],4, FALSE)</f>
        <v>29.92</v>
      </c>
      <c r="D609" t="str">
        <f>VLOOKUP('Rough data'!B609,Table3[[#Headers],[#Data]],2,FALSE)</f>
        <v>LED Floor Lamp Battery</v>
      </c>
      <c r="E609" t="str">
        <f>VLOOKUP(B609,Table3[[#Headers],[#Data]],5,FALSE)</f>
        <v>SELL0090</v>
      </c>
      <c r="F609" t="str">
        <f>VLOOKUP(E609,Table2[[#Headers],[#Data],[seller_id]:[seller_user]],2,FALSE)</f>
        <v>housenice</v>
      </c>
      <c r="G609">
        <v>2</v>
      </c>
      <c r="H609">
        <f t="shared" si="9"/>
        <v>59.84</v>
      </c>
    </row>
    <row r="610" spans="1:8" x14ac:dyDescent="0.3">
      <c r="A610" t="str">
        <f>VLOOKUP(B610,Table3[[#Headers],[#Data]],3,FALSE)</f>
        <v>Home</v>
      </c>
      <c r="B610" t="s">
        <v>813</v>
      </c>
      <c r="C610">
        <f>VLOOKUP(B610,Table3[[#Headers],[#Data]],4, FALSE)</f>
        <v>29.92</v>
      </c>
      <c r="D610" t="str">
        <f>VLOOKUP('Rough data'!B610,Table3[[#Headers],[#Data]],2,FALSE)</f>
        <v>LED Floor Lamp Battery</v>
      </c>
      <c r="E610" t="str">
        <f>VLOOKUP(B610,Table3[[#Headers],[#Data]],5,FALSE)</f>
        <v>SELL0090</v>
      </c>
      <c r="F610" t="str">
        <f>VLOOKUP(E610,Table2[[#Headers],[#Data],[seller_id]:[seller_user]],2,FALSE)</f>
        <v>housenice</v>
      </c>
      <c r="G610">
        <v>1</v>
      </c>
      <c r="H610">
        <f t="shared" si="9"/>
        <v>29.92</v>
      </c>
    </row>
    <row r="611" spans="1:8" x14ac:dyDescent="0.3">
      <c r="A611" t="str">
        <f>VLOOKUP(B611,Table3[[#Headers],[#Data]],3,FALSE)</f>
        <v>Home</v>
      </c>
      <c r="B611" t="s">
        <v>815</v>
      </c>
      <c r="C611">
        <f>VLOOKUP(B611,Table3[[#Headers],[#Data]],4, FALSE)</f>
        <v>101.55</v>
      </c>
      <c r="D611" t="str">
        <f>VLOOKUP('Rough data'!B611,Table3[[#Headers],[#Data]],2,FALSE)</f>
        <v>Ceramic Vase Grey Sand</v>
      </c>
      <c r="E611" t="str">
        <f>VLOOKUP(B611,Table3[[#Headers],[#Data]],5,FALSE)</f>
        <v>SELL0090</v>
      </c>
      <c r="F611" t="str">
        <f>VLOOKUP(E611,Table2[[#Headers],[#Data],[seller_id]:[seller_user]],2,FALSE)</f>
        <v>housenice</v>
      </c>
      <c r="G611">
        <v>1</v>
      </c>
      <c r="H611">
        <f t="shared" si="9"/>
        <v>101.55</v>
      </c>
    </row>
    <row r="612" spans="1:8" x14ac:dyDescent="0.3">
      <c r="A612" t="str">
        <f>VLOOKUP(B612,Table3[[#Headers],[#Data]],3,FALSE)</f>
        <v>Home</v>
      </c>
      <c r="B612" t="s">
        <v>815</v>
      </c>
      <c r="C612">
        <f>VLOOKUP(B612,Table3[[#Headers],[#Data]],4, FALSE)</f>
        <v>101.55</v>
      </c>
      <c r="D612" t="str">
        <f>VLOOKUP('Rough data'!B612,Table3[[#Headers],[#Data]],2,FALSE)</f>
        <v>Ceramic Vase Grey Sand</v>
      </c>
      <c r="E612" t="str">
        <f>VLOOKUP(B612,Table3[[#Headers],[#Data]],5,FALSE)</f>
        <v>SELL0090</v>
      </c>
      <c r="F612" t="str">
        <f>VLOOKUP(E612,Table2[[#Headers],[#Data],[seller_id]:[seller_user]],2,FALSE)</f>
        <v>housenice</v>
      </c>
      <c r="G612">
        <v>1</v>
      </c>
      <c r="H612">
        <f t="shared" si="9"/>
        <v>101.55</v>
      </c>
    </row>
    <row r="613" spans="1:8" x14ac:dyDescent="0.3">
      <c r="A613" t="str">
        <f>VLOOKUP(B613,Table3[[#Headers],[#Data]],3,FALSE)</f>
        <v>Home</v>
      </c>
      <c r="B613" t="s">
        <v>815</v>
      </c>
      <c r="C613">
        <f>VLOOKUP(B613,Table3[[#Headers],[#Data]],4, FALSE)</f>
        <v>101.55</v>
      </c>
      <c r="D613" t="str">
        <f>VLOOKUP('Rough data'!B613,Table3[[#Headers],[#Data]],2,FALSE)</f>
        <v>Ceramic Vase Grey Sand</v>
      </c>
      <c r="E613" t="str">
        <f>VLOOKUP(B613,Table3[[#Headers],[#Data]],5,FALSE)</f>
        <v>SELL0090</v>
      </c>
      <c r="F613" t="str">
        <f>VLOOKUP(E613,Table2[[#Headers],[#Data],[seller_id]:[seller_user]],2,FALSE)</f>
        <v>housenice</v>
      </c>
      <c r="G613">
        <v>1</v>
      </c>
      <c r="H613">
        <f t="shared" si="9"/>
        <v>101.55</v>
      </c>
    </row>
    <row r="614" spans="1:8" x14ac:dyDescent="0.3">
      <c r="A614" t="str">
        <f>VLOOKUP(B614,Table3[[#Headers],[#Data]],3,FALSE)</f>
        <v>Home</v>
      </c>
      <c r="B614" t="s">
        <v>817</v>
      </c>
      <c r="C614">
        <f>VLOOKUP(B614,Table3[[#Headers],[#Data]],4, FALSE)</f>
        <v>107.11</v>
      </c>
      <c r="D614" t="str">
        <f>VLOOKUP('Rough data'!B614,Table3[[#Headers],[#Data]],2,FALSE)</f>
        <v>Rug 200cm x 180cm</v>
      </c>
      <c r="E614" t="str">
        <f>VLOOKUP(B614,Table3[[#Headers],[#Data]],5,FALSE)</f>
        <v>SELL0027</v>
      </c>
      <c r="F614" t="str">
        <f>VLOOKUP(E614,Table2[[#Headers],[#Data],[seller_id]:[seller_user]],2,FALSE)</f>
        <v>home458</v>
      </c>
      <c r="G614">
        <v>1</v>
      </c>
      <c r="H614">
        <f t="shared" si="9"/>
        <v>107.11</v>
      </c>
    </row>
    <row r="615" spans="1:8" x14ac:dyDescent="0.3">
      <c r="A615" t="str">
        <f>VLOOKUP(B615,Table3[[#Headers],[#Data]],3,FALSE)</f>
        <v>Home</v>
      </c>
      <c r="B615" t="s">
        <v>819</v>
      </c>
      <c r="C615">
        <f>VLOOKUP(B615,Table3[[#Headers],[#Data]],4, FALSE)</f>
        <v>24.23</v>
      </c>
      <c r="D615" t="str">
        <f>VLOOKUP('Rough data'!B615,Table3[[#Headers],[#Data]],2,FALSE)</f>
        <v>Rug 200cm x 220cm</v>
      </c>
      <c r="E615" t="str">
        <f>VLOOKUP(B615,Table3[[#Headers],[#Data]],5,FALSE)</f>
        <v>SELL0027</v>
      </c>
      <c r="F615" t="str">
        <f>VLOOKUP(E615,Table2[[#Headers],[#Data],[seller_id]:[seller_user]],2,FALSE)</f>
        <v>home458</v>
      </c>
      <c r="G615">
        <v>1</v>
      </c>
      <c r="H615">
        <f t="shared" si="9"/>
        <v>24.23</v>
      </c>
    </row>
    <row r="616" spans="1:8" x14ac:dyDescent="0.3">
      <c r="A616" t="str">
        <f>VLOOKUP(B616,Table3[[#Headers],[#Data]],3,FALSE)</f>
        <v>Home</v>
      </c>
      <c r="B616" t="s">
        <v>819</v>
      </c>
      <c r="C616">
        <f>VLOOKUP(B616,Table3[[#Headers],[#Data]],4, FALSE)</f>
        <v>24.23</v>
      </c>
      <c r="D616" t="str">
        <f>VLOOKUP('Rough data'!B616,Table3[[#Headers],[#Data]],2,FALSE)</f>
        <v>Rug 200cm x 220cm</v>
      </c>
      <c r="E616" t="str">
        <f>VLOOKUP(B616,Table3[[#Headers],[#Data]],5,FALSE)</f>
        <v>SELL0027</v>
      </c>
      <c r="F616" t="str">
        <f>VLOOKUP(E616,Table2[[#Headers],[#Data],[seller_id]:[seller_user]],2,FALSE)</f>
        <v>home458</v>
      </c>
      <c r="G616">
        <v>2</v>
      </c>
      <c r="H616">
        <f t="shared" si="9"/>
        <v>48.46</v>
      </c>
    </row>
    <row r="617" spans="1:8" x14ac:dyDescent="0.3">
      <c r="A617" t="str">
        <f>VLOOKUP(B617,Table3[[#Headers],[#Data]],3,FALSE)</f>
        <v>Home</v>
      </c>
      <c r="B617" t="s">
        <v>823</v>
      </c>
      <c r="C617">
        <f>VLOOKUP(B617,Table3[[#Headers],[#Data]],4, FALSE)</f>
        <v>119.75</v>
      </c>
      <c r="D617" t="str">
        <f>VLOOKUP('Rough data'!B617,Table3[[#Headers],[#Data]],2,FALSE)</f>
        <v>Rug 220cm x 250cm</v>
      </c>
      <c r="E617" t="str">
        <f>VLOOKUP(B617,Table3[[#Headers],[#Data]],5,FALSE)</f>
        <v>SELL0027</v>
      </c>
      <c r="F617" t="str">
        <f>VLOOKUP(E617,Table2[[#Headers],[#Data],[seller_id]:[seller_user]],2,FALSE)</f>
        <v>home458</v>
      </c>
      <c r="G617">
        <v>1</v>
      </c>
      <c r="H617">
        <f t="shared" si="9"/>
        <v>119.75</v>
      </c>
    </row>
    <row r="618" spans="1:8" x14ac:dyDescent="0.3">
      <c r="A618" t="str">
        <f>VLOOKUP(B618,Table3[[#Headers],[#Data]],3,FALSE)</f>
        <v>Home</v>
      </c>
      <c r="B618" t="s">
        <v>825</v>
      </c>
      <c r="C618">
        <f>VLOOKUP(B618,Table3[[#Headers],[#Data]],4, FALSE)</f>
        <v>115.35</v>
      </c>
      <c r="D618" t="str">
        <f>VLOOKUP('Rough data'!B618,Table3[[#Headers],[#Data]],2,FALSE)</f>
        <v>Rug 100cm x 250cm</v>
      </c>
      <c r="E618" t="str">
        <f>VLOOKUP(B618,Table3[[#Headers],[#Data]],5,FALSE)</f>
        <v>SELL0027</v>
      </c>
      <c r="F618" t="str">
        <f>VLOOKUP(E618,Table2[[#Headers],[#Data],[seller_id]:[seller_user]],2,FALSE)</f>
        <v>home458</v>
      </c>
      <c r="G618">
        <v>1</v>
      </c>
      <c r="H618">
        <f t="shared" si="9"/>
        <v>115.35</v>
      </c>
    </row>
    <row r="619" spans="1:8" x14ac:dyDescent="0.3">
      <c r="A619" t="str">
        <f>VLOOKUP(B619,Table3[[#Headers],[#Data]],3,FALSE)</f>
        <v>Home</v>
      </c>
      <c r="B619" t="s">
        <v>827</v>
      </c>
      <c r="C619">
        <f>VLOOKUP(B619,Table3[[#Headers],[#Data]],4, FALSE)</f>
        <v>100.7</v>
      </c>
      <c r="D619" t="str">
        <f>VLOOKUP('Rough data'!B619,Table3[[#Headers],[#Data]],2,FALSE)</f>
        <v>Portable Camping Chair (Yellow)</v>
      </c>
      <c r="E619" t="str">
        <f>VLOOKUP(B619,Table3[[#Headers],[#Data]],5,FALSE)</f>
        <v>SELL0027</v>
      </c>
      <c r="F619" t="str">
        <f>VLOOKUP(E619,Table2[[#Headers],[#Data],[seller_id]:[seller_user]],2,FALSE)</f>
        <v>home458</v>
      </c>
      <c r="G619">
        <v>1</v>
      </c>
      <c r="H619">
        <f t="shared" si="9"/>
        <v>100.7</v>
      </c>
    </row>
    <row r="620" spans="1:8" x14ac:dyDescent="0.3">
      <c r="A620" t="str">
        <f>VLOOKUP(B620,Table3[[#Headers],[#Data]],3,FALSE)</f>
        <v>Home</v>
      </c>
      <c r="B620" t="s">
        <v>827</v>
      </c>
      <c r="C620">
        <f>VLOOKUP(B620,Table3[[#Headers],[#Data]],4, FALSE)</f>
        <v>100.7</v>
      </c>
      <c r="D620" t="str">
        <f>VLOOKUP('Rough data'!B620,Table3[[#Headers],[#Data]],2,FALSE)</f>
        <v>Portable Camping Chair (Yellow)</v>
      </c>
      <c r="E620" t="str">
        <f>VLOOKUP(B620,Table3[[#Headers],[#Data]],5,FALSE)</f>
        <v>SELL0027</v>
      </c>
      <c r="F620" t="str">
        <f>VLOOKUP(E620,Table2[[#Headers],[#Data],[seller_id]:[seller_user]],2,FALSE)</f>
        <v>home458</v>
      </c>
      <c r="G620">
        <v>2</v>
      </c>
      <c r="H620">
        <f t="shared" si="9"/>
        <v>201.4</v>
      </c>
    </row>
    <row r="621" spans="1:8" x14ac:dyDescent="0.3">
      <c r="A621" t="str">
        <f>VLOOKUP(B621,Table3[[#Headers],[#Data]],3,FALSE)</f>
        <v>Home</v>
      </c>
      <c r="B621" t="s">
        <v>827</v>
      </c>
      <c r="C621">
        <f>VLOOKUP(B621,Table3[[#Headers],[#Data]],4, FALSE)</f>
        <v>100.7</v>
      </c>
      <c r="D621" t="str">
        <f>VLOOKUP('Rough data'!B621,Table3[[#Headers],[#Data]],2,FALSE)</f>
        <v>Portable Camping Chair (Yellow)</v>
      </c>
      <c r="E621" t="str">
        <f>VLOOKUP(B621,Table3[[#Headers],[#Data]],5,FALSE)</f>
        <v>SELL0027</v>
      </c>
      <c r="F621" t="str">
        <f>VLOOKUP(E621,Table2[[#Headers],[#Data],[seller_id]:[seller_user]],2,FALSE)</f>
        <v>home458</v>
      </c>
      <c r="G621">
        <v>2</v>
      </c>
      <c r="H621">
        <f t="shared" si="9"/>
        <v>201.4</v>
      </c>
    </row>
    <row r="622" spans="1:8" x14ac:dyDescent="0.3">
      <c r="A622" t="str">
        <f>VLOOKUP(B622,Table3[[#Headers],[#Data]],3,FALSE)</f>
        <v>Home</v>
      </c>
      <c r="B622" t="s">
        <v>829</v>
      </c>
      <c r="C622">
        <f>VLOOKUP(B622,Table3[[#Headers],[#Data]],4, FALSE)</f>
        <v>16.88</v>
      </c>
      <c r="D622" t="str">
        <f>VLOOKUP('Rough data'!B622,Table3[[#Headers],[#Data]],2,FALSE)</f>
        <v>Scented Soy Candle - Oud</v>
      </c>
      <c r="E622" t="str">
        <f>VLOOKUP(B622,Table3[[#Headers],[#Data]],5,FALSE)</f>
        <v>SELL0027</v>
      </c>
      <c r="F622" t="str">
        <f>VLOOKUP(E622,Table2[[#Headers],[#Data],[seller_id]:[seller_user]],2,FALSE)</f>
        <v>home458</v>
      </c>
      <c r="G622">
        <v>1</v>
      </c>
      <c r="H622">
        <f t="shared" si="9"/>
        <v>16.88</v>
      </c>
    </row>
    <row r="623" spans="1:8" x14ac:dyDescent="0.3">
      <c r="A623" t="str">
        <f>VLOOKUP(B623,Table3[[#Headers],[#Data]],3,FALSE)</f>
        <v>Home</v>
      </c>
      <c r="B623" t="s">
        <v>831</v>
      </c>
      <c r="C623">
        <f>VLOOKUP(B623,Table3[[#Headers],[#Data]],4, FALSE)</f>
        <v>75.400000000000006</v>
      </c>
      <c r="D623" t="str">
        <f>VLOOKUP('Rough data'!B623,Table3[[#Headers],[#Data]],2,FALSE)</f>
        <v>Adjustable Dumbbell 8kg</v>
      </c>
      <c r="E623" t="str">
        <f>VLOOKUP(B623,Table3[[#Headers],[#Data]],5,FALSE)</f>
        <v>SELL0090</v>
      </c>
      <c r="F623" t="str">
        <f>VLOOKUP(E623,Table2[[#Headers],[#Data],[seller_id]:[seller_user]],2,FALSE)</f>
        <v>housenice</v>
      </c>
      <c r="G623">
        <v>1</v>
      </c>
      <c r="H623">
        <f t="shared" si="9"/>
        <v>75.400000000000006</v>
      </c>
    </row>
    <row r="624" spans="1:8" x14ac:dyDescent="0.3">
      <c r="A624" t="str">
        <f>VLOOKUP(B624,Table3[[#Headers],[#Data]],3,FALSE)</f>
        <v>Home</v>
      </c>
      <c r="B624" t="s">
        <v>832</v>
      </c>
      <c r="C624">
        <f>VLOOKUP(B624,Table3[[#Headers],[#Data]],4, FALSE)</f>
        <v>85.94</v>
      </c>
      <c r="D624" t="str">
        <f>VLOOKUP('Rough data'!B624,Table3[[#Headers],[#Data]],2,FALSE)</f>
        <v>Adjustable Dumbbell 15kg</v>
      </c>
      <c r="E624" t="str">
        <f>VLOOKUP(B624,Table3[[#Headers],[#Data]],5,FALSE)</f>
        <v>SELL0090</v>
      </c>
      <c r="F624" t="str">
        <f>VLOOKUP(E624,Table2[[#Headers],[#Data],[seller_id]:[seller_user]],2,FALSE)</f>
        <v>housenice</v>
      </c>
      <c r="G624">
        <v>2</v>
      </c>
      <c r="H624">
        <f t="shared" si="9"/>
        <v>171.88</v>
      </c>
    </row>
    <row r="625" spans="1:8" x14ac:dyDescent="0.3">
      <c r="A625" t="str">
        <f>VLOOKUP(B625,Table3[[#Headers],[#Data]],3,FALSE)</f>
        <v>Home</v>
      </c>
      <c r="B625" t="s">
        <v>832</v>
      </c>
      <c r="C625">
        <f>VLOOKUP(B625,Table3[[#Headers],[#Data]],4, FALSE)</f>
        <v>85.94</v>
      </c>
      <c r="D625" t="str">
        <f>VLOOKUP('Rough data'!B625,Table3[[#Headers],[#Data]],2,FALSE)</f>
        <v>Adjustable Dumbbell 15kg</v>
      </c>
      <c r="E625" t="str">
        <f>VLOOKUP(B625,Table3[[#Headers],[#Data]],5,FALSE)</f>
        <v>SELL0090</v>
      </c>
      <c r="F625" t="str">
        <f>VLOOKUP(E625,Table2[[#Headers],[#Data],[seller_id]:[seller_user]],2,FALSE)</f>
        <v>housenice</v>
      </c>
      <c r="G625">
        <v>1</v>
      </c>
      <c r="H625">
        <f t="shared" si="9"/>
        <v>85.94</v>
      </c>
    </row>
    <row r="626" spans="1:8" x14ac:dyDescent="0.3">
      <c r="A626" t="str">
        <f>VLOOKUP(B626,Table3[[#Headers],[#Data]],3,FALSE)</f>
        <v>Home</v>
      </c>
      <c r="B626" t="s">
        <v>834</v>
      </c>
      <c r="C626">
        <f>VLOOKUP(B626,Table3[[#Headers],[#Data]],4, FALSE)</f>
        <v>15.21</v>
      </c>
      <c r="D626" t="str">
        <f>VLOOKUP('Rough data'!B626,Table3[[#Headers],[#Data]],2,FALSE)</f>
        <v>LED Floor Lamp</v>
      </c>
      <c r="E626" t="str">
        <f>VLOOKUP(B626,Table3[[#Headers],[#Data]],5,FALSE)</f>
        <v>SELL0090</v>
      </c>
      <c r="F626" t="str">
        <f>VLOOKUP(E626,Table2[[#Headers],[#Data],[seller_id]:[seller_user]],2,FALSE)</f>
        <v>housenice</v>
      </c>
      <c r="G626">
        <v>1</v>
      </c>
      <c r="H626">
        <f t="shared" si="9"/>
        <v>15.21</v>
      </c>
    </row>
    <row r="627" spans="1:8" x14ac:dyDescent="0.3">
      <c r="A627" t="str">
        <f>VLOOKUP(B627,Table3[[#Headers],[#Data]],3,FALSE)</f>
        <v>Home</v>
      </c>
      <c r="B627" t="s">
        <v>836</v>
      </c>
      <c r="C627">
        <f>VLOOKUP(B627,Table3[[#Headers],[#Data]],4, FALSE)</f>
        <v>22.63</v>
      </c>
      <c r="D627" t="str">
        <f>VLOOKUP('Rough data'!B627,Table3[[#Headers],[#Data]],2,FALSE)</f>
        <v>Vitamin C Serum 50ml</v>
      </c>
      <c r="E627" t="str">
        <f>VLOOKUP(B627,Table3[[#Headers],[#Data]],5,FALSE)</f>
        <v>SELL0091</v>
      </c>
      <c r="F627" t="str">
        <f>VLOOKUP(E627,Table2[[#Headers],[#Data],[seller_id]:[seller_user]],2,FALSE)</f>
        <v>beautifullhome</v>
      </c>
      <c r="G627">
        <v>1</v>
      </c>
      <c r="H627">
        <f t="shared" si="9"/>
        <v>22.63</v>
      </c>
    </row>
    <row r="628" spans="1:8" x14ac:dyDescent="0.3">
      <c r="A628" t="str">
        <f>VLOOKUP(B628,Table3[[#Headers],[#Data]],3,FALSE)</f>
        <v>Home</v>
      </c>
      <c r="B628" t="s">
        <v>836</v>
      </c>
      <c r="C628">
        <f>VLOOKUP(B628,Table3[[#Headers],[#Data]],4, FALSE)</f>
        <v>22.63</v>
      </c>
      <c r="D628" t="str">
        <f>VLOOKUP('Rough data'!B628,Table3[[#Headers],[#Data]],2,FALSE)</f>
        <v>Vitamin C Serum 50ml</v>
      </c>
      <c r="E628" t="str">
        <f>VLOOKUP(B628,Table3[[#Headers],[#Data]],5,FALSE)</f>
        <v>SELL0091</v>
      </c>
      <c r="F628" t="str">
        <f>VLOOKUP(E628,Table2[[#Headers],[#Data],[seller_id]:[seller_user]],2,FALSE)</f>
        <v>beautifullhome</v>
      </c>
      <c r="G628">
        <v>1</v>
      </c>
      <c r="H628">
        <f t="shared" si="9"/>
        <v>22.63</v>
      </c>
    </row>
    <row r="629" spans="1:8" x14ac:dyDescent="0.3">
      <c r="A629" t="str">
        <f>VLOOKUP(B629,Table3[[#Headers],[#Data]],3,FALSE)</f>
        <v>Home</v>
      </c>
      <c r="B629" t="s">
        <v>838</v>
      </c>
      <c r="C629">
        <f>VLOOKUP(B629,Table3[[#Headers],[#Data]],4, FALSE)</f>
        <v>18.559999999999999</v>
      </c>
      <c r="D629" t="str">
        <f>VLOOKUP('Rough data'!B629,Table3[[#Headers],[#Data]],2,FALSE)</f>
        <v>LED Floor Lamp</v>
      </c>
      <c r="E629" t="str">
        <f>VLOOKUP(B629,Table3[[#Headers],[#Data]],5,FALSE)</f>
        <v>SELL0091</v>
      </c>
      <c r="F629" t="str">
        <f>VLOOKUP(E629,Table2[[#Headers],[#Data],[seller_id]:[seller_user]],2,FALSE)</f>
        <v>beautifullhome</v>
      </c>
      <c r="G629">
        <v>1</v>
      </c>
      <c r="H629">
        <f t="shared" si="9"/>
        <v>18.559999999999999</v>
      </c>
    </row>
    <row r="630" spans="1:8" x14ac:dyDescent="0.3">
      <c r="A630" t="str">
        <f>VLOOKUP(B630,Table3[[#Headers],[#Data]],3,FALSE)</f>
        <v>Home</v>
      </c>
      <c r="B630" t="s">
        <v>838</v>
      </c>
      <c r="C630">
        <f>VLOOKUP(B630,Table3[[#Headers],[#Data]],4, FALSE)</f>
        <v>18.559999999999999</v>
      </c>
      <c r="D630" t="str">
        <f>VLOOKUP('Rough data'!B630,Table3[[#Headers],[#Data]],2,FALSE)</f>
        <v>LED Floor Lamp</v>
      </c>
      <c r="E630" t="str">
        <f>VLOOKUP(B630,Table3[[#Headers],[#Data]],5,FALSE)</f>
        <v>SELL0091</v>
      </c>
      <c r="F630" t="str">
        <f>VLOOKUP(E630,Table2[[#Headers],[#Data],[seller_id]:[seller_user]],2,FALSE)</f>
        <v>beautifullhome</v>
      </c>
      <c r="G630">
        <v>1</v>
      </c>
      <c r="H630">
        <f t="shared" si="9"/>
        <v>18.559999999999999</v>
      </c>
    </row>
    <row r="631" spans="1:8" x14ac:dyDescent="0.3">
      <c r="A631" t="str">
        <f>VLOOKUP(B631,Table3[[#Headers],[#Data]],3,FALSE)</f>
        <v>Home</v>
      </c>
      <c r="B631" t="s">
        <v>839</v>
      </c>
      <c r="C631">
        <f>VLOOKUP(B631,Table3[[#Headers],[#Data]],4, FALSE)</f>
        <v>71.349999999999994</v>
      </c>
      <c r="D631" t="str">
        <f>VLOOKUP('Rough data'!B631,Table3[[#Headers],[#Data]],2,FALSE)</f>
        <v>LED Floor Lamp</v>
      </c>
      <c r="E631" t="str">
        <f>VLOOKUP(B631,Table3[[#Headers],[#Data]],5,FALSE)</f>
        <v>SELL0091</v>
      </c>
      <c r="F631" t="str">
        <f>VLOOKUP(E631,Table2[[#Headers],[#Data],[seller_id]:[seller_user]],2,FALSE)</f>
        <v>beautifullhome</v>
      </c>
      <c r="G631">
        <v>1</v>
      </c>
      <c r="H631">
        <f t="shared" si="9"/>
        <v>71.349999999999994</v>
      </c>
    </row>
    <row r="632" spans="1:8" x14ac:dyDescent="0.3">
      <c r="A632" t="str">
        <f>VLOOKUP(B632,Table3[[#Headers],[#Data]],3,FALSE)</f>
        <v>Home</v>
      </c>
      <c r="B632" t="s">
        <v>840</v>
      </c>
      <c r="C632">
        <f>VLOOKUP(B632,Table3[[#Headers],[#Data]],4, FALSE)</f>
        <v>85.1</v>
      </c>
      <c r="D632" t="str">
        <f>VLOOKUP('Rough data'!B632,Table3[[#Headers],[#Data]],2,FALSE)</f>
        <v>LED Floor Lamp</v>
      </c>
      <c r="E632" t="str">
        <f>VLOOKUP(B632,Table3[[#Headers],[#Data]],5,FALSE)</f>
        <v>SELL0091</v>
      </c>
      <c r="F632" t="str">
        <f>VLOOKUP(E632,Table2[[#Headers],[#Data],[seller_id]:[seller_user]],2,FALSE)</f>
        <v>beautifullhome</v>
      </c>
      <c r="G632">
        <v>1</v>
      </c>
      <c r="H632">
        <f t="shared" si="9"/>
        <v>85.1</v>
      </c>
    </row>
    <row r="633" spans="1:8" x14ac:dyDescent="0.3">
      <c r="A633" t="str">
        <f>VLOOKUP(B633,Table3[[#Headers],[#Data]],3,FALSE)</f>
        <v>Home</v>
      </c>
      <c r="B633" t="s">
        <v>843</v>
      </c>
      <c r="C633">
        <f>VLOOKUP(B633,Table3[[#Headers],[#Data]],4, FALSE)</f>
        <v>116.81</v>
      </c>
      <c r="D633" t="str">
        <f>VLOOKUP('Rough data'!B633,Table3[[#Headers],[#Data]],2,FALSE)</f>
        <v>Weighted Blanket 20kg</v>
      </c>
      <c r="E633" t="str">
        <f>VLOOKUP(B633,Table3[[#Headers],[#Data]],5,FALSE)</f>
        <v>SELL0091</v>
      </c>
      <c r="F633" t="str">
        <f>VLOOKUP(E633,Table2[[#Headers],[#Data],[seller_id]:[seller_user]],2,FALSE)</f>
        <v>beautifullhome</v>
      </c>
      <c r="G633">
        <v>1</v>
      </c>
      <c r="H633">
        <f t="shared" si="9"/>
        <v>116.81</v>
      </c>
    </row>
    <row r="634" spans="1:8" x14ac:dyDescent="0.3">
      <c r="A634" t="str">
        <f>VLOOKUP(B634,Table3[[#Headers],[#Data]],3,FALSE)</f>
        <v>Home</v>
      </c>
      <c r="B634" t="s">
        <v>843</v>
      </c>
      <c r="C634">
        <f>VLOOKUP(B634,Table3[[#Headers],[#Data]],4, FALSE)</f>
        <v>116.81</v>
      </c>
      <c r="D634" t="str">
        <f>VLOOKUP('Rough data'!B634,Table3[[#Headers],[#Data]],2,FALSE)</f>
        <v>Weighted Blanket 20kg</v>
      </c>
      <c r="E634" t="str">
        <f>VLOOKUP(B634,Table3[[#Headers],[#Data]],5,FALSE)</f>
        <v>SELL0091</v>
      </c>
      <c r="F634" t="str">
        <f>VLOOKUP(E634,Table2[[#Headers],[#Data],[seller_id]:[seller_user]],2,FALSE)</f>
        <v>beautifullhome</v>
      </c>
      <c r="G634">
        <v>1</v>
      </c>
      <c r="H634">
        <f t="shared" si="9"/>
        <v>116.81</v>
      </c>
    </row>
    <row r="635" spans="1:8" x14ac:dyDescent="0.3">
      <c r="A635" t="str">
        <f>VLOOKUP(B635,Table3[[#Headers],[#Data]],3,FALSE)</f>
        <v>Home</v>
      </c>
      <c r="B635" t="s">
        <v>845</v>
      </c>
      <c r="C635">
        <f>VLOOKUP(B635,Table3[[#Headers],[#Data]],4, FALSE)</f>
        <v>64.709999999999994</v>
      </c>
      <c r="D635" t="str">
        <f>VLOOKUP('Rough data'!B635,Table3[[#Headers],[#Data]],2,FALSE)</f>
        <v>Weighted Blanket 8kg</v>
      </c>
      <c r="E635" t="str">
        <f>VLOOKUP(B635,Table3[[#Headers],[#Data]],5,FALSE)</f>
        <v>SELL0091</v>
      </c>
      <c r="F635" t="str">
        <f>VLOOKUP(E635,Table2[[#Headers],[#Data],[seller_id]:[seller_user]],2,FALSE)</f>
        <v>beautifullhome</v>
      </c>
      <c r="G635">
        <v>1</v>
      </c>
      <c r="H635">
        <f t="shared" si="9"/>
        <v>64.709999999999994</v>
      </c>
    </row>
    <row r="636" spans="1:8" x14ac:dyDescent="0.3">
      <c r="A636" t="str">
        <f>VLOOKUP(B636,Table3[[#Headers],[#Data]],3,FALSE)</f>
        <v>Home</v>
      </c>
      <c r="B636" t="s">
        <v>847</v>
      </c>
      <c r="C636">
        <f>VLOOKUP(B636,Table3[[#Headers],[#Data]],4, FALSE)</f>
        <v>65.459999999999994</v>
      </c>
      <c r="D636" t="str">
        <f>VLOOKUP('Rough data'!B636,Table3[[#Headers],[#Data]],2,FALSE)</f>
        <v>Weighted Blanket 5kg</v>
      </c>
      <c r="E636" t="str">
        <f>VLOOKUP(B636,Table3[[#Headers],[#Data]],5,FALSE)</f>
        <v>SELL0091</v>
      </c>
      <c r="F636" t="str">
        <f>VLOOKUP(E636,Table2[[#Headers],[#Data],[seller_id]:[seller_user]],2,FALSE)</f>
        <v>beautifullhome</v>
      </c>
      <c r="G636">
        <v>1</v>
      </c>
      <c r="H636">
        <f t="shared" si="9"/>
        <v>65.459999999999994</v>
      </c>
    </row>
    <row r="637" spans="1:8" x14ac:dyDescent="0.3">
      <c r="A637" t="str">
        <f>VLOOKUP(B637,Table3[[#Headers],[#Data]],3,FALSE)</f>
        <v>Home</v>
      </c>
      <c r="B637" t="s">
        <v>847</v>
      </c>
      <c r="C637">
        <f>VLOOKUP(B637,Table3[[#Headers],[#Data]],4, FALSE)</f>
        <v>65.459999999999994</v>
      </c>
      <c r="D637" t="str">
        <f>VLOOKUP('Rough data'!B637,Table3[[#Headers],[#Data]],2,FALSE)</f>
        <v>Weighted Blanket 5kg</v>
      </c>
      <c r="E637" t="str">
        <f>VLOOKUP(B637,Table3[[#Headers],[#Data]],5,FALSE)</f>
        <v>SELL0091</v>
      </c>
      <c r="F637" t="str">
        <f>VLOOKUP(E637,Table2[[#Headers],[#Data],[seller_id]:[seller_user]],2,FALSE)</f>
        <v>beautifullhome</v>
      </c>
      <c r="G637">
        <v>1</v>
      </c>
      <c r="H637">
        <f t="shared" si="9"/>
        <v>65.459999999999994</v>
      </c>
    </row>
    <row r="638" spans="1:8" x14ac:dyDescent="0.3">
      <c r="A638" t="str">
        <f>VLOOKUP(B638,Table3[[#Headers],[#Data]],3,FALSE)</f>
        <v>Home</v>
      </c>
      <c r="B638" t="s">
        <v>849</v>
      </c>
      <c r="C638">
        <f>VLOOKUP(B638,Table3[[#Headers],[#Data]],4, FALSE)</f>
        <v>21.89</v>
      </c>
      <c r="D638" t="str">
        <f>VLOOKUP('Rough data'!B638,Table3[[#Headers],[#Data]],2,FALSE)</f>
        <v>Decorative Cushion - Blue 60 x 60</v>
      </c>
      <c r="E638" t="str">
        <f>VLOOKUP(B638,Table3[[#Headers],[#Data]],5,FALSE)</f>
        <v>SELL0091</v>
      </c>
      <c r="F638" t="str">
        <f>VLOOKUP(E638,Table2[[#Headers],[#Data],[seller_id]:[seller_user]],2,FALSE)</f>
        <v>beautifullhome</v>
      </c>
      <c r="G638">
        <v>1</v>
      </c>
      <c r="H638">
        <f t="shared" si="9"/>
        <v>21.89</v>
      </c>
    </row>
    <row r="639" spans="1:8" x14ac:dyDescent="0.3">
      <c r="A639" t="str">
        <f>VLOOKUP(B639,Table3[[#Headers],[#Data]],3,FALSE)</f>
        <v>Home</v>
      </c>
      <c r="B639" t="s">
        <v>849</v>
      </c>
      <c r="C639">
        <f>VLOOKUP(B639,Table3[[#Headers],[#Data]],4, FALSE)</f>
        <v>21.89</v>
      </c>
      <c r="D639" t="str">
        <f>VLOOKUP('Rough data'!B639,Table3[[#Headers],[#Data]],2,FALSE)</f>
        <v>Decorative Cushion - Blue 60 x 60</v>
      </c>
      <c r="E639" t="str">
        <f>VLOOKUP(B639,Table3[[#Headers],[#Data]],5,FALSE)</f>
        <v>SELL0091</v>
      </c>
      <c r="F639" t="str">
        <f>VLOOKUP(E639,Table2[[#Headers],[#Data],[seller_id]:[seller_user]],2,FALSE)</f>
        <v>beautifullhome</v>
      </c>
      <c r="G639">
        <v>1</v>
      </c>
      <c r="H639">
        <f t="shared" si="9"/>
        <v>21.89</v>
      </c>
    </row>
    <row r="640" spans="1:8" x14ac:dyDescent="0.3">
      <c r="A640" t="str">
        <f>VLOOKUP(B640,Table3[[#Headers],[#Data]],3,FALSE)</f>
        <v>Home</v>
      </c>
      <c r="B640" t="s">
        <v>849</v>
      </c>
      <c r="C640">
        <f>VLOOKUP(B640,Table3[[#Headers],[#Data]],4, FALSE)</f>
        <v>21.89</v>
      </c>
      <c r="D640" t="str">
        <f>VLOOKUP('Rough data'!B640,Table3[[#Headers],[#Data]],2,FALSE)</f>
        <v>Decorative Cushion - Blue 60 x 60</v>
      </c>
      <c r="E640" t="str">
        <f>VLOOKUP(B640,Table3[[#Headers],[#Data]],5,FALSE)</f>
        <v>SELL0091</v>
      </c>
      <c r="F640" t="str">
        <f>VLOOKUP(E640,Table2[[#Headers],[#Data],[seller_id]:[seller_user]],2,FALSE)</f>
        <v>beautifullhome</v>
      </c>
      <c r="G640">
        <v>1</v>
      </c>
      <c r="H640">
        <f t="shared" si="9"/>
        <v>21.89</v>
      </c>
    </row>
    <row r="641" spans="1:8" x14ac:dyDescent="0.3">
      <c r="A641" t="str">
        <f>VLOOKUP(B641,Table3[[#Headers],[#Data]],3,FALSE)</f>
        <v>Home</v>
      </c>
      <c r="B641" t="s">
        <v>849</v>
      </c>
      <c r="C641">
        <f>VLOOKUP(B641,Table3[[#Headers],[#Data]],4, FALSE)</f>
        <v>21.89</v>
      </c>
      <c r="D641" t="str">
        <f>VLOOKUP('Rough data'!B641,Table3[[#Headers],[#Data]],2,FALSE)</f>
        <v>Decorative Cushion - Blue 60 x 60</v>
      </c>
      <c r="E641" t="str">
        <f>VLOOKUP(B641,Table3[[#Headers],[#Data]],5,FALSE)</f>
        <v>SELL0091</v>
      </c>
      <c r="F641" t="str">
        <f>VLOOKUP(E641,Table2[[#Headers],[#Data],[seller_id]:[seller_user]],2,FALSE)</f>
        <v>beautifullhome</v>
      </c>
      <c r="G641">
        <v>1</v>
      </c>
      <c r="H641">
        <f t="shared" si="9"/>
        <v>21.89</v>
      </c>
    </row>
    <row r="642" spans="1:8" x14ac:dyDescent="0.3">
      <c r="A642" t="str">
        <f>VLOOKUP(B642,Table3[[#Headers],[#Data]],3,FALSE)</f>
        <v>Home</v>
      </c>
      <c r="B642" t="s">
        <v>851</v>
      </c>
      <c r="C642">
        <f>VLOOKUP(B642,Table3[[#Headers],[#Data]],4, FALSE)</f>
        <v>110.1</v>
      </c>
      <c r="D642" t="str">
        <f>VLOOKUP('Rough data'!B642,Table3[[#Headers],[#Data]],2,FALSE)</f>
        <v>Memory Foam Pillow Firm</v>
      </c>
      <c r="E642" t="str">
        <f>VLOOKUP(B642,Table3[[#Headers],[#Data]],5,FALSE)</f>
        <v>SELL0091</v>
      </c>
      <c r="F642" t="str">
        <f>VLOOKUP(E642,Table2[[#Headers],[#Data],[seller_id]:[seller_user]],2,FALSE)</f>
        <v>beautifullhome</v>
      </c>
      <c r="G642">
        <v>2</v>
      </c>
      <c r="H642">
        <f t="shared" ref="H642:H705" si="10">G642*C642</f>
        <v>220.2</v>
      </c>
    </row>
    <row r="643" spans="1:8" x14ac:dyDescent="0.3">
      <c r="A643" t="str">
        <f>VLOOKUP(B643,Table3[[#Headers],[#Data]],3,FALSE)</f>
        <v>Home</v>
      </c>
      <c r="B643" t="s">
        <v>851</v>
      </c>
      <c r="C643">
        <f>VLOOKUP(B643,Table3[[#Headers],[#Data]],4, FALSE)</f>
        <v>110.1</v>
      </c>
      <c r="D643" t="str">
        <f>VLOOKUP('Rough data'!B643,Table3[[#Headers],[#Data]],2,FALSE)</f>
        <v>Memory Foam Pillow Firm</v>
      </c>
      <c r="E643" t="str">
        <f>VLOOKUP(B643,Table3[[#Headers],[#Data]],5,FALSE)</f>
        <v>SELL0091</v>
      </c>
      <c r="F643" t="str">
        <f>VLOOKUP(E643,Table2[[#Headers],[#Data],[seller_id]:[seller_user]],2,FALSE)</f>
        <v>beautifullhome</v>
      </c>
      <c r="G643">
        <v>1</v>
      </c>
      <c r="H643">
        <f t="shared" si="10"/>
        <v>110.1</v>
      </c>
    </row>
    <row r="644" spans="1:8" x14ac:dyDescent="0.3">
      <c r="A644" t="str">
        <f>VLOOKUP(B644,Table3[[#Headers],[#Data]],3,FALSE)</f>
        <v>Home</v>
      </c>
      <c r="B644" t="s">
        <v>851</v>
      </c>
      <c r="C644">
        <f>VLOOKUP(B644,Table3[[#Headers],[#Data]],4, FALSE)</f>
        <v>110.1</v>
      </c>
      <c r="D644" t="str">
        <f>VLOOKUP('Rough data'!B644,Table3[[#Headers],[#Data]],2,FALSE)</f>
        <v>Memory Foam Pillow Firm</v>
      </c>
      <c r="E644" t="str">
        <f>VLOOKUP(B644,Table3[[#Headers],[#Data]],5,FALSE)</f>
        <v>SELL0091</v>
      </c>
      <c r="F644" t="str">
        <f>VLOOKUP(E644,Table2[[#Headers],[#Data],[seller_id]:[seller_user]],2,FALSE)</f>
        <v>beautifullhome</v>
      </c>
      <c r="G644">
        <v>1</v>
      </c>
      <c r="H644">
        <f t="shared" si="10"/>
        <v>110.1</v>
      </c>
    </row>
    <row r="645" spans="1:8" x14ac:dyDescent="0.3">
      <c r="A645" t="str">
        <f>VLOOKUP(B645,Table3[[#Headers],[#Data]],3,FALSE)</f>
        <v>Home</v>
      </c>
      <c r="B645" t="s">
        <v>853</v>
      </c>
      <c r="C645">
        <f>VLOOKUP(B645,Table3[[#Headers],[#Data]],4, FALSE)</f>
        <v>21.89</v>
      </c>
      <c r="D645" t="str">
        <f>VLOOKUP('Rough data'!B645,Table3[[#Headers],[#Data]],2,FALSE)</f>
        <v>Decorative Cushion - Navy 60 x 60</v>
      </c>
      <c r="E645" t="str">
        <f>VLOOKUP(B645,Table3[[#Headers],[#Data]],5,FALSE)</f>
        <v>SELL0091</v>
      </c>
      <c r="F645" t="str">
        <f>VLOOKUP(E645,Table2[[#Headers],[#Data],[seller_id]:[seller_user]],2,FALSE)</f>
        <v>beautifullhome</v>
      </c>
      <c r="G645">
        <v>1</v>
      </c>
      <c r="H645">
        <f t="shared" si="10"/>
        <v>21.89</v>
      </c>
    </row>
    <row r="646" spans="1:8" x14ac:dyDescent="0.3">
      <c r="A646" t="str">
        <f>VLOOKUP(B646,Table3[[#Headers],[#Data]],3,FALSE)</f>
        <v>Home</v>
      </c>
      <c r="B646" t="s">
        <v>855</v>
      </c>
      <c r="C646">
        <f>VLOOKUP(B646,Table3[[#Headers],[#Data]],4, FALSE)</f>
        <v>66.88</v>
      </c>
      <c r="D646" t="str">
        <f>VLOOKUP('Rough data'!B646,Table3[[#Headers],[#Data]],2,FALSE)</f>
        <v>Wall Clock - Minimalist (Blue)</v>
      </c>
      <c r="E646" t="str">
        <f>VLOOKUP(B646,Table3[[#Headers],[#Data]],5,FALSE)</f>
        <v>SELL0091</v>
      </c>
      <c r="F646" t="str">
        <f>VLOOKUP(E646,Table2[[#Headers],[#Data],[seller_id]:[seller_user]],2,FALSE)</f>
        <v>beautifullhome</v>
      </c>
      <c r="G646">
        <v>1</v>
      </c>
      <c r="H646">
        <f t="shared" si="10"/>
        <v>66.88</v>
      </c>
    </row>
    <row r="647" spans="1:8" x14ac:dyDescent="0.3">
      <c r="A647" t="str">
        <f>VLOOKUP(B647,Table3[[#Headers],[#Data]],3,FALSE)</f>
        <v>Home</v>
      </c>
      <c r="B647" t="s">
        <v>855</v>
      </c>
      <c r="C647">
        <f>VLOOKUP(B647,Table3[[#Headers],[#Data]],4, FALSE)</f>
        <v>66.88</v>
      </c>
      <c r="D647" t="str">
        <f>VLOOKUP('Rough data'!B647,Table3[[#Headers],[#Data]],2,FALSE)</f>
        <v>Wall Clock - Minimalist (Blue)</v>
      </c>
      <c r="E647" t="str">
        <f>VLOOKUP(B647,Table3[[#Headers],[#Data]],5,FALSE)</f>
        <v>SELL0091</v>
      </c>
      <c r="F647" t="str">
        <f>VLOOKUP(E647,Table2[[#Headers],[#Data],[seller_id]:[seller_user]],2,FALSE)</f>
        <v>beautifullhome</v>
      </c>
      <c r="G647">
        <v>2</v>
      </c>
      <c r="H647">
        <f t="shared" si="10"/>
        <v>133.76</v>
      </c>
    </row>
    <row r="648" spans="1:8" x14ac:dyDescent="0.3">
      <c r="A648" t="str">
        <f>VLOOKUP(B648,Table3[[#Headers],[#Data]],3,FALSE)</f>
        <v>Home</v>
      </c>
      <c r="B648" t="s">
        <v>856</v>
      </c>
      <c r="C648">
        <f>VLOOKUP(B648,Table3[[#Headers],[#Data]],4, FALSE)</f>
        <v>48.51</v>
      </c>
      <c r="D648" t="str">
        <f>VLOOKUP('Rough data'!B648,Table3[[#Headers],[#Data]],2,FALSE)</f>
        <v>Soy Candle Environmentally Friendly Rose</v>
      </c>
      <c r="E648" t="str">
        <f>VLOOKUP(B648,Table3[[#Headers],[#Data]],5,FALSE)</f>
        <v>SELL0091</v>
      </c>
      <c r="F648" t="str">
        <f>VLOOKUP(E648,Table2[[#Headers],[#Data],[seller_id]:[seller_user]],2,FALSE)</f>
        <v>beautifullhome</v>
      </c>
      <c r="G648">
        <v>2</v>
      </c>
      <c r="H648">
        <f t="shared" si="10"/>
        <v>97.02</v>
      </c>
    </row>
    <row r="649" spans="1:8" x14ac:dyDescent="0.3">
      <c r="A649" t="str">
        <f>VLOOKUP(B649,Table3[[#Headers],[#Data]],3,FALSE)</f>
        <v>Jewellery</v>
      </c>
      <c r="B649" t="s">
        <v>858</v>
      </c>
      <c r="C649">
        <f>VLOOKUP(B649,Table3[[#Headers],[#Data]],4, FALSE)</f>
        <v>59.61</v>
      </c>
      <c r="D649" t="str">
        <f>VLOOKUP('Rough data'!B649,Table3[[#Headers],[#Data]],2,FALSE)</f>
        <v>Jewellery Box White Oak</v>
      </c>
      <c r="E649" t="str">
        <f>VLOOKUP(B649,Table3[[#Headers],[#Data]],5,FALSE)</f>
        <v>SELL0091</v>
      </c>
      <c r="F649" t="str">
        <f>VLOOKUP(E649,Table2[[#Headers],[#Data],[seller_id]:[seller_user]],2,FALSE)</f>
        <v>beautifullhome</v>
      </c>
      <c r="G649">
        <v>1</v>
      </c>
      <c r="H649">
        <f t="shared" si="10"/>
        <v>59.61</v>
      </c>
    </row>
    <row r="650" spans="1:8" x14ac:dyDescent="0.3">
      <c r="A650" t="str">
        <f>VLOOKUP(B650,Table3[[#Headers],[#Data]],3,FALSE)</f>
        <v>Jewellery</v>
      </c>
      <c r="B650" t="s">
        <v>858</v>
      </c>
      <c r="C650">
        <f>VLOOKUP(B650,Table3[[#Headers],[#Data]],4, FALSE)</f>
        <v>59.61</v>
      </c>
      <c r="D650" t="str">
        <f>VLOOKUP('Rough data'!B650,Table3[[#Headers],[#Data]],2,FALSE)</f>
        <v>Jewellery Box White Oak</v>
      </c>
      <c r="E650" t="str">
        <f>VLOOKUP(B650,Table3[[#Headers],[#Data]],5,FALSE)</f>
        <v>SELL0091</v>
      </c>
      <c r="F650" t="str">
        <f>VLOOKUP(E650,Table2[[#Headers],[#Data],[seller_id]:[seller_user]],2,FALSE)</f>
        <v>beautifullhome</v>
      </c>
      <c r="G650">
        <v>1</v>
      </c>
      <c r="H650">
        <f t="shared" si="10"/>
        <v>59.61</v>
      </c>
    </row>
    <row r="651" spans="1:8" x14ac:dyDescent="0.3">
      <c r="A651" t="str">
        <f>VLOOKUP(B651,Table3[[#Headers],[#Data]],3,FALSE)</f>
        <v>Jewellery</v>
      </c>
      <c r="B651" t="s">
        <v>860</v>
      </c>
      <c r="C651">
        <f>VLOOKUP(B651,Table3[[#Headers],[#Data]],4, FALSE)</f>
        <v>49.13</v>
      </c>
      <c r="D651" t="str">
        <f>VLOOKUP('Rough data'!B651,Table3[[#Headers],[#Data]],2,FALSE)</f>
        <v>Ring Set (Rose Gold)</v>
      </c>
      <c r="E651" t="str">
        <f>VLOOKUP(B651,Table3[[#Headers],[#Data]],5,FALSE)</f>
        <v>SELL0092</v>
      </c>
      <c r="F651" t="str">
        <f>VLOOKUP(E651,Table2[[#Headers],[#Data],[seller_id]:[seller_user]],2,FALSE)</f>
        <v>dress4beauty</v>
      </c>
      <c r="G651">
        <v>1</v>
      </c>
      <c r="H651">
        <f t="shared" si="10"/>
        <v>49.13</v>
      </c>
    </row>
    <row r="652" spans="1:8" x14ac:dyDescent="0.3">
      <c r="A652" t="str">
        <f>VLOOKUP(B652,Table3[[#Headers],[#Data]],3,FALSE)</f>
        <v>Jewellery</v>
      </c>
      <c r="B652" t="s">
        <v>860</v>
      </c>
      <c r="C652">
        <f>VLOOKUP(B652,Table3[[#Headers],[#Data]],4, FALSE)</f>
        <v>49.13</v>
      </c>
      <c r="D652" t="str">
        <f>VLOOKUP('Rough data'!B652,Table3[[#Headers],[#Data]],2,FALSE)</f>
        <v>Ring Set (Rose Gold)</v>
      </c>
      <c r="E652" t="str">
        <f>VLOOKUP(B652,Table3[[#Headers],[#Data]],5,FALSE)</f>
        <v>SELL0092</v>
      </c>
      <c r="F652" t="str">
        <f>VLOOKUP(E652,Table2[[#Headers],[#Data],[seller_id]:[seller_user]],2,FALSE)</f>
        <v>dress4beauty</v>
      </c>
      <c r="G652">
        <v>1</v>
      </c>
      <c r="H652">
        <f t="shared" si="10"/>
        <v>49.13</v>
      </c>
    </row>
    <row r="653" spans="1:8" x14ac:dyDescent="0.3">
      <c r="A653" t="str">
        <f>VLOOKUP(B653,Table3[[#Headers],[#Data]],3,FALSE)</f>
        <v>Jewellery</v>
      </c>
      <c r="B653" t="s">
        <v>863</v>
      </c>
      <c r="C653">
        <f>VLOOKUP(B653,Table3[[#Headers],[#Data]],4, FALSE)</f>
        <v>32.96</v>
      </c>
      <c r="D653" t="str">
        <f>VLOOKUP('Rough data'!B653,Table3[[#Headers],[#Data]],2,FALSE)</f>
        <v>Crystal Earrings Stud</v>
      </c>
      <c r="E653" t="str">
        <f>VLOOKUP(B653,Table3[[#Headers],[#Data]],5,FALSE)</f>
        <v>SELL0092</v>
      </c>
      <c r="F653" t="str">
        <f>VLOOKUP(E653,Table2[[#Headers],[#Data],[seller_id]:[seller_user]],2,FALSE)</f>
        <v>dress4beauty</v>
      </c>
      <c r="G653">
        <v>1</v>
      </c>
      <c r="H653">
        <f t="shared" si="10"/>
        <v>32.96</v>
      </c>
    </row>
    <row r="654" spans="1:8" x14ac:dyDescent="0.3">
      <c r="A654" t="str">
        <f>VLOOKUP(B654,Table3[[#Headers],[#Data]],3,FALSE)</f>
        <v>Jewellery</v>
      </c>
      <c r="B654" t="s">
        <v>863</v>
      </c>
      <c r="C654">
        <f>VLOOKUP(B654,Table3[[#Headers],[#Data]],4, FALSE)</f>
        <v>32.96</v>
      </c>
      <c r="D654" t="str">
        <f>VLOOKUP('Rough data'!B654,Table3[[#Headers],[#Data]],2,FALSE)</f>
        <v>Crystal Earrings Stud</v>
      </c>
      <c r="E654" t="str">
        <f>VLOOKUP(B654,Table3[[#Headers],[#Data]],5,FALSE)</f>
        <v>SELL0092</v>
      </c>
      <c r="F654" t="str">
        <f>VLOOKUP(E654,Table2[[#Headers],[#Data],[seller_id]:[seller_user]],2,FALSE)</f>
        <v>dress4beauty</v>
      </c>
      <c r="G654">
        <v>1</v>
      </c>
      <c r="H654">
        <f t="shared" si="10"/>
        <v>32.96</v>
      </c>
    </row>
    <row r="655" spans="1:8" x14ac:dyDescent="0.3">
      <c r="A655" t="str">
        <f>VLOOKUP(B655,Table3[[#Headers],[#Data]],3,FALSE)</f>
        <v>Jewellery</v>
      </c>
      <c r="B655" t="s">
        <v>869</v>
      </c>
      <c r="C655">
        <f>VLOOKUP(B655,Table3[[#Headers],[#Data]],4, FALSE)</f>
        <v>37.76</v>
      </c>
      <c r="D655" t="str">
        <f>VLOOKUP('Rough data'!B655,Table3[[#Headers],[#Data]],2,FALSE)</f>
        <v>Anklet - Silver Tone</v>
      </c>
      <c r="E655" t="str">
        <f>VLOOKUP(B655,Table3[[#Headers],[#Data]],5,FALSE)</f>
        <v>SELL0092</v>
      </c>
      <c r="F655" t="str">
        <f>VLOOKUP(E655,Table2[[#Headers],[#Data],[seller_id]:[seller_user]],2,FALSE)</f>
        <v>dress4beauty</v>
      </c>
      <c r="G655">
        <v>1</v>
      </c>
      <c r="H655">
        <f t="shared" si="10"/>
        <v>37.76</v>
      </c>
    </row>
    <row r="656" spans="1:8" x14ac:dyDescent="0.3">
      <c r="A656" t="str">
        <f>VLOOKUP(B656,Table3[[#Headers],[#Data]],3,FALSE)</f>
        <v>Jewellery</v>
      </c>
      <c r="B656" t="s">
        <v>869</v>
      </c>
      <c r="C656">
        <f>VLOOKUP(B656,Table3[[#Headers],[#Data]],4, FALSE)</f>
        <v>37.76</v>
      </c>
      <c r="D656" t="str">
        <f>VLOOKUP('Rough data'!B656,Table3[[#Headers],[#Data]],2,FALSE)</f>
        <v>Anklet - Silver Tone</v>
      </c>
      <c r="E656" t="str">
        <f>VLOOKUP(B656,Table3[[#Headers],[#Data]],5,FALSE)</f>
        <v>SELL0092</v>
      </c>
      <c r="F656" t="str">
        <f>VLOOKUP(E656,Table2[[#Headers],[#Data],[seller_id]:[seller_user]],2,FALSE)</f>
        <v>dress4beauty</v>
      </c>
      <c r="G656">
        <v>1</v>
      </c>
      <c r="H656">
        <f t="shared" si="10"/>
        <v>37.76</v>
      </c>
    </row>
    <row r="657" spans="1:8" x14ac:dyDescent="0.3">
      <c r="A657" t="str">
        <f>VLOOKUP(B657,Table3[[#Headers],[#Data]],3,FALSE)</f>
        <v>Jewellery</v>
      </c>
      <c r="B657" t="s">
        <v>871</v>
      </c>
      <c r="C657">
        <f>VLOOKUP(B657,Table3[[#Headers],[#Data]],4, FALSE)</f>
        <v>35.5</v>
      </c>
      <c r="D657" t="str">
        <f>VLOOKUP('Rough data'!B657,Table3[[#Headers],[#Data]],2,FALSE)</f>
        <v>Pendant Necklace - Silver</v>
      </c>
      <c r="E657" t="str">
        <f>VLOOKUP(B657,Table3[[#Headers],[#Data]],5,FALSE)</f>
        <v>SELL0092</v>
      </c>
      <c r="F657" t="str">
        <f>VLOOKUP(E657,Table2[[#Headers],[#Data],[seller_id]:[seller_user]],2,FALSE)</f>
        <v>dress4beauty</v>
      </c>
      <c r="G657">
        <v>2</v>
      </c>
      <c r="H657">
        <f t="shared" si="10"/>
        <v>71</v>
      </c>
    </row>
    <row r="658" spans="1:8" x14ac:dyDescent="0.3">
      <c r="A658" t="str">
        <f>VLOOKUP(B658,Table3[[#Headers],[#Data]],3,FALSE)</f>
        <v>Jewellery</v>
      </c>
      <c r="B658" t="s">
        <v>871</v>
      </c>
      <c r="C658">
        <f>VLOOKUP(B658,Table3[[#Headers],[#Data]],4, FALSE)</f>
        <v>35.5</v>
      </c>
      <c r="D658" t="str">
        <f>VLOOKUP('Rough data'!B658,Table3[[#Headers],[#Data]],2,FALSE)</f>
        <v>Pendant Necklace - Silver</v>
      </c>
      <c r="E658" t="str">
        <f>VLOOKUP(B658,Table3[[#Headers],[#Data]],5,FALSE)</f>
        <v>SELL0092</v>
      </c>
      <c r="F658" t="str">
        <f>VLOOKUP(E658,Table2[[#Headers],[#Data],[seller_id]:[seller_user]],2,FALSE)</f>
        <v>dress4beauty</v>
      </c>
      <c r="G658">
        <v>1</v>
      </c>
      <c r="H658">
        <f t="shared" si="10"/>
        <v>35.5</v>
      </c>
    </row>
    <row r="659" spans="1:8" x14ac:dyDescent="0.3">
      <c r="A659" t="str">
        <f>VLOOKUP(B659,Table3[[#Headers],[#Data]],3,FALSE)</f>
        <v>Jewellery</v>
      </c>
      <c r="B659" t="s">
        <v>875</v>
      </c>
      <c r="C659">
        <f>VLOOKUP(B659,Table3[[#Headers],[#Data]],4, FALSE)</f>
        <v>41.73</v>
      </c>
      <c r="D659" t="str">
        <f>VLOOKUP('Rough data'!B659,Table3[[#Headers],[#Data]],2,FALSE)</f>
        <v>Gold-plated Hoop Earrings 4mm</v>
      </c>
      <c r="E659" t="str">
        <f>VLOOKUP(B659,Table3[[#Headers],[#Data]],5,FALSE)</f>
        <v>SELL0092</v>
      </c>
      <c r="F659" t="str">
        <f>VLOOKUP(E659,Table2[[#Headers],[#Data],[seller_id]:[seller_user]],2,FALSE)</f>
        <v>dress4beauty</v>
      </c>
      <c r="G659">
        <v>1</v>
      </c>
      <c r="H659">
        <f t="shared" si="10"/>
        <v>41.73</v>
      </c>
    </row>
    <row r="660" spans="1:8" x14ac:dyDescent="0.3">
      <c r="A660" t="str">
        <f>VLOOKUP(B660,Table3[[#Headers],[#Data]],3,FALSE)</f>
        <v>Jewellery</v>
      </c>
      <c r="B660" t="s">
        <v>877</v>
      </c>
      <c r="C660">
        <f>VLOOKUP(B660,Table3[[#Headers],[#Data]],4, FALSE)</f>
        <v>39.04</v>
      </c>
      <c r="D660" t="str">
        <f>VLOOKUP('Rough data'!B660,Table3[[#Headers],[#Data]],2,FALSE)</f>
        <v>Gold-plated Hoop Earrings 5mm</v>
      </c>
      <c r="E660" t="str">
        <f>VLOOKUP(B660,Table3[[#Headers],[#Data]],5,FALSE)</f>
        <v>SELL0092</v>
      </c>
      <c r="F660" t="str">
        <f>VLOOKUP(E660,Table2[[#Headers],[#Data],[seller_id]:[seller_user]],2,FALSE)</f>
        <v>dress4beauty</v>
      </c>
      <c r="G660">
        <v>1</v>
      </c>
      <c r="H660">
        <f t="shared" si="10"/>
        <v>39.04</v>
      </c>
    </row>
    <row r="661" spans="1:8" x14ac:dyDescent="0.3">
      <c r="A661" t="str">
        <f>VLOOKUP(B661,Table3[[#Headers],[#Data]],3,FALSE)</f>
        <v>Jewellery</v>
      </c>
      <c r="B661" t="s">
        <v>877</v>
      </c>
      <c r="C661">
        <f>VLOOKUP(B661,Table3[[#Headers],[#Data]],4, FALSE)</f>
        <v>39.04</v>
      </c>
      <c r="D661" t="str">
        <f>VLOOKUP('Rough data'!B661,Table3[[#Headers],[#Data]],2,FALSE)</f>
        <v>Gold-plated Hoop Earrings 5mm</v>
      </c>
      <c r="E661" t="str">
        <f>VLOOKUP(B661,Table3[[#Headers],[#Data]],5,FALSE)</f>
        <v>SELL0092</v>
      </c>
      <c r="F661" t="str">
        <f>VLOOKUP(E661,Table2[[#Headers],[#Data],[seller_id]:[seller_user]],2,FALSE)</f>
        <v>dress4beauty</v>
      </c>
      <c r="G661">
        <v>1</v>
      </c>
      <c r="H661">
        <f t="shared" si="10"/>
        <v>39.04</v>
      </c>
    </row>
    <row r="662" spans="1:8" x14ac:dyDescent="0.3">
      <c r="A662" t="str">
        <f>VLOOKUP(B662,Table3[[#Headers],[#Data]],3,FALSE)</f>
        <v>Jewellery</v>
      </c>
      <c r="B662" t="s">
        <v>879</v>
      </c>
      <c r="C662">
        <f>VLOOKUP(B662,Table3[[#Headers],[#Data]],4, FALSE)</f>
        <v>21.1</v>
      </c>
      <c r="D662" t="str">
        <f>VLOOKUP('Rough data'!B662,Table3[[#Headers],[#Data]],2,FALSE)</f>
        <v>Gold-plated Hoop Earrings Crystal Clip</v>
      </c>
      <c r="E662" t="str">
        <f>VLOOKUP(B662,Table3[[#Headers],[#Data]],5,FALSE)</f>
        <v>SELL0092</v>
      </c>
      <c r="F662" t="str">
        <f>VLOOKUP(E662,Table2[[#Headers],[#Data],[seller_id]:[seller_user]],2,FALSE)</f>
        <v>dress4beauty</v>
      </c>
      <c r="G662">
        <v>1</v>
      </c>
      <c r="H662">
        <f t="shared" si="10"/>
        <v>21.1</v>
      </c>
    </row>
    <row r="663" spans="1:8" x14ac:dyDescent="0.3">
      <c r="A663" t="str">
        <f>VLOOKUP(B663,Table3[[#Headers],[#Data]],3,FALSE)</f>
        <v>Jewellery</v>
      </c>
      <c r="B663" t="s">
        <v>879</v>
      </c>
      <c r="C663">
        <f>VLOOKUP(B663,Table3[[#Headers],[#Data]],4, FALSE)</f>
        <v>21.1</v>
      </c>
      <c r="D663" t="str">
        <f>VLOOKUP('Rough data'!B663,Table3[[#Headers],[#Data]],2,FALSE)</f>
        <v>Gold-plated Hoop Earrings Crystal Clip</v>
      </c>
      <c r="E663" t="str">
        <f>VLOOKUP(B663,Table3[[#Headers],[#Data]],5,FALSE)</f>
        <v>SELL0092</v>
      </c>
      <c r="F663" t="str">
        <f>VLOOKUP(E663,Table2[[#Headers],[#Data],[seller_id]:[seller_user]],2,FALSE)</f>
        <v>dress4beauty</v>
      </c>
      <c r="G663">
        <v>1</v>
      </c>
      <c r="H663">
        <f t="shared" si="10"/>
        <v>21.1</v>
      </c>
    </row>
    <row r="664" spans="1:8" x14ac:dyDescent="0.3">
      <c r="A664" t="str">
        <f>VLOOKUP(B664,Table3[[#Headers],[#Data]],3,FALSE)</f>
        <v>Jewellery</v>
      </c>
      <c r="B664" t="s">
        <v>879</v>
      </c>
      <c r="C664">
        <f>VLOOKUP(B664,Table3[[#Headers],[#Data]],4, FALSE)</f>
        <v>21.1</v>
      </c>
      <c r="D664" t="str">
        <f>VLOOKUP('Rough data'!B664,Table3[[#Headers],[#Data]],2,FALSE)</f>
        <v>Gold-plated Hoop Earrings Crystal Clip</v>
      </c>
      <c r="E664" t="str">
        <f>VLOOKUP(B664,Table3[[#Headers],[#Data]],5,FALSE)</f>
        <v>SELL0092</v>
      </c>
      <c r="F664" t="str">
        <f>VLOOKUP(E664,Table2[[#Headers],[#Data],[seller_id]:[seller_user]],2,FALSE)</f>
        <v>dress4beauty</v>
      </c>
      <c r="G664">
        <v>1</v>
      </c>
      <c r="H664">
        <f t="shared" si="10"/>
        <v>21.1</v>
      </c>
    </row>
    <row r="665" spans="1:8" x14ac:dyDescent="0.3">
      <c r="A665" t="str">
        <f>VLOOKUP(B665,Table3[[#Headers],[#Data]],3,FALSE)</f>
        <v>Outdoor</v>
      </c>
      <c r="B665" t="s">
        <v>881</v>
      </c>
      <c r="C665">
        <f>VLOOKUP(B665,Table3[[#Headers],[#Data]],4, FALSE)</f>
        <v>48.82</v>
      </c>
      <c r="D665" t="str">
        <f>VLOOKUP('Rough data'!B665,Table3[[#Headers],[#Data]],2,FALSE)</f>
        <v>Garden Ornament Gnome Red Spots</v>
      </c>
      <c r="E665" t="str">
        <f>VLOOKUP(B665,Table3[[#Headers],[#Data]],5,FALSE)</f>
        <v>SELL0092</v>
      </c>
      <c r="F665" t="str">
        <f>VLOOKUP(E665,Table2[[#Headers],[#Data],[seller_id]:[seller_user]],2,FALSE)</f>
        <v>dress4beauty</v>
      </c>
      <c r="G665">
        <v>1</v>
      </c>
      <c r="H665">
        <f t="shared" si="10"/>
        <v>48.82</v>
      </c>
    </row>
    <row r="666" spans="1:8" x14ac:dyDescent="0.3">
      <c r="A666" t="str">
        <f>VLOOKUP(B666,Table3[[#Headers],[#Data]],3,FALSE)</f>
        <v>Outdoor</v>
      </c>
      <c r="B666" t="s">
        <v>883</v>
      </c>
      <c r="C666">
        <f>VLOOKUP(B666,Table3[[#Headers],[#Data]],4, FALSE)</f>
        <v>81.02</v>
      </c>
      <c r="D666" t="str">
        <f>VLOOKUP('Rough data'!B666,Table3[[#Headers],[#Data]],2,FALSE)</f>
        <v>BBQ Meat Thermometer Bluetooth</v>
      </c>
      <c r="E666" t="str">
        <f>VLOOKUP(B666,Table3[[#Headers],[#Data]],5,FALSE)</f>
        <v>SELL0092</v>
      </c>
      <c r="F666" t="str">
        <f>VLOOKUP(E666,Table2[[#Headers],[#Data],[seller_id]:[seller_user]],2,FALSE)</f>
        <v>dress4beauty</v>
      </c>
      <c r="G666">
        <v>1</v>
      </c>
      <c r="H666">
        <f t="shared" si="10"/>
        <v>81.02</v>
      </c>
    </row>
    <row r="667" spans="1:8" x14ac:dyDescent="0.3">
      <c r="A667" t="str">
        <f>VLOOKUP(B667,Table3[[#Headers],[#Data]],3,FALSE)</f>
        <v>Outdoor</v>
      </c>
      <c r="B667" t="s">
        <v>883</v>
      </c>
      <c r="C667">
        <f>VLOOKUP(B667,Table3[[#Headers],[#Data]],4, FALSE)</f>
        <v>81.02</v>
      </c>
      <c r="D667" t="str">
        <f>VLOOKUP('Rough data'!B667,Table3[[#Headers],[#Data]],2,FALSE)</f>
        <v>BBQ Meat Thermometer Bluetooth</v>
      </c>
      <c r="E667" t="str">
        <f>VLOOKUP(B667,Table3[[#Headers],[#Data]],5,FALSE)</f>
        <v>SELL0092</v>
      </c>
      <c r="F667" t="str">
        <f>VLOOKUP(E667,Table2[[#Headers],[#Data],[seller_id]:[seller_user]],2,FALSE)</f>
        <v>dress4beauty</v>
      </c>
      <c r="G667">
        <v>1</v>
      </c>
      <c r="H667">
        <f t="shared" si="10"/>
        <v>81.02</v>
      </c>
    </row>
    <row r="668" spans="1:8" x14ac:dyDescent="0.3">
      <c r="A668" t="str">
        <f>VLOOKUP(B668,Table3[[#Headers],[#Data]],3,FALSE)</f>
        <v>Outdoor</v>
      </c>
      <c r="B668" t="s">
        <v>883</v>
      </c>
      <c r="C668">
        <f>VLOOKUP(B668,Table3[[#Headers],[#Data]],4, FALSE)</f>
        <v>81.02</v>
      </c>
      <c r="D668" t="str">
        <f>VLOOKUP('Rough data'!B668,Table3[[#Headers],[#Data]],2,FALSE)</f>
        <v>BBQ Meat Thermometer Bluetooth</v>
      </c>
      <c r="E668" t="str">
        <f>VLOOKUP(B668,Table3[[#Headers],[#Data]],5,FALSE)</f>
        <v>SELL0092</v>
      </c>
      <c r="F668" t="str">
        <f>VLOOKUP(E668,Table2[[#Headers],[#Data],[seller_id]:[seller_user]],2,FALSE)</f>
        <v>dress4beauty</v>
      </c>
      <c r="G668">
        <v>1</v>
      </c>
      <c r="H668">
        <f t="shared" si="10"/>
        <v>81.02</v>
      </c>
    </row>
    <row r="669" spans="1:8" x14ac:dyDescent="0.3">
      <c r="A669" t="str">
        <f>VLOOKUP(B669,Table3[[#Headers],[#Data]],3,FALSE)</f>
        <v>Outdoor</v>
      </c>
      <c r="B669" t="s">
        <v>883</v>
      </c>
      <c r="C669">
        <f>VLOOKUP(B669,Table3[[#Headers],[#Data]],4, FALSE)</f>
        <v>81.02</v>
      </c>
      <c r="D669" t="str">
        <f>VLOOKUP('Rough data'!B669,Table3[[#Headers],[#Data]],2,FALSE)</f>
        <v>BBQ Meat Thermometer Bluetooth</v>
      </c>
      <c r="E669" t="str">
        <f>VLOOKUP(B669,Table3[[#Headers],[#Data]],5,FALSE)</f>
        <v>SELL0092</v>
      </c>
      <c r="F669" t="str">
        <f>VLOOKUP(E669,Table2[[#Headers],[#Data],[seller_id]:[seller_user]],2,FALSE)</f>
        <v>dress4beauty</v>
      </c>
      <c r="G669">
        <v>1</v>
      </c>
      <c r="H669">
        <f t="shared" si="10"/>
        <v>81.02</v>
      </c>
    </row>
    <row r="670" spans="1:8" x14ac:dyDescent="0.3">
      <c r="A670" t="str">
        <f>VLOOKUP(B670,Table3[[#Headers],[#Data]],3,FALSE)</f>
        <v>Outdoor</v>
      </c>
      <c r="B670" t="s">
        <v>883</v>
      </c>
      <c r="C670">
        <f>VLOOKUP(B670,Table3[[#Headers],[#Data]],4, FALSE)</f>
        <v>81.02</v>
      </c>
      <c r="D670" t="str">
        <f>VLOOKUP('Rough data'!B670,Table3[[#Headers],[#Data]],2,FALSE)</f>
        <v>BBQ Meat Thermometer Bluetooth</v>
      </c>
      <c r="E670" t="str">
        <f>VLOOKUP(B670,Table3[[#Headers],[#Data]],5,FALSE)</f>
        <v>SELL0092</v>
      </c>
      <c r="F670" t="str">
        <f>VLOOKUP(E670,Table2[[#Headers],[#Data],[seller_id]:[seller_user]],2,FALSE)</f>
        <v>dress4beauty</v>
      </c>
      <c r="G670">
        <v>1</v>
      </c>
      <c r="H670">
        <f t="shared" si="10"/>
        <v>81.02</v>
      </c>
    </row>
    <row r="671" spans="1:8" x14ac:dyDescent="0.3">
      <c r="A671" t="str">
        <f>VLOOKUP(B671,Table3[[#Headers],[#Data]],3,FALSE)</f>
        <v>Outdoor</v>
      </c>
      <c r="B671" t="s">
        <v>883</v>
      </c>
      <c r="C671">
        <f>VLOOKUP(B671,Table3[[#Headers],[#Data]],4, FALSE)</f>
        <v>81.02</v>
      </c>
      <c r="D671" t="str">
        <f>VLOOKUP('Rough data'!B671,Table3[[#Headers],[#Data]],2,FALSE)</f>
        <v>BBQ Meat Thermometer Bluetooth</v>
      </c>
      <c r="E671" t="str">
        <f>VLOOKUP(B671,Table3[[#Headers],[#Data]],5,FALSE)</f>
        <v>SELL0092</v>
      </c>
      <c r="F671" t="str">
        <f>VLOOKUP(E671,Table2[[#Headers],[#Data],[seller_id]:[seller_user]],2,FALSE)</f>
        <v>dress4beauty</v>
      </c>
      <c r="G671">
        <v>1</v>
      </c>
      <c r="H671">
        <f t="shared" si="10"/>
        <v>81.02</v>
      </c>
    </row>
    <row r="672" spans="1:8" x14ac:dyDescent="0.3">
      <c r="A672" t="str">
        <f>VLOOKUP(B672,Table3[[#Headers],[#Data]],3,FALSE)</f>
        <v>Outdoor</v>
      </c>
      <c r="B672" t="s">
        <v>885</v>
      </c>
      <c r="C672">
        <f>VLOOKUP(B672,Table3[[#Headers],[#Data]],4, FALSE)</f>
        <v>99.85</v>
      </c>
      <c r="D672" t="str">
        <f>VLOOKUP('Rough data'!B672,Table3[[#Headers],[#Data]],2,FALSE)</f>
        <v>Turtle Ornament Garden</v>
      </c>
      <c r="E672" t="str">
        <f>VLOOKUP(B672,Table3[[#Headers],[#Data]],5,FALSE)</f>
        <v>SELL0092</v>
      </c>
      <c r="F672" t="str">
        <f>VLOOKUP(E672,Table2[[#Headers],[#Data],[seller_id]:[seller_user]],2,FALSE)</f>
        <v>dress4beauty</v>
      </c>
      <c r="G672">
        <v>1</v>
      </c>
      <c r="H672">
        <f t="shared" si="10"/>
        <v>99.85</v>
      </c>
    </row>
    <row r="673" spans="1:8" x14ac:dyDescent="0.3">
      <c r="A673" t="str">
        <f>VLOOKUP(B673,Table3[[#Headers],[#Data]],3,FALSE)</f>
        <v>Outdoor</v>
      </c>
      <c r="B673" t="s">
        <v>885</v>
      </c>
      <c r="C673">
        <f>VLOOKUP(B673,Table3[[#Headers],[#Data]],4, FALSE)</f>
        <v>99.85</v>
      </c>
      <c r="D673" t="str">
        <f>VLOOKUP('Rough data'!B673,Table3[[#Headers],[#Data]],2,FALSE)</f>
        <v>Turtle Ornament Garden</v>
      </c>
      <c r="E673" t="str">
        <f>VLOOKUP(B673,Table3[[#Headers],[#Data]],5,FALSE)</f>
        <v>SELL0092</v>
      </c>
      <c r="F673" t="str">
        <f>VLOOKUP(E673,Table2[[#Headers],[#Data],[seller_id]:[seller_user]],2,FALSE)</f>
        <v>dress4beauty</v>
      </c>
      <c r="G673">
        <v>1</v>
      </c>
      <c r="H673">
        <f t="shared" si="10"/>
        <v>99.85</v>
      </c>
    </row>
    <row r="674" spans="1:8" x14ac:dyDescent="0.3">
      <c r="A674" t="str">
        <f>VLOOKUP(B674,Table3[[#Headers],[#Data]],3,FALSE)</f>
        <v>Outdoor</v>
      </c>
      <c r="B674" t="s">
        <v>885</v>
      </c>
      <c r="C674">
        <f>VLOOKUP(B674,Table3[[#Headers],[#Data]],4, FALSE)</f>
        <v>99.85</v>
      </c>
      <c r="D674" t="str">
        <f>VLOOKUP('Rough data'!B674,Table3[[#Headers],[#Data]],2,FALSE)</f>
        <v>Turtle Ornament Garden</v>
      </c>
      <c r="E674" t="str">
        <f>VLOOKUP(B674,Table3[[#Headers],[#Data]],5,FALSE)</f>
        <v>SELL0092</v>
      </c>
      <c r="F674" t="str">
        <f>VLOOKUP(E674,Table2[[#Headers],[#Data],[seller_id]:[seller_user]],2,FALSE)</f>
        <v>dress4beauty</v>
      </c>
      <c r="G674">
        <v>2</v>
      </c>
      <c r="H674">
        <f t="shared" si="10"/>
        <v>199.7</v>
      </c>
    </row>
    <row r="675" spans="1:8" x14ac:dyDescent="0.3">
      <c r="A675" t="str">
        <f>VLOOKUP(B675,Table3[[#Headers],[#Data]],3,FALSE)</f>
        <v>Outdoor</v>
      </c>
      <c r="B675" t="s">
        <v>887</v>
      </c>
      <c r="C675">
        <f>VLOOKUP(B675,Table3[[#Headers],[#Data]],4, FALSE)</f>
        <v>23.33</v>
      </c>
      <c r="D675" t="str">
        <f>VLOOKUP('Rough data'!B675,Table3[[#Headers],[#Data]],2,FALSE)</f>
        <v>Solar Garden Light Set</v>
      </c>
      <c r="E675" t="str">
        <f>VLOOKUP(B675,Table3[[#Headers],[#Data]],5,FALSE)</f>
        <v>SELL0092</v>
      </c>
      <c r="F675" t="str">
        <f>VLOOKUP(E675,Table2[[#Headers],[#Data],[seller_id]:[seller_user]],2,FALSE)</f>
        <v>dress4beauty</v>
      </c>
      <c r="G675">
        <v>1</v>
      </c>
      <c r="H675">
        <f t="shared" si="10"/>
        <v>23.33</v>
      </c>
    </row>
    <row r="676" spans="1:8" x14ac:dyDescent="0.3">
      <c r="A676" t="str">
        <f>VLOOKUP(B676,Table3[[#Headers],[#Data]],3,FALSE)</f>
        <v>Outdoor</v>
      </c>
      <c r="B676" t="s">
        <v>887</v>
      </c>
      <c r="C676">
        <f>VLOOKUP(B676,Table3[[#Headers],[#Data]],4, FALSE)</f>
        <v>23.33</v>
      </c>
      <c r="D676" t="str">
        <f>VLOOKUP('Rough data'!B676,Table3[[#Headers],[#Data]],2,FALSE)</f>
        <v>Solar Garden Light Set</v>
      </c>
      <c r="E676" t="str">
        <f>VLOOKUP(B676,Table3[[#Headers],[#Data]],5,FALSE)</f>
        <v>SELL0092</v>
      </c>
      <c r="F676" t="str">
        <f>VLOOKUP(E676,Table2[[#Headers],[#Data],[seller_id]:[seller_user]],2,FALSE)</f>
        <v>dress4beauty</v>
      </c>
      <c r="G676">
        <v>1</v>
      </c>
      <c r="H676">
        <f t="shared" si="10"/>
        <v>23.33</v>
      </c>
    </row>
    <row r="677" spans="1:8" x14ac:dyDescent="0.3">
      <c r="A677" t="str">
        <f>VLOOKUP(B677,Table3[[#Headers],[#Data]],3,FALSE)</f>
        <v>Outdoor</v>
      </c>
      <c r="B677" t="s">
        <v>887</v>
      </c>
      <c r="C677">
        <f>VLOOKUP(B677,Table3[[#Headers],[#Data]],4, FALSE)</f>
        <v>23.33</v>
      </c>
      <c r="D677" t="str">
        <f>VLOOKUP('Rough data'!B677,Table3[[#Headers],[#Data]],2,FALSE)</f>
        <v>Solar Garden Light Set</v>
      </c>
      <c r="E677" t="str">
        <f>VLOOKUP(B677,Table3[[#Headers],[#Data]],5,FALSE)</f>
        <v>SELL0092</v>
      </c>
      <c r="F677" t="str">
        <f>VLOOKUP(E677,Table2[[#Headers],[#Data],[seller_id]:[seller_user]],2,FALSE)</f>
        <v>dress4beauty</v>
      </c>
      <c r="G677">
        <v>1</v>
      </c>
      <c r="H677">
        <f t="shared" si="10"/>
        <v>23.33</v>
      </c>
    </row>
    <row r="678" spans="1:8" x14ac:dyDescent="0.3">
      <c r="A678" t="str">
        <f>VLOOKUP(B678,Table3[[#Headers],[#Data]],3,FALSE)</f>
        <v>Outdoor</v>
      </c>
      <c r="B678" t="s">
        <v>887</v>
      </c>
      <c r="C678">
        <f>VLOOKUP(B678,Table3[[#Headers],[#Data]],4, FALSE)</f>
        <v>23.33</v>
      </c>
      <c r="D678" t="str">
        <f>VLOOKUP('Rough data'!B678,Table3[[#Headers],[#Data]],2,FALSE)</f>
        <v>Solar Garden Light Set</v>
      </c>
      <c r="E678" t="str">
        <f>VLOOKUP(B678,Table3[[#Headers],[#Data]],5,FALSE)</f>
        <v>SELL0092</v>
      </c>
      <c r="F678" t="str">
        <f>VLOOKUP(E678,Table2[[#Headers],[#Data],[seller_id]:[seller_user]],2,FALSE)</f>
        <v>dress4beauty</v>
      </c>
      <c r="G678">
        <v>1</v>
      </c>
      <c r="H678">
        <f t="shared" si="10"/>
        <v>23.33</v>
      </c>
    </row>
    <row r="679" spans="1:8" x14ac:dyDescent="0.3">
      <c r="A679" t="str">
        <f>VLOOKUP(B679,Table3[[#Headers],[#Data]],3,FALSE)</f>
        <v>Outdoor</v>
      </c>
      <c r="B679" t="s">
        <v>887</v>
      </c>
      <c r="C679">
        <f>VLOOKUP(B679,Table3[[#Headers],[#Data]],4, FALSE)</f>
        <v>23.33</v>
      </c>
      <c r="D679" t="str">
        <f>VLOOKUP('Rough data'!B679,Table3[[#Headers],[#Data]],2,FALSE)</f>
        <v>Solar Garden Light Set</v>
      </c>
      <c r="E679" t="str">
        <f>VLOOKUP(B679,Table3[[#Headers],[#Data]],5,FALSE)</f>
        <v>SELL0092</v>
      </c>
      <c r="F679" t="str">
        <f>VLOOKUP(E679,Table2[[#Headers],[#Data],[seller_id]:[seller_user]],2,FALSE)</f>
        <v>dress4beauty</v>
      </c>
      <c r="G679">
        <v>1</v>
      </c>
      <c r="H679">
        <f t="shared" si="10"/>
        <v>23.33</v>
      </c>
    </row>
    <row r="680" spans="1:8" x14ac:dyDescent="0.3">
      <c r="A680" t="str">
        <f>VLOOKUP(B680,Table3[[#Headers],[#Data]],3,FALSE)</f>
        <v>Outdoor</v>
      </c>
      <c r="B680" t="s">
        <v>889</v>
      </c>
      <c r="C680">
        <f>VLOOKUP(B680,Table3[[#Headers],[#Data]],4, FALSE)</f>
        <v>10.07</v>
      </c>
      <c r="D680" t="str">
        <f>VLOOKUP('Rough data'!B680,Table3[[#Headers],[#Data]],2,FALSE)</f>
        <v>Bamboo Picnic Rug Recycled Material</v>
      </c>
      <c r="E680" t="str">
        <f>VLOOKUP(B680,Table3[[#Headers],[#Data]],5,FALSE)</f>
        <v>SELL0092</v>
      </c>
      <c r="F680" t="str">
        <f>VLOOKUP(E680,Table2[[#Headers],[#Data],[seller_id]:[seller_user]],2,FALSE)</f>
        <v>dress4beauty</v>
      </c>
      <c r="G680">
        <v>1</v>
      </c>
      <c r="H680">
        <f t="shared" si="10"/>
        <v>10.07</v>
      </c>
    </row>
    <row r="681" spans="1:8" x14ac:dyDescent="0.3">
      <c r="A681" t="str">
        <f>VLOOKUP(B681,Table3[[#Headers],[#Data]],3,FALSE)</f>
        <v>Outdoor</v>
      </c>
      <c r="B681" t="s">
        <v>889</v>
      </c>
      <c r="C681">
        <f>VLOOKUP(B681,Table3[[#Headers],[#Data]],4, FALSE)</f>
        <v>10.07</v>
      </c>
      <c r="D681" t="str">
        <f>VLOOKUP('Rough data'!B681,Table3[[#Headers],[#Data]],2,FALSE)</f>
        <v>Bamboo Picnic Rug Recycled Material</v>
      </c>
      <c r="E681" t="str">
        <f>VLOOKUP(B681,Table3[[#Headers],[#Data]],5,FALSE)</f>
        <v>SELL0092</v>
      </c>
      <c r="F681" t="str">
        <f>VLOOKUP(E681,Table2[[#Headers],[#Data],[seller_id]:[seller_user]],2,FALSE)</f>
        <v>dress4beauty</v>
      </c>
      <c r="G681">
        <v>2</v>
      </c>
      <c r="H681">
        <f t="shared" si="10"/>
        <v>20.14</v>
      </c>
    </row>
    <row r="682" spans="1:8" x14ac:dyDescent="0.3">
      <c r="A682" t="str">
        <f>VLOOKUP(B682,Table3[[#Headers],[#Data]],3,FALSE)</f>
        <v>Outdoor</v>
      </c>
      <c r="B682" t="s">
        <v>889</v>
      </c>
      <c r="C682">
        <f>VLOOKUP(B682,Table3[[#Headers],[#Data]],4, FALSE)</f>
        <v>10.07</v>
      </c>
      <c r="D682" t="str">
        <f>VLOOKUP('Rough data'!B682,Table3[[#Headers],[#Data]],2,FALSE)</f>
        <v>Bamboo Picnic Rug Recycled Material</v>
      </c>
      <c r="E682" t="str">
        <f>VLOOKUP(B682,Table3[[#Headers],[#Data]],5,FALSE)</f>
        <v>SELL0092</v>
      </c>
      <c r="F682" t="str">
        <f>VLOOKUP(E682,Table2[[#Headers],[#Data],[seller_id]:[seller_user]],2,FALSE)</f>
        <v>dress4beauty</v>
      </c>
      <c r="G682">
        <v>1</v>
      </c>
      <c r="H682">
        <f t="shared" si="10"/>
        <v>10.07</v>
      </c>
    </row>
    <row r="683" spans="1:8" x14ac:dyDescent="0.3">
      <c r="A683" t="str">
        <f>VLOOKUP(B683,Table3[[#Headers],[#Data]],3,FALSE)</f>
        <v>Outdoor</v>
      </c>
      <c r="B683" t="s">
        <v>889</v>
      </c>
      <c r="C683">
        <f>VLOOKUP(B683,Table3[[#Headers],[#Data]],4, FALSE)</f>
        <v>10.07</v>
      </c>
      <c r="D683" t="str">
        <f>VLOOKUP('Rough data'!B683,Table3[[#Headers],[#Data]],2,FALSE)</f>
        <v>Bamboo Picnic Rug Recycled Material</v>
      </c>
      <c r="E683" t="str">
        <f>VLOOKUP(B683,Table3[[#Headers],[#Data]],5,FALSE)</f>
        <v>SELL0092</v>
      </c>
      <c r="F683" t="str">
        <f>VLOOKUP(E683,Table2[[#Headers],[#Data],[seller_id]:[seller_user]],2,FALSE)</f>
        <v>dress4beauty</v>
      </c>
      <c r="G683">
        <v>1</v>
      </c>
      <c r="H683">
        <f t="shared" si="10"/>
        <v>10.07</v>
      </c>
    </row>
    <row r="684" spans="1:8" x14ac:dyDescent="0.3">
      <c r="A684" t="str">
        <f>VLOOKUP(B684,Table3[[#Headers],[#Data]],3,FALSE)</f>
        <v>Outdoor</v>
      </c>
      <c r="B684" t="s">
        <v>889</v>
      </c>
      <c r="C684">
        <f>VLOOKUP(B684,Table3[[#Headers],[#Data]],4, FALSE)</f>
        <v>10.07</v>
      </c>
      <c r="D684" t="str">
        <f>VLOOKUP('Rough data'!B684,Table3[[#Headers],[#Data]],2,FALSE)</f>
        <v>Bamboo Picnic Rug Recycled Material</v>
      </c>
      <c r="E684" t="str">
        <f>VLOOKUP(B684,Table3[[#Headers],[#Data]],5,FALSE)</f>
        <v>SELL0092</v>
      </c>
      <c r="F684" t="str">
        <f>VLOOKUP(E684,Table2[[#Headers],[#Data],[seller_id]:[seller_user]],2,FALSE)</f>
        <v>dress4beauty</v>
      </c>
      <c r="G684">
        <v>1</v>
      </c>
      <c r="H684">
        <f t="shared" si="10"/>
        <v>10.07</v>
      </c>
    </row>
    <row r="685" spans="1:8" x14ac:dyDescent="0.3">
      <c r="A685" t="str">
        <f>VLOOKUP(B685,Table3[[#Headers],[#Data]],3,FALSE)</f>
        <v>Outdoor</v>
      </c>
      <c r="B685" t="s">
        <v>889</v>
      </c>
      <c r="C685">
        <f>VLOOKUP(B685,Table3[[#Headers],[#Data]],4, FALSE)</f>
        <v>10.07</v>
      </c>
      <c r="D685" t="str">
        <f>VLOOKUP('Rough data'!B685,Table3[[#Headers],[#Data]],2,FALSE)</f>
        <v>Bamboo Picnic Rug Recycled Material</v>
      </c>
      <c r="E685" t="str">
        <f>VLOOKUP(B685,Table3[[#Headers],[#Data]],5,FALSE)</f>
        <v>SELL0092</v>
      </c>
      <c r="F685" t="str">
        <f>VLOOKUP(E685,Table2[[#Headers],[#Data],[seller_id]:[seller_user]],2,FALSE)</f>
        <v>dress4beauty</v>
      </c>
      <c r="G685">
        <v>1</v>
      </c>
      <c r="H685">
        <f t="shared" si="10"/>
        <v>10.07</v>
      </c>
    </row>
    <row r="686" spans="1:8" x14ac:dyDescent="0.3">
      <c r="A686" t="str">
        <f>VLOOKUP(B686,Table3[[#Headers],[#Data]],3,FALSE)</f>
        <v>Outdoor</v>
      </c>
      <c r="B686" t="s">
        <v>889</v>
      </c>
      <c r="C686">
        <f>VLOOKUP(B686,Table3[[#Headers],[#Data]],4, FALSE)</f>
        <v>10.07</v>
      </c>
      <c r="D686" t="str">
        <f>VLOOKUP('Rough data'!B686,Table3[[#Headers],[#Data]],2,FALSE)</f>
        <v>Bamboo Picnic Rug Recycled Material</v>
      </c>
      <c r="E686" t="str">
        <f>VLOOKUP(B686,Table3[[#Headers],[#Data]],5,FALSE)</f>
        <v>SELL0092</v>
      </c>
      <c r="F686" t="str">
        <f>VLOOKUP(E686,Table2[[#Headers],[#Data],[seller_id]:[seller_user]],2,FALSE)</f>
        <v>dress4beauty</v>
      </c>
      <c r="G686">
        <v>1</v>
      </c>
      <c r="H686">
        <f t="shared" si="10"/>
        <v>10.07</v>
      </c>
    </row>
    <row r="687" spans="1:8" x14ac:dyDescent="0.3">
      <c r="A687" t="str">
        <f>VLOOKUP(B687,Table3[[#Headers],[#Data]],3,FALSE)</f>
        <v>Outdoor</v>
      </c>
      <c r="B687" t="s">
        <v>889</v>
      </c>
      <c r="C687">
        <f>VLOOKUP(B687,Table3[[#Headers],[#Data]],4, FALSE)</f>
        <v>10.07</v>
      </c>
      <c r="D687" t="str">
        <f>VLOOKUP('Rough data'!B687,Table3[[#Headers],[#Data]],2,FALSE)</f>
        <v>Bamboo Picnic Rug Recycled Material</v>
      </c>
      <c r="E687" t="str">
        <f>VLOOKUP(B687,Table3[[#Headers],[#Data]],5,FALSE)</f>
        <v>SELL0092</v>
      </c>
      <c r="F687" t="str">
        <f>VLOOKUP(E687,Table2[[#Headers],[#Data],[seller_id]:[seller_user]],2,FALSE)</f>
        <v>dress4beauty</v>
      </c>
      <c r="G687">
        <v>1</v>
      </c>
      <c r="H687">
        <f t="shared" si="10"/>
        <v>10.07</v>
      </c>
    </row>
    <row r="688" spans="1:8" x14ac:dyDescent="0.3">
      <c r="A688" t="str">
        <f>VLOOKUP(B688,Table3[[#Headers],[#Data]],3,FALSE)</f>
        <v>Outdoor</v>
      </c>
      <c r="B688" t="s">
        <v>889</v>
      </c>
      <c r="C688">
        <f>VLOOKUP(B688,Table3[[#Headers],[#Data]],4, FALSE)</f>
        <v>10.07</v>
      </c>
      <c r="D688" t="str">
        <f>VLOOKUP('Rough data'!B688,Table3[[#Headers],[#Data]],2,FALSE)</f>
        <v>Bamboo Picnic Rug Recycled Material</v>
      </c>
      <c r="E688" t="str">
        <f>VLOOKUP(B688,Table3[[#Headers],[#Data]],5,FALSE)</f>
        <v>SELL0092</v>
      </c>
      <c r="F688" t="str">
        <f>VLOOKUP(E688,Table2[[#Headers],[#Data],[seller_id]:[seller_user]],2,FALSE)</f>
        <v>dress4beauty</v>
      </c>
      <c r="G688">
        <v>1</v>
      </c>
      <c r="H688">
        <f t="shared" si="10"/>
        <v>10.07</v>
      </c>
    </row>
    <row r="689" spans="1:8" x14ac:dyDescent="0.3">
      <c r="A689" t="str">
        <f>VLOOKUP(B689,Table3[[#Headers],[#Data]],3,FALSE)</f>
        <v>Outdoor</v>
      </c>
      <c r="B689" t="s">
        <v>889</v>
      </c>
      <c r="C689">
        <f>VLOOKUP(B689,Table3[[#Headers],[#Data]],4, FALSE)</f>
        <v>10.07</v>
      </c>
      <c r="D689" t="str">
        <f>VLOOKUP('Rough data'!B689,Table3[[#Headers],[#Data]],2,FALSE)</f>
        <v>Bamboo Picnic Rug Recycled Material</v>
      </c>
      <c r="E689" t="str">
        <f>VLOOKUP(B689,Table3[[#Headers],[#Data]],5,FALSE)</f>
        <v>SELL0092</v>
      </c>
      <c r="F689" t="str">
        <f>VLOOKUP(E689,Table2[[#Headers],[#Data],[seller_id]:[seller_user]],2,FALSE)</f>
        <v>dress4beauty</v>
      </c>
      <c r="G689">
        <v>1</v>
      </c>
      <c r="H689">
        <f t="shared" si="10"/>
        <v>10.07</v>
      </c>
    </row>
    <row r="690" spans="1:8" x14ac:dyDescent="0.3">
      <c r="A690" t="str">
        <f>VLOOKUP(B690,Table3[[#Headers],[#Data]],3,FALSE)</f>
        <v>Outdoor</v>
      </c>
      <c r="B690" t="s">
        <v>889</v>
      </c>
      <c r="C690">
        <f>VLOOKUP(B690,Table3[[#Headers],[#Data]],4, FALSE)</f>
        <v>10.07</v>
      </c>
      <c r="D690" t="str">
        <f>VLOOKUP('Rough data'!B690,Table3[[#Headers],[#Data]],2,FALSE)</f>
        <v>Bamboo Picnic Rug Recycled Material</v>
      </c>
      <c r="E690" t="str">
        <f>VLOOKUP(B690,Table3[[#Headers],[#Data]],5,FALSE)</f>
        <v>SELL0092</v>
      </c>
      <c r="F690" t="str">
        <f>VLOOKUP(E690,Table2[[#Headers],[#Data],[seller_id]:[seller_user]],2,FALSE)</f>
        <v>dress4beauty</v>
      </c>
      <c r="G690">
        <v>1</v>
      </c>
      <c r="H690">
        <f t="shared" si="10"/>
        <v>10.07</v>
      </c>
    </row>
    <row r="691" spans="1:8" x14ac:dyDescent="0.3">
      <c r="A691" t="str">
        <f>VLOOKUP(B691,Table3[[#Headers],[#Data]],3,FALSE)</f>
        <v>Outdoor</v>
      </c>
      <c r="B691" t="s">
        <v>889</v>
      </c>
      <c r="C691">
        <f>VLOOKUP(B691,Table3[[#Headers],[#Data]],4, FALSE)</f>
        <v>10.07</v>
      </c>
      <c r="D691" t="str">
        <f>VLOOKUP('Rough data'!B691,Table3[[#Headers],[#Data]],2,FALSE)</f>
        <v>Bamboo Picnic Rug Recycled Material</v>
      </c>
      <c r="E691" t="str">
        <f>VLOOKUP(B691,Table3[[#Headers],[#Data]],5,FALSE)</f>
        <v>SELL0092</v>
      </c>
      <c r="F691" t="str">
        <f>VLOOKUP(E691,Table2[[#Headers],[#Data],[seller_id]:[seller_user]],2,FALSE)</f>
        <v>dress4beauty</v>
      </c>
      <c r="G691">
        <v>1</v>
      </c>
      <c r="H691">
        <f t="shared" si="10"/>
        <v>10.07</v>
      </c>
    </row>
    <row r="692" spans="1:8" x14ac:dyDescent="0.3">
      <c r="A692" t="str">
        <f>VLOOKUP(B692,Table3[[#Headers],[#Data]],3,FALSE)</f>
        <v>Outdoor</v>
      </c>
      <c r="B692" t="s">
        <v>889</v>
      </c>
      <c r="C692">
        <f>VLOOKUP(B692,Table3[[#Headers],[#Data]],4, FALSE)</f>
        <v>10.07</v>
      </c>
      <c r="D692" t="str">
        <f>VLOOKUP('Rough data'!B692,Table3[[#Headers],[#Data]],2,FALSE)</f>
        <v>Bamboo Picnic Rug Recycled Material</v>
      </c>
      <c r="E692" t="str">
        <f>VLOOKUP(B692,Table3[[#Headers],[#Data]],5,FALSE)</f>
        <v>SELL0092</v>
      </c>
      <c r="F692" t="str">
        <f>VLOOKUP(E692,Table2[[#Headers],[#Data],[seller_id]:[seller_user]],2,FALSE)</f>
        <v>dress4beauty</v>
      </c>
      <c r="G692">
        <v>2</v>
      </c>
      <c r="H692">
        <f t="shared" si="10"/>
        <v>20.14</v>
      </c>
    </row>
    <row r="693" spans="1:8" x14ac:dyDescent="0.3">
      <c r="A693" t="str">
        <f>VLOOKUP(B693,Table3[[#Headers],[#Data]],3,FALSE)</f>
        <v>Outdoor</v>
      </c>
      <c r="B693" t="s">
        <v>889</v>
      </c>
      <c r="C693">
        <f>VLOOKUP(B693,Table3[[#Headers],[#Data]],4, FALSE)</f>
        <v>10.07</v>
      </c>
      <c r="D693" t="str">
        <f>VLOOKUP('Rough data'!B693,Table3[[#Headers],[#Data]],2,FALSE)</f>
        <v>Bamboo Picnic Rug Recycled Material</v>
      </c>
      <c r="E693" t="str">
        <f>VLOOKUP(B693,Table3[[#Headers],[#Data]],5,FALSE)</f>
        <v>SELL0092</v>
      </c>
      <c r="F693" t="str">
        <f>VLOOKUP(E693,Table2[[#Headers],[#Data],[seller_id]:[seller_user]],2,FALSE)</f>
        <v>dress4beauty</v>
      </c>
      <c r="G693">
        <v>1</v>
      </c>
      <c r="H693">
        <f t="shared" si="10"/>
        <v>10.07</v>
      </c>
    </row>
    <row r="694" spans="1:8" x14ac:dyDescent="0.3">
      <c r="A694" t="str">
        <f>VLOOKUP(B694,Table3[[#Headers],[#Data]],3,FALSE)</f>
        <v>Outdoor</v>
      </c>
      <c r="B694" t="s">
        <v>889</v>
      </c>
      <c r="C694">
        <f>VLOOKUP(B694,Table3[[#Headers],[#Data]],4, FALSE)</f>
        <v>10.07</v>
      </c>
      <c r="D694" t="str">
        <f>VLOOKUP('Rough data'!B694,Table3[[#Headers],[#Data]],2,FALSE)</f>
        <v>Bamboo Picnic Rug Recycled Material</v>
      </c>
      <c r="E694" t="str">
        <f>VLOOKUP(B694,Table3[[#Headers],[#Data]],5,FALSE)</f>
        <v>SELL0092</v>
      </c>
      <c r="F694" t="str">
        <f>VLOOKUP(E694,Table2[[#Headers],[#Data],[seller_id]:[seller_user]],2,FALSE)</f>
        <v>dress4beauty</v>
      </c>
      <c r="G694">
        <v>1</v>
      </c>
      <c r="H694">
        <f t="shared" si="10"/>
        <v>10.07</v>
      </c>
    </row>
    <row r="695" spans="1:8" x14ac:dyDescent="0.3">
      <c r="A695" t="str">
        <f>VLOOKUP(B695,Table3[[#Headers],[#Data]],3,FALSE)</f>
        <v>Outdoor</v>
      </c>
      <c r="B695" t="s">
        <v>889</v>
      </c>
      <c r="C695">
        <f>VLOOKUP(B695,Table3[[#Headers],[#Data]],4, FALSE)</f>
        <v>10.07</v>
      </c>
      <c r="D695" t="str">
        <f>VLOOKUP('Rough data'!B695,Table3[[#Headers],[#Data]],2,FALSE)</f>
        <v>Bamboo Picnic Rug Recycled Material</v>
      </c>
      <c r="E695" t="str">
        <f>VLOOKUP(B695,Table3[[#Headers],[#Data]],5,FALSE)</f>
        <v>SELL0092</v>
      </c>
      <c r="F695" t="str">
        <f>VLOOKUP(E695,Table2[[#Headers],[#Data],[seller_id]:[seller_user]],2,FALSE)</f>
        <v>dress4beauty</v>
      </c>
      <c r="G695">
        <v>1</v>
      </c>
      <c r="H695">
        <f t="shared" si="10"/>
        <v>10.07</v>
      </c>
    </row>
    <row r="696" spans="1:8" x14ac:dyDescent="0.3">
      <c r="A696" t="str">
        <f>VLOOKUP(B696,Table3[[#Headers],[#Data]],3,FALSE)</f>
        <v>Outdoor</v>
      </c>
      <c r="B696" t="s">
        <v>889</v>
      </c>
      <c r="C696">
        <f>VLOOKUP(B696,Table3[[#Headers],[#Data]],4, FALSE)</f>
        <v>10.07</v>
      </c>
      <c r="D696" t="str">
        <f>VLOOKUP('Rough data'!B696,Table3[[#Headers],[#Data]],2,FALSE)</f>
        <v>Bamboo Picnic Rug Recycled Material</v>
      </c>
      <c r="E696" t="str">
        <f>VLOOKUP(B696,Table3[[#Headers],[#Data]],5,FALSE)</f>
        <v>SELL0092</v>
      </c>
      <c r="F696" t="str">
        <f>VLOOKUP(E696,Table2[[#Headers],[#Data],[seller_id]:[seller_user]],2,FALSE)</f>
        <v>dress4beauty</v>
      </c>
      <c r="G696">
        <v>1</v>
      </c>
      <c r="H696">
        <f t="shared" si="10"/>
        <v>10.07</v>
      </c>
    </row>
    <row r="697" spans="1:8" x14ac:dyDescent="0.3">
      <c r="A697" t="str">
        <f>VLOOKUP(B697,Table3[[#Headers],[#Data]],3,FALSE)</f>
        <v>Outdoor</v>
      </c>
      <c r="B697" t="s">
        <v>889</v>
      </c>
      <c r="C697">
        <f>VLOOKUP(B697,Table3[[#Headers],[#Data]],4, FALSE)</f>
        <v>10.07</v>
      </c>
      <c r="D697" t="str">
        <f>VLOOKUP('Rough data'!B697,Table3[[#Headers],[#Data]],2,FALSE)</f>
        <v>Bamboo Picnic Rug Recycled Material</v>
      </c>
      <c r="E697" t="str">
        <f>VLOOKUP(B697,Table3[[#Headers],[#Data]],5,FALSE)</f>
        <v>SELL0092</v>
      </c>
      <c r="F697" t="str">
        <f>VLOOKUP(E697,Table2[[#Headers],[#Data],[seller_id]:[seller_user]],2,FALSE)</f>
        <v>dress4beauty</v>
      </c>
      <c r="G697">
        <v>1</v>
      </c>
      <c r="H697">
        <f t="shared" si="10"/>
        <v>10.07</v>
      </c>
    </row>
    <row r="698" spans="1:8" x14ac:dyDescent="0.3">
      <c r="A698" t="str">
        <f>VLOOKUP(B698,Table3[[#Headers],[#Data]],3,FALSE)</f>
        <v>Outdoor</v>
      </c>
      <c r="B698" t="s">
        <v>891</v>
      </c>
      <c r="C698">
        <f>VLOOKUP(B698,Table3[[#Headers],[#Data]],4, FALSE)</f>
        <v>73.400000000000006</v>
      </c>
      <c r="D698" t="str">
        <f>VLOOKUP('Rough data'!B698,Table3[[#Headers],[#Data]],2,FALSE)</f>
        <v>BBQ Meat Thermometer WiFi</v>
      </c>
      <c r="E698" t="str">
        <f>VLOOKUP(B698,Table3[[#Headers],[#Data]],5,FALSE)</f>
        <v>SELL0092</v>
      </c>
      <c r="F698" t="str">
        <f>VLOOKUP(E698,Table2[[#Headers],[#Data],[seller_id]:[seller_user]],2,FALSE)</f>
        <v>dress4beauty</v>
      </c>
      <c r="G698">
        <v>1</v>
      </c>
      <c r="H698">
        <f t="shared" si="10"/>
        <v>73.400000000000006</v>
      </c>
    </row>
    <row r="699" spans="1:8" x14ac:dyDescent="0.3">
      <c r="A699" t="str">
        <f>VLOOKUP(B699,Table3[[#Headers],[#Data]],3,FALSE)</f>
        <v>Outdoor</v>
      </c>
      <c r="B699" t="s">
        <v>891</v>
      </c>
      <c r="C699">
        <f>VLOOKUP(B699,Table3[[#Headers],[#Data]],4, FALSE)</f>
        <v>73.400000000000006</v>
      </c>
      <c r="D699" t="str">
        <f>VLOOKUP('Rough data'!B699,Table3[[#Headers],[#Data]],2,FALSE)</f>
        <v>BBQ Meat Thermometer WiFi</v>
      </c>
      <c r="E699" t="str">
        <f>VLOOKUP(B699,Table3[[#Headers],[#Data]],5,FALSE)</f>
        <v>SELL0092</v>
      </c>
      <c r="F699" t="str">
        <f>VLOOKUP(E699,Table2[[#Headers],[#Data],[seller_id]:[seller_user]],2,FALSE)</f>
        <v>dress4beauty</v>
      </c>
      <c r="G699">
        <v>1</v>
      </c>
      <c r="H699">
        <f t="shared" si="10"/>
        <v>73.400000000000006</v>
      </c>
    </row>
    <row r="700" spans="1:8" x14ac:dyDescent="0.3">
      <c r="A700" t="str">
        <f>VLOOKUP(B700,Table3[[#Headers],[#Data]],3,FALSE)</f>
        <v>Clothes</v>
      </c>
      <c r="B700" t="s">
        <v>893</v>
      </c>
      <c r="C700">
        <f>VLOOKUP(B700,Table3[[#Headers],[#Data]],4, FALSE)</f>
        <v>64.84</v>
      </c>
      <c r="D700" t="str">
        <f>VLOOKUP('Rough data'!B700,Table3[[#Headers],[#Data]],2,FALSE)</f>
        <v>Portable Camping Chair (Blue)</v>
      </c>
      <c r="E700" t="str">
        <f>VLOOKUP(B700,Table3[[#Headers],[#Data]],5,FALSE)</f>
        <v>SELL0092</v>
      </c>
      <c r="F700" t="str">
        <f>VLOOKUP(E700,Table2[[#Headers],[#Data],[seller_id]:[seller_user]],2,FALSE)</f>
        <v>dress4beauty</v>
      </c>
      <c r="G700">
        <v>1</v>
      </c>
      <c r="H700">
        <f t="shared" si="10"/>
        <v>64.84</v>
      </c>
    </row>
    <row r="701" spans="1:8" x14ac:dyDescent="0.3">
      <c r="A701" t="str">
        <f>VLOOKUP(B701,Table3[[#Headers],[#Data]],3,FALSE)</f>
        <v>Clothes</v>
      </c>
      <c r="B701" t="s">
        <v>893</v>
      </c>
      <c r="C701">
        <f>VLOOKUP(B701,Table3[[#Headers],[#Data]],4, FALSE)</f>
        <v>64.84</v>
      </c>
      <c r="D701" t="str">
        <f>VLOOKUP('Rough data'!B701,Table3[[#Headers],[#Data]],2,FALSE)</f>
        <v>Portable Camping Chair (Blue)</v>
      </c>
      <c r="E701" t="str">
        <f>VLOOKUP(B701,Table3[[#Headers],[#Data]],5,FALSE)</f>
        <v>SELL0092</v>
      </c>
      <c r="F701" t="str">
        <f>VLOOKUP(E701,Table2[[#Headers],[#Data],[seller_id]:[seller_user]],2,FALSE)</f>
        <v>dress4beauty</v>
      </c>
      <c r="G701">
        <v>1</v>
      </c>
      <c r="H701">
        <f t="shared" si="10"/>
        <v>64.84</v>
      </c>
    </row>
    <row r="702" spans="1:8" x14ac:dyDescent="0.3">
      <c r="A702" t="str">
        <f>VLOOKUP(B702,Table3[[#Headers],[#Data]],3,FALSE)</f>
        <v>Clothes</v>
      </c>
      <c r="B702" t="s">
        <v>893</v>
      </c>
      <c r="C702">
        <f>VLOOKUP(B702,Table3[[#Headers],[#Data]],4, FALSE)</f>
        <v>64.84</v>
      </c>
      <c r="D702" t="str">
        <f>VLOOKUP('Rough data'!B702,Table3[[#Headers],[#Data]],2,FALSE)</f>
        <v>Portable Camping Chair (Blue)</v>
      </c>
      <c r="E702" t="str">
        <f>VLOOKUP(B702,Table3[[#Headers],[#Data]],5,FALSE)</f>
        <v>SELL0092</v>
      </c>
      <c r="F702" t="str">
        <f>VLOOKUP(E702,Table2[[#Headers],[#Data],[seller_id]:[seller_user]],2,FALSE)</f>
        <v>dress4beauty</v>
      </c>
      <c r="G702">
        <v>1</v>
      </c>
      <c r="H702">
        <f t="shared" si="10"/>
        <v>64.84</v>
      </c>
    </row>
    <row r="703" spans="1:8" x14ac:dyDescent="0.3">
      <c r="A703" t="str">
        <f>VLOOKUP(B703,Table3[[#Headers],[#Data]],3,FALSE)</f>
        <v>Clothes</v>
      </c>
      <c r="B703" t="s">
        <v>893</v>
      </c>
      <c r="C703">
        <f>VLOOKUP(B703,Table3[[#Headers],[#Data]],4, FALSE)</f>
        <v>64.84</v>
      </c>
      <c r="D703" t="str">
        <f>VLOOKUP('Rough data'!B703,Table3[[#Headers],[#Data]],2,FALSE)</f>
        <v>Portable Camping Chair (Blue)</v>
      </c>
      <c r="E703" t="str">
        <f>VLOOKUP(B703,Table3[[#Headers],[#Data]],5,FALSE)</f>
        <v>SELL0092</v>
      </c>
      <c r="F703" t="str">
        <f>VLOOKUP(E703,Table2[[#Headers],[#Data],[seller_id]:[seller_user]],2,FALSE)</f>
        <v>dress4beauty</v>
      </c>
      <c r="G703">
        <v>1</v>
      </c>
      <c r="H703">
        <f t="shared" si="10"/>
        <v>64.84</v>
      </c>
    </row>
    <row r="704" spans="1:8" x14ac:dyDescent="0.3">
      <c r="A704" t="str">
        <f>VLOOKUP(B704,Table3[[#Headers],[#Data]],3,FALSE)</f>
        <v>Clothes</v>
      </c>
      <c r="B704" t="s">
        <v>893</v>
      </c>
      <c r="C704">
        <f>VLOOKUP(B704,Table3[[#Headers],[#Data]],4, FALSE)</f>
        <v>64.84</v>
      </c>
      <c r="D704" t="str">
        <f>VLOOKUP('Rough data'!B704,Table3[[#Headers],[#Data]],2,FALSE)</f>
        <v>Portable Camping Chair (Blue)</v>
      </c>
      <c r="E704" t="str">
        <f>VLOOKUP(B704,Table3[[#Headers],[#Data]],5,FALSE)</f>
        <v>SELL0092</v>
      </c>
      <c r="F704" t="str">
        <f>VLOOKUP(E704,Table2[[#Headers],[#Data],[seller_id]:[seller_user]],2,FALSE)</f>
        <v>dress4beauty</v>
      </c>
      <c r="G704">
        <v>2</v>
      </c>
      <c r="H704">
        <f t="shared" si="10"/>
        <v>129.68</v>
      </c>
    </row>
    <row r="705" spans="1:8" x14ac:dyDescent="0.3">
      <c r="A705" t="str">
        <f>VLOOKUP(B705,Table3[[#Headers],[#Data]],3,FALSE)</f>
        <v>Outdoor</v>
      </c>
      <c r="B705" t="s">
        <v>895</v>
      </c>
      <c r="C705">
        <f>VLOOKUP(B705,Table3[[#Headers],[#Data]],4, FALSE)</f>
        <v>97.96</v>
      </c>
      <c r="D705" t="str">
        <f>VLOOKUP('Rough data'!B705,Table3[[#Headers],[#Data]],2,FALSE)</f>
        <v>Portable Camping Chair (Yellow)</v>
      </c>
      <c r="E705" t="str">
        <f>VLOOKUP(B705,Table3[[#Headers],[#Data]],5,FALSE)</f>
        <v>SELL0092</v>
      </c>
      <c r="F705" t="str">
        <f>VLOOKUP(E705,Table2[[#Headers],[#Data],[seller_id]:[seller_user]],2,FALSE)</f>
        <v>dress4beauty</v>
      </c>
      <c r="G705">
        <v>1</v>
      </c>
      <c r="H705">
        <f t="shared" si="10"/>
        <v>97.96</v>
      </c>
    </row>
    <row r="706" spans="1:8" x14ac:dyDescent="0.3">
      <c r="A706" t="str">
        <f>VLOOKUP(B706,Table3[[#Headers],[#Data]],3,FALSE)</f>
        <v>Outdoor</v>
      </c>
      <c r="B706" t="s">
        <v>903</v>
      </c>
      <c r="C706">
        <f>VLOOKUP(B706,Table3[[#Headers],[#Data]],4, FALSE)</f>
        <v>67.33</v>
      </c>
      <c r="D706" t="str">
        <f>VLOOKUP('Rough data'!B706,Table3[[#Headers],[#Data]],2,FALSE)</f>
        <v>Camping Kettle 2L Navy</v>
      </c>
      <c r="E706" t="str">
        <f>VLOOKUP(B706,Table3[[#Headers],[#Data]],5,FALSE)</f>
        <v>SELL0093</v>
      </c>
      <c r="F706" t="str">
        <f>VLOOKUP(E706,Table2[[#Headers],[#Data],[seller_id]:[seller_user]],2,FALSE)</f>
        <v>millies-outdoor-shop</v>
      </c>
      <c r="G706">
        <v>1</v>
      </c>
      <c r="H706">
        <f t="shared" ref="H706:H769" si="11">G706*C706</f>
        <v>67.33</v>
      </c>
    </row>
    <row r="707" spans="1:8" x14ac:dyDescent="0.3">
      <c r="A707" t="str">
        <f>VLOOKUP(B707,Table3[[#Headers],[#Data]],3,FALSE)</f>
        <v>Outdoor</v>
      </c>
      <c r="B707" t="s">
        <v>903</v>
      </c>
      <c r="C707">
        <f>VLOOKUP(B707,Table3[[#Headers],[#Data]],4, FALSE)</f>
        <v>67.33</v>
      </c>
      <c r="D707" t="str">
        <f>VLOOKUP('Rough data'!B707,Table3[[#Headers],[#Data]],2,FALSE)</f>
        <v>Camping Kettle 2L Navy</v>
      </c>
      <c r="E707" t="str">
        <f>VLOOKUP(B707,Table3[[#Headers],[#Data]],5,FALSE)</f>
        <v>SELL0093</v>
      </c>
      <c r="F707" t="str">
        <f>VLOOKUP(E707,Table2[[#Headers],[#Data],[seller_id]:[seller_user]],2,FALSE)</f>
        <v>millies-outdoor-shop</v>
      </c>
      <c r="G707">
        <v>1</v>
      </c>
      <c r="H707">
        <f t="shared" si="11"/>
        <v>67.33</v>
      </c>
    </row>
    <row r="708" spans="1:8" x14ac:dyDescent="0.3">
      <c r="A708" t="str">
        <f>VLOOKUP(B708,Table3[[#Headers],[#Data]],3,FALSE)</f>
        <v>Outdoor</v>
      </c>
      <c r="B708" t="s">
        <v>903</v>
      </c>
      <c r="C708">
        <f>VLOOKUP(B708,Table3[[#Headers],[#Data]],4, FALSE)</f>
        <v>67.33</v>
      </c>
      <c r="D708" t="str">
        <f>VLOOKUP('Rough data'!B708,Table3[[#Headers],[#Data]],2,FALSE)</f>
        <v>Camping Kettle 2L Navy</v>
      </c>
      <c r="E708" t="str">
        <f>VLOOKUP(B708,Table3[[#Headers],[#Data]],5,FALSE)</f>
        <v>SELL0093</v>
      </c>
      <c r="F708" t="str">
        <f>VLOOKUP(E708,Table2[[#Headers],[#Data],[seller_id]:[seller_user]],2,FALSE)</f>
        <v>millies-outdoor-shop</v>
      </c>
      <c r="G708">
        <v>1</v>
      </c>
      <c r="H708">
        <f t="shared" si="11"/>
        <v>67.33</v>
      </c>
    </row>
    <row r="709" spans="1:8" x14ac:dyDescent="0.3">
      <c r="A709" t="str">
        <f>VLOOKUP(B709,Table3[[#Headers],[#Data]],3,FALSE)</f>
        <v>Outdoor</v>
      </c>
      <c r="B709" t="s">
        <v>907</v>
      </c>
      <c r="C709">
        <f>VLOOKUP(B709,Table3[[#Headers],[#Data]],4, FALSE)</f>
        <v>63.89</v>
      </c>
      <c r="D709" t="str">
        <f>VLOOKUP('Rough data'!B709,Table3[[#Headers],[#Data]],2,FALSE)</f>
        <v>Camping Kettle 5L Navy</v>
      </c>
      <c r="E709" t="str">
        <f>VLOOKUP(B709,Table3[[#Headers],[#Data]],5,FALSE)</f>
        <v>SELL0093</v>
      </c>
      <c r="F709" t="str">
        <f>VLOOKUP(E709,Table2[[#Headers],[#Data],[seller_id]:[seller_user]],2,FALSE)</f>
        <v>millies-outdoor-shop</v>
      </c>
      <c r="G709">
        <v>2</v>
      </c>
      <c r="H709">
        <f t="shared" si="11"/>
        <v>127.78</v>
      </c>
    </row>
    <row r="710" spans="1:8" x14ac:dyDescent="0.3">
      <c r="A710" t="str">
        <f>VLOOKUP(B710,Table3[[#Headers],[#Data]],3,FALSE)</f>
        <v>Outdoor</v>
      </c>
      <c r="B710" t="s">
        <v>907</v>
      </c>
      <c r="C710">
        <f>VLOOKUP(B710,Table3[[#Headers],[#Data]],4, FALSE)</f>
        <v>63.89</v>
      </c>
      <c r="D710" t="str">
        <f>VLOOKUP('Rough data'!B710,Table3[[#Headers],[#Data]],2,FALSE)</f>
        <v>Camping Kettle 5L Navy</v>
      </c>
      <c r="E710" t="str">
        <f>VLOOKUP(B710,Table3[[#Headers],[#Data]],5,FALSE)</f>
        <v>SELL0093</v>
      </c>
      <c r="F710" t="str">
        <f>VLOOKUP(E710,Table2[[#Headers],[#Data],[seller_id]:[seller_user]],2,FALSE)</f>
        <v>millies-outdoor-shop</v>
      </c>
      <c r="G710">
        <v>1</v>
      </c>
      <c r="H710">
        <f t="shared" si="11"/>
        <v>63.89</v>
      </c>
    </row>
    <row r="711" spans="1:8" x14ac:dyDescent="0.3">
      <c r="A711" t="str">
        <f>VLOOKUP(B711,Table3[[#Headers],[#Data]],3,FALSE)</f>
        <v>Outdoor</v>
      </c>
      <c r="B711" t="s">
        <v>907</v>
      </c>
      <c r="C711">
        <f>VLOOKUP(B711,Table3[[#Headers],[#Data]],4, FALSE)</f>
        <v>63.89</v>
      </c>
      <c r="D711" t="str">
        <f>VLOOKUP('Rough data'!B711,Table3[[#Headers],[#Data]],2,FALSE)</f>
        <v>Camping Kettle 5L Navy</v>
      </c>
      <c r="E711" t="str">
        <f>VLOOKUP(B711,Table3[[#Headers],[#Data]],5,FALSE)</f>
        <v>SELL0093</v>
      </c>
      <c r="F711" t="str">
        <f>VLOOKUP(E711,Table2[[#Headers],[#Data],[seller_id]:[seller_user]],2,FALSE)</f>
        <v>millies-outdoor-shop</v>
      </c>
      <c r="G711">
        <v>1</v>
      </c>
      <c r="H711">
        <f t="shared" si="11"/>
        <v>63.89</v>
      </c>
    </row>
    <row r="712" spans="1:8" x14ac:dyDescent="0.3">
      <c r="A712" t="str">
        <f>VLOOKUP(B712,Table3[[#Headers],[#Data]],3,FALSE)</f>
        <v>Outdoor</v>
      </c>
      <c r="B712" t="s">
        <v>907</v>
      </c>
      <c r="C712">
        <f>VLOOKUP(B712,Table3[[#Headers],[#Data]],4, FALSE)</f>
        <v>63.89</v>
      </c>
      <c r="D712" t="str">
        <f>VLOOKUP('Rough data'!B712,Table3[[#Headers],[#Data]],2,FALSE)</f>
        <v>Camping Kettle 5L Navy</v>
      </c>
      <c r="E712" t="str">
        <f>VLOOKUP(B712,Table3[[#Headers],[#Data]],5,FALSE)</f>
        <v>SELL0093</v>
      </c>
      <c r="F712" t="str">
        <f>VLOOKUP(E712,Table2[[#Headers],[#Data],[seller_id]:[seller_user]],2,FALSE)</f>
        <v>millies-outdoor-shop</v>
      </c>
      <c r="G712">
        <v>2</v>
      </c>
      <c r="H712">
        <f t="shared" si="11"/>
        <v>127.78</v>
      </c>
    </row>
    <row r="713" spans="1:8" x14ac:dyDescent="0.3">
      <c r="A713" t="str">
        <f>VLOOKUP(B713,Table3[[#Headers],[#Data]],3,FALSE)</f>
        <v>Outdoor</v>
      </c>
      <c r="B713" t="s">
        <v>907</v>
      </c>
      <c r="C713">
        <f>VLOOKUP(B713,Table3[[#Headers],[#Data]],4, FALSE)</f>
        <v>63.89</v>
      </c>
      <c r="D713" t="str">
        <f>VLOOKUP('Rough data'!B713,Table3[[#Headers],[#Data]],2,FALSE)</f>
        <v>Camping Kettle 5L Navy</v>
      </c>
      <c r="E713" t="str">
        <f>VLOOKUP(B713,Table3[[#Headers],[#Data]],5,FALSE)</f>
        <v>SELL0093</v>
      </c>
      <c r="F713" t="str">
        <f>VLOOKUP(E713,Table2[[#Headers],[#Data],[seller_id]:[seller_user]],2,FALSE)</f>
        <v>millies-outdoor-shop</v>
      </c>
      <c r="G713">
        <v>1</v>
      </c>
      <c r="H713">
        <f t="shared" si="11"/>
        <v>63.89</v>
      </c>
    </row>
    <row r="714" spans="1:8" x14ac:dyDescent="0.3">
      <c r="A714" t="str">
        <f>VLOOKUP(B714,Table3[[#Headers],[#Data]],3,FALSE)</f>
        <v>Outdoor</v>
      </c>
      <c r="B714" t="s">
        <v>907</v>
      </c>
      <c r="C714">
        <f>VLOOKUP(B714,Table3[[#Headers],[#Data]],4, FALSE)</f>
        <v>63.89</v>
      </c>
      <c r="D714" t="str">
        <f>VLOOKUP('Rough data'!B714,Table3[[#Headers],[#Data]],2,FALSE)</f>
        <v>Camping Kettle 5L Navy</v>
      </c>
      <c r="E714" t="str">
        <f>VLOOKUP(B714,Table3[[#Headers],[#Data]],5,FALSE)</f>
        <v>SELL0093</v>
      </c>
      <c r="F714" t="str">
        <f>VLOOKUP(E714,Table2[[#Headers],[#Data],[seller_id]:[seller_user]],2,FALSE)</f>
        <v>millies-outdoor-shop</v>
      </c>
      <c r="G714">
        <v>1</v>
      </c>
      <c r="H714">
        <f t="shared" si="11"/>
        <v>63.89</v>
      </c>
    </row>
    <row r="715" spans="1:8" x14ac:dyDescent="0.3">
      <c r="A715" t="str">
        <f>VLOOKUP(B715,Table3[[#Headers],[#Data]],3,FALSE)</f>
        <v>Outdoor</v>
      </c>
      <c r="B715" t="s">
        <v>907</v>
      </c>
      <c r="C715">
        <f>VLOOKUP(B715,Table3[[#Headers],[#Data]],4, FALSE)</f>
        <v>63.89</v>
      </c>
      <c r="D715" t="str">
        <f>VLOOKUP('Rough data'!B715,Table3[[#Headers],[#Data]],2,FALSE)</f>
        <v>Camping Kettle 5L Navy</v>
      </c>
      <c r="E715" t="str">
        <f>VLOOKUP(B715,Table3[[#Headers],[#Data]],5,FALSE)</f>
        <v>SELL0093</v>
      </c>
      <c r="F715" t="str">
        <f>VLOOKUP(E715,Table2[[#Headers],[#Data],[seller_id]:[seller_user]],2,FALSE)</f>
        <v>millies-outdoor-shop</v>
      </c>
      <c r="G715">
        <v>1</v>
      </c>
      <c r="H715">
        <f t="shared" si="11"/>
        <v>63.89</v>
      </c>
    </row>
    <row r="716" spans="1:8" x14ac:dyDescent="0.3">
      <c r="A716" t="str">
        <f>VLOOKUP(B716,Table3[[#Headers],[#Data]],3,FALSE)</f>
        <v>Outdoor</v>
      </c>
      <c r="B716" t="s">
        <v>907</v>
      </c>
      <c r="C716">
        <f>VLOOKUP(B716,Table3[[#Headers],[#Data]],4, FALSE)</f>
        <v>63.89</v>
      </c>
      <c r="D716" t="str">
        <f>VLOOKUP('Rough data'!B716,Table3[[#Headers],[#Data]],2,FALSE)</f>
        <v>Camping Kettle 5L Navy</v>
      </c>
      <c r="E716" t="str">
        <f>VLOOKUP(B716,Table3[[#Headers],[#Data]],5,FALSE)</f>
        <v>SELL0093</v>
      </c>
      <c r="F716" t="str">
        <f>VLOOKUP(E716,Table2[[#Headers],[#Data],[seller_id]:[seller_user]],2,FALSE)</f>
        <v>millies-outdoor-shop</v>
      </c>
      <c r="G716">
        <v>1</v>
      </c>
      <c r="H716">
        <f t="shared" si="11"/>
        <v>63.89</v>
      </c>
    </row>
    <row r="717" spans="1:8" x14ac:dyDescent="0.3">
      <c r="A717" t="str">
        <f>VLOOKUP(B717,Table3[[#Headers],[#Data]],3,FALSE)</f>
        <v>Toys</v>
      </c>
      <c r="B717" t="s">
        <v>911</v>
      </c>
      <c r="C717">
        <f>VLOOKUP(B717,Table3[[#Headers],[#Data]],4, FALSE)</f>
        <v>28.3</v>
      </c>
      <c r="D717" t="str">
        <f>VLOOKUP('Rough data'!B717,Table3[[#Headers],[#Data]],2,FALSE)</f>
        <v>Building Blocks 100 pcs</v>
      </c>
      <c r="E717" t="str">
        <f>VLOOKUP(B717,Table3[[#Headers],[#Data]],5,FALSE)</f>
        <v>SELL0047</v>
      </c>
      <c r="F717" t="str">
        <f>VLOOKUP(E717,Table2[[#Headers],[#Data],[seller_id]:[seller_user]],2,FALSE)</f>
        <v>toymajoy</v>
      </c>
      <c r="G717">
        <v>1</v>
      </c>
      <c r="H717">
        <f t="shared" si="11"/>
        <v>28.3</v>
      </c>
    </row>
    <row r="718" spans="1:8" x14ac:dyDescent="0.3">
      <c r="A718" t="str">
        <f>VLOOKUP(B718,Table3[[#Headers],[#Data]],3,FALSE)</f>
        <v>Toys</v>
      </c>
      <c r="B718" t="s">
        <v>913</v>
      </c>
      <c r="C718">
        <f>VLOOKUP(B718,Table3[[#Headers],[#Data]],4, FALSE)</f>
        <v>26.9</v>
      </c>
      <c r="D718" t="str">
        <f>VLOOKUP('Rough data'!B718,Table3[[#Headers],[#Data]],2,FALSE)</f>
        <v>Building Blocks 600 pcs</v>
      </c>
      <c r="E718" t="str">
        <f>VLOOKUP(B718,Table3[[#Headers],[#Data]],5,FALSE)</f>
        <v>SELL0047</v>
      </c>
      <c r="F718" t="str">
        <f>VLOOKUP(E718,Table2[[#Headers],[#Data],[seller_id]:[seller_user]],2,FALSE)</f>
        <v>toymajoy</v>
      </c>
      <c r="G718">
        <v>1</v>
      </c>
      <c r="H718">
        <f t="shared" si="11"/>
        <v>26.9</v>
      </c>
    </row>
    <row r="719" spans="1:8" x14ac:dyDescent="0.3">
      <c r="A719" t="str">
        <f>VLOOKUP(B719,Table3[[#Headers],[#Data]],3,FALSE)</f>
        <v>Toys</v>
      </c>
      <c r="B719" t="s">
        <v>913</v>
      </c>
      <c r="C719">
        <f>VLOOKUP(B719,Table3[[#Headers],[#Data]],4, FALSE)</f>
        <v>26.9</v>
      </c>
      <c r="D719" t="str">
        <f>VLOOKUP('Rough data'!B719,Table3[[#Headers],[#Data]],2,FALSE)</f>
        <v>Building Blocks 600 pcs</v>
      </c>
      <c r="E719" t="str">
        <f>VLOOKUP(B719,Table3[[#Headers],[#Data]],5,FALSE)</f>
        <v>SELL0047</v>
      </c>
      <c r="F719" t="str">
        <f>VLOOKUP(E719,Table2[[#Headers],[#Data],[seller_id]:[seller_user]],2,FALSE)</f>
        <v>toymajoy</v>
      </c>
      <c r="G719">
        <v>1</v>
      </c>
      <c r="H719">
        <f t="shared" si="11"/>
        <v>26.9</v>
      </c>
    </row>
    <row r="720" spans="1:8" x14ac:dyDescent="0.3">
      <c r="A720" t="str">
        <f>VLOOKUP(B720,Table3[[#Headers],[#Data]],3,FALSE)</f>
        <v>Outdoor</v>
      </c>
      <c r="B720" t="s">
        <v>917</v>
      </c>
      <c r="C720">
        <f>VLOOKUP(B720,Table3[[#Headers],[#Data]],4, FALSE)</f>
        <v>66.94</v>
      </c>
      <c r="D720" t="str">
        <f>VLOOKUP('Rough data'!B720,Table3[[#Headers],[#Data]],2,FALSE)</f>
        <v>paddling pool blue inflatable fishes</v>
      </c>
      <c r="E720" t="str">
        <f>VLOOKUP(B720,Table3[[#Headers],[#Data]],5,FALSE)</f>
        <v>SELL0092</v>
      </c>
      <c r="F720" t="str">
        <f>VLOOKUP(E720,Table2[[#Headers],[#Data],[seller_id]:[seller_user]],2,FALSE)</f>
        <v>dress4beauty</v>
      </c>
      <c r="G720">
        <v>1</v>
      </c>
      <c r="H720">
        <f t="shared" si="11"/>
        <v>66.94</v>
      </c>
    </row>
    <row r="721" spans="1:8" x14ac:dyDescent="0.3">
      <c r="A721" t="str">
        <f>VLOOKUP(B721,Table3[[#Headers],[#Data]],3,FALSE)</f>
        <v>Outdoor</v>
      </c>
      <c r="B721" t="s">
        <v>917</v>
      </c>
      <c r="C721">
        <f>VLOOKUP(B721,Table3[[#Headers],[#Data]],4, FALSE)</f>
        <v>66.94</v>
      </c>
      <c r="D721" t="str">
        <f>VLOOKUP('Rough data'!B721,Table3[[#Headers],[#Data]],2,FALSE)</f>
        <v>paddling pool blue inflatable fishes</v>
      </c>
      <c r="E721" t="str">
        <f>VLOOKUP(B721,Table3[[#Headers],[#Data]],5,FALSE)</f>
        <v>SELL0092</v>
      </c>
      <c r="F721" t="str">
        <f>VLOOKUP(E721,Table2[[#Headers],[#Data],[seller_id]:[seller_user]],2,FALSE)</f>
        <v>dress4beauty</v>
      </c>
      <c r="G721">
        <v>1</v>
      </c>
      <c r="H721">
        <f t="shared" si="11"/>
        <v>66.94</v>
      </c>
    </row>
    <row r="722" spans="1:8" x14ac:dyDescent="0.3">
      <c r="A722" t="str">
        <f>VLOOKUP(B722,Table3[[#Headers],[#Data]],3,FALSE)</f>
        <v>Outdoor</v>
      </c>
      <c r="B722" t="s">
        <v>917</v>
      </c>
      <c r="C722">
        <f>VLOOKUP(B722,Table3[[#Headers],[#Data]],4, FALSE)</f>
        <v>66.94</v>
      </c>
      <c r="D722" t="str">
        <f>VLOOKUP('Rough data'!B722,Table3[[#Headers],[#Data]],2,FALSE)</f>
        <v>paddling pool blue inflatable fishes</v>
      </c>
      <c r="E722" t="str">
        <f>VLOOKUP(B722,Table3[[#Headers],[#Data]],5,FALSE)</f>
        <v>SELL0092</v>
      </c>
      <c r="F722" t="str">
        <f>VLOOKUP(E722,Table2[[#Headers],[#Data],[seller_id]:[seller_user]],2,FALSE)</f>
        <v>dress4beauty</v>
      </c>
      <c r="G722">
        <v>1</v>
      </c>
      <c r="H722">
        <f t="shared" si="11"/>
        <v>66.94</v>
      </c>
    </row>
    <row r="723" spans="1:8" x14ac:dyDescent="0.3">
      <c r="A723" t="str">
        <f>VLOOKUP(B723,Table3[[#Headers],[#Data]],3,FALSE)</f>
        <v>Outdoor</v>
      </c>
      <c r="B723" t="s">
        <v>917</v>
      </c>
      <c r="C723">
        <f>VLOOKUP(B723,Table3[[#Headers],[#Data]],4, FALSE)</f>
        <v>66.94</v>
      </c>
      <c r="D723" t="str">
        <f>VLOOKUP('Rough data'!B723,Table3[[#Headers],[#Data]],2,FALSE)</f>
        <v>paddling pool blue inflatable fishes</v>
      </c>
      <c r="E723" t="str">
        <f>VLOOKUP(B723,Table3[[#Headers],[#Data]],5,FALSE)</f>
        <v>SELL0092</v>
      </c>
      <c r="F723" t="str">
        <f>VLOOKUP(E723,Table2[[#Headers],[#Data],[seller_id]:[seller_user]],2,FALSE)</f>
        <v>dress4beauty</v>
      </c>
      <c r="G723">
        <v>1</v>
      </c>
      <c r="H723">
        <f t="shared" si="11"/>
        <v>66.94</v>
      </c>
    </row>
    <row r="724" spans="1:8" x14ac:dyDescent="0.3">
      <c r="A724" t="str">
        <f>VLOOKUP(B724,Table3[[#Headers],[#Data]],3,FALSE)</f>
        <v>Outdoor</v>
      </c>
      <c r="B724" t="s">
        <v>919</v>
      </c>
      <c r="C724">
        <f>VLOOKUP(B724,Table3[[#Headers],[#Data]],4, FALSE)</f>
        <v>50.15</v>
      </c>
      <c r="D724" t="str">
        <f>VLOOKUP('Rough data'!B724,Table3[[#Headers],[#Data]],2,FALSE)</f>
        <v>Beach Umbrella - UV50+ Floral</v>
      </c>
      <c r="E724" t="str">
        <f>VLOOKUP(B724,Table3[[#Headers],[#Data]],5,FALSE)</f>
        <v>SELL0092</v>
      </c>
      <c r="F724" t="str">
        <f>VLOOKUP(E724,Table2[[#Headers],[#Data],[seller_id]:[seller_user]],2,FALSE)</f>
        <v>dress4beauty</v>
      </c>
      <c r="G724">
        <v>1</v>
      </c>
      <c r="H724">
        <f t="shared" si="11"/>
        <v>50.15</v>
      </c>
    </row>
    <row r="725" spans="1:8" x14ac:dyDescent="0.3">
      <c r="A725" t="str">
        <f>VLOOKUP(B725,Table3[[#Headers],[#Data]],3,FALSE)</f>
        <v>Outdoor</v>
      </c>
      <c r="B725" t="s">
        <v>921</v>
      </c>
      <c r="C725">
        <f>VLOOKUP(B725,Table3[[#Headers],[#Data]],4, FALSE)</f>
        <v>97.17</v>
      </c>
      <c r="D725" t="str">
        <f>VLOOKUP('Rough data'!B725,Table3[[#Headers],[#Data]],2,FALSE)</f>
        <v>BBQ Apron - Red</v>
      </c>
      <c r="E725" t="str">
        <f>VLOOKUP(B725,Table3[[#Headers],[#Data]],5,FALSE)</f>
        <v>SELL0093</v>
      </c>
      <c r="F725" t="str">
        <f>VLOOKUP(E725,Table2[[#Headers],[#Data],[seller_id]:[seller_user]],2,FALSE)</f>
        <v>millies-outdoor-shop</v>
      </c>
      <c r="G725">
        <v>1</v>
      </c>
      <c r="H725">
        <f t="shared" si="11"/>
        <v>97.17</v>
      </c>
    </row>
    <row r="726" spans="1:8" x14ac:dyDescent="0.3">
      <c r="A726" t="str">
        <f>VLOOKUP(B726,Table3[[#Headers],[#Data]],3,FALSE)</f>
        <v>Outdoor</v>
      </c>
      <c r="B726" t="s">
        <v>921</v>
      </c>
      <c r="C726">
        <f>VLOOKUP(B726,Table3[[#Headers],[#Data]],4, FALSE)</f>
        <v>97.17</v>
      </c>
      <c r="D726" t="str">
        <f>VLOOKUP('Rough data'!B726,Table3[[#Headers],[#Data]],2,FALSE)</f>
        <v>BBQ Apron - Red</v>
      </c>
      <c r="E726" t="str">
        <f>VLOOKUP(B726,Table3[[#Headers],[#Data]],5,FALSE)</f>
        <v>SELL0093</v>
      </c>
      <c r="F726" t="str">
        <f>VLOOKUP(E726,Table2[[#Headers],[#Data],[seller_id]:[seller_user]],2,FALSE)</f>
        <v>millies-outdoor-shop</v>
      </c>
      <c r="G726">
        <v>1</v>
      </c>
      <c r="H726">
        <f t="shared" si="11"/>
        <v>97.17</v>
      </c>
    </row>
    <row r="727" spans="1:8" x14ac:dyDescent="0.3">
      <c r="A727" t="str">
        <f>VLOOKUP(B727,Table3[[#Headers],[#Data]],3,FALSE)</f>
        <v>Outdoor</v>
      </c>
      <c r="B727" t="s">
        <v>921</v>
      </c>
      <c r="C727">
        <f>VLOOKUP(B727,Table3[[#Headers],[#Data]],4, FALSE)</f>
        <v>97.17</v>
      </c>
      <c r="D727" t="str">
        <f>VLOOKUP('Rough data'!B727,Table3[[#Headers],[#Data]],2,FALSE)</f>
        <v>BBQ Apron - Red</v>
      </c>
      <c r="E727" t="str">
        <f>VLOOKUP(B727,Table3[[#Headers],[#Data]],5,FALSE)</f>
        <v>SELL0093</v>
      </c>
      <c r="F727" t="str">
        <f>VLOOKUP(E727,Table2[[#Headers],[#Data],[seller_id]:[seller_user]],2,FALSE)</f>
        <v>millies-outdoor-shop</v>
      </c>
      <c r="G727">
        <v>1</v>
      </c>
      <c r="H727">
        <f t="shared" si="11"/>
        <v>97.17</v>
      </c>
    </row>
    <row r="728" spans="1:8" x14ac:dyDescent="0.3">
      <c r="A728" t="str">
        <f>VLOOKUP(B728,Table3[[#Headers],[#Data]],3,FALSE)</f>
        <v>Outdoor</v>
      </c>
      <c r="B728" t="s">
        <v>923</v>
      </c>
      <c r="C728">
        <f>VLOOKUP(B728,Table3[[#Headers],[#Data]],4, FALSE)</f>
        <v>25.41</v>
      </c>
      <c r="D728" t="str">
        <f>VLOOKUP('Rough data'!B728,Table3[[#Headers],[#Data]],2,FALSE)</f>
        <v>Stainless Steel BBQ Tools Set (Navy)</v>
      </c>
      <c r="E728" t="str">
        <f>VLOOKUP(B728,Table3[[#Headers],[#Data]],5,FALSE)</f>
        <v>SELL0093</v>
      </c>
      <c r="F728" t="str">
        <f>VLOOKUP(E728,Table2[[#Headers],[#Data],[seller_id]:[seller_user]],2,FALSE)</f>
        <v>millies-outdoor-shop</v>
      </c>
      <c r="G728">
        <v>1</v>
      </c>
      <c r="H728">
        <f t="shared" si="11"/>
        <v>25.41</v>
      </c>
    </row>
    <row r="729" spans="1:8" x14ac:dyDescent="0.3">
      <c r="A729" t="str">
        <f>VLOOKUP(B729,Table3[[#Headers],[#Data]],3,FALSE)</f>
        <v>Outdoor</v>
      </c>
      <c r="B729" t="s">
        <v>923</v>
      </c>
      <c r="C729">
        <f>VLOOKUP(B729,Table3[[#Headers],[#Data]],4, FALSE)</f>
        <v>25.41</v>
      </c>
      <c r="D729" t="str">
        <f>VLOOKUP('Rough data'!B729,Table3[[#Headers],[#Data]],2,FALSE)</f>
        <v>Stainless Steel BBQ Tools Set (Navy)</v>
      </c>
      <c r="E729" t="str">
        <f>VLOOKUP(B729,Table3[[#Headers],[#Data]],5,FALSE)</f>
        <v>SELL0093</v>
      </c>
      <c r="F729" t="str">
        <f>VLOOKUP(E729,Table2[[#Headers],[#Data],[seller_id]:[seller_user]],2,FALSE)</f>
        <v>millies-outdoor-shop</v>
      </c>
      <c r="G729">
        <v>1</v>
      </c>
      <c r="H729">
        <f t="shared" si="11"/>
        <v>25.41</v>
      </c>
    </row>
    <row r="730" spans="1:8" x14ac:dyDescent="0.3">
      <c r="A730" t="str">
        <f>VLOOKUP(B730,Table3[[#Headers],[#Data]],3,FALSE)</f>
        <v>Outdoor</v>
      </c>
      <c r="B730" t="s">
        <v>923</v>
      </c>
      <c r="C730">
        <f>VLOOKUP(B730,Table3[[#Headers],[#Data]],4, FALSE)</f>
        <v>25.41</v>
      </c>
      <c r="D730" t="str">
        <f>VLOOKUP('Rough data'!B730,Table3[[#Headers],[#Data]],2,FALSE)</f>
        <v>Stainless Steel BBQ Tools Set (Navy)</v>
      </c>
      <c r="E730" t="str">
        <f>VLOOKUP(B730,Table3[[#Headers],[#Data]],5,FALSE)</f>
        <v>SELL0093</v>
      </c>
      <c r="F730" t="str">
        <f>VLOOKUP(E730,Table2[[#Headers],[#Data],[seller_id]:[seller_user]],2,FALSE)</f>
        <v>millies-outdoor-shop</v>
      </c>
      <c r="G730">
        <v>1</v>
      </c>
      <c r="H730">
        <f t="shared" si="11"/>
        <v>25.41</v>
      </c>
    </row>
    <row r="731" spans="1:8" x14ac:dyDescent="0.3">
      <c r="A731" t="str">
        <f>VLOOKUP(B731,Table3[[#Headers],[#Data]],3,FALSE)</f>
        <v>Outdoor</v>
      </c>
      <c r="B731" t="s">
        <v>923</v>
      </c>
      <c r="C731">
        <f>VLOOKUP(B731,Table3[[#Headers],[#Data]],4, FALSE)</f>
        <v>25.41</v>
      </c>
      <c r="D731" t="str">
        <f>VLOOKUP('Rough data'!B731,Table3[[#Headers],[#Data]],2,FALSE)</f>
        <v>Stainless Steel BBQ Tools Set (Navy)</v>
      </c>
      <c r="E731" t="str">
        <f>VLOOKUP(B731,Table3[[#Headers],[#Data]],5,FALSE)</f>
        <v>SELL0093</v>
      </c>
      <c r="F731" t="str">
        <f>VLOOKUP(E731,Table2[[#Headers],[#Data],[seller_id]:[seller_user]],2,FALSE)</f>
        <v>millies-outdoor-shop</v>
      </c>
      <c r="G731">
        <v>1</v>
      </c>
      <c r="H731">
        <f t="shared" si="11"/>
        <v>25.41</v>
      </c>
    </row>
    <row r="732" spans="1:8" x14ac:dyDescent="0.3">
      <c r="A732" t="str">
        <f>VLOOKUP(B732,Table3[[#Headers],[#Data]],3,FALSE)</f>
        <v>Outdoor</v>
      </c>
      <c r="B732" t="s">
        <v>923</v>
      </c>
      <c r="C732">
        <f>VLOOKUP(B732,Table3[[#Headers],[#Data]],4, FALSE)</f>
        <v>25.41</v>
      </c>
      <c r="D732" t="str">
        <f>VLOOKUP('Rough data'!B732,Table3[[#Headers],[#Data]],2,FALSE)</f>
        <v>Stainless Steel BBQ Tools Set (Navy)</v>
      </c>
      <c r="E732" t="str">
        <f>VLOOKUP(B732,Table3[[#Headers],[#Data]],5,FALSE)</f>
        <v>SELL0093</v>
      </c>
      <c r="F732" t="str">
        <f>VLOOKUP(E732,Table2[[#Headers],[#Data],[seller_id]:[seller_user]],2,FALSE)</f>
        <v>millies-outdoor-shop</v>
      </c>
      <c r="G732">
        <v>2</v>
      </c>
      <c r="H732">
        <f t="shared" si="11"/>
        <v>50.82</v>
      </c>
    </row>
    <row r="733" spans="1:8" x14ac:dyDescent="0.3">
      <c r="A733" t="str">
        <f>VLOOKUP(B733,Table3[[#Headers],[#Data]],3,FALSE)</f>
        <v>Outdoor</v>
      </c>
      <c r="B733" t="s">
        <v>923</v>
      </c>
      <c r="C733">
        <f>VLOOKUP(B733,Table3[[#Headers],[#Data]],4, FALSE)</f>
        <v>25.41</v>
      </c>
      <c r="D733" t="str">
        <f>VLOOKUP('Rough data'!B733,Table3[[#Headers],[#Data]],2,FALSE)</f>
        <v>Stainless Steel BBQ Tools Set (Navy)</v>
      </c>
      <c r="E733" t="str">
        <f>VLOOKUP(B733,Table3[[#Headers],[#Data]],5,FALSE)</f>
        <v>SELL0093</v>
      </c>
      <c r="F733" t="str">
        <f>VLOOKUP(E733,Table2[[#Headers],[#Data],[seller_id]:[seller_user]],2,FALSE)</f>
        <v>millies-outdoor-shop</v>
      </c>
      <c r="G733">
        <v>2</v>
      </c>
      <c r="H733">
        <f t="shared" si="11"/>
        <v>50.82</v>
      </c>
    </row>
    <row r="734" spans="1:8" x14ac:dyDescent="0.3">
      <c r="A734" t="str">
        <f>VLOOKUP(B734,Table3[[#Headers],[#Data]],3,FALSE)</f>
        <v>Outdoor</v>
      </c>
      <c r="B734" t="s">
        <v>923</v>
      </c>
      <c r="C734">
        <f>VLOOKUP(B734,Table3[[#Headers],[#Data]],4, FALSE)</f>
        <v>25.41</v>
      </c>
      <c r="D734" t="str">
        <f>VLOOKUP('Rough data'!B734,Table3[[#Headers],[#Data]],2,FALSE)</f>
        <v>Stainless Steel BBQ Tools Set (Navy)</v>
      </c>
      <c r="E734" t="str">
        <f>VLOOKUP(B734,Table3[[#Headers],[#Data]],5,FALSE)</f>
        <v>SELL0093</v>
      </c>
      <c r="F734" t="str">
        <f>VLOOKUP(E734,Table2[[#Headers],[#Data],[seller_id]:[seller_user]],2,FALSE)</f>
        <v>millies-outdoor-shop</v>
      </c>
      <c r="G734">
        <v>2</v>
      </c>
      <c r="H734">
        <f t="shared" si="11"/>
        <v>50.82</v>
      </c>
    </row>
    <row r="735" spans="1:8" x14ac:dyDescent="0.3">
      <c r="A735" t="str">
        <f>VLOOKUP(B735,Table3[[#Headers],[#Data]],3,FALSE)</f>
        <v>Outdoor</v>
      </c>
      <c r="B735" t="s">
        <v>925</v>
      </c>
      <c r="C735">
        <f>VLOOKUP(B735,Table3[[#Headers],[#Data]],4, FALSE)</f>
        <v>26.98</v>
      </c>
      <c r="D735" t="str">
        <f>VLOOKUP('Rough data'!B735,Table3[[#Headers],[#Data]],2,FALSE)</f>
        <v>Stainless Steel BBQ Tools Set (Grey)</v>
      </c>
      <c r="E735" t="str">
        <f>VLOOKUP(B735,Table3[[#Headers],[#Data]],5,FALSE)</f>
        <v>SELL0093</v>
      </c>
      <c r="F735" t="str">
        <f>VLOOKUP(E735,Table2[[#Headers],[#Data],[seller_id]:[seller_user]],2,FALSE)</f>
        <v>millies-outdoor-shop</v>
      </c>
      <c r="G735">
        <v>1</v>
      </c>
      <c r="H735">
        <f t="shared" si="11"/>
        <v>26.98</v>
      </c>
    </row>
    <row r="736" spans="1:8" x14ac:dyDescent="0.3">
      <c r="A736" t="str">
        <f>VLOOKUP(B736,Table3[[#Headers],[#Data]],3,FALSE)</f>
        <v>Outdoor</v>
      </c>
      <c r="B736" t="s">
        <v>925</v>
      </c>
      <c r="C736">
        <f>VLOOKUP(B736,Table3[[#Headers],[#Data]],4, FALSE)</f>
        <v>26.98</v>
      </c>
      <c r="D736" t="str">
        <f>VLOOKUP('Rough data'!B736,Table3[[#Headers],[#Data]],2,FALSE)</f>
        <v>Stainless Steel BBQ Tools Set (Grey)</v>
      </c>
      <c r="E736" t="str">
        <f>VLOOKUP(B736,Table3[[#Headers],[#Data]],5,FALSE)</f>
        <v>SELL0093</v>
      </c>
      <c r="F736" t="str">
        <f>VLOOKUP(E736,Table2[[#Headers],[#Data],[seller_id]:[seller_user]],2,FALSE)</f>
        <v>millies-outdoor-shop</v>
      </c>
      <c r="G736">
        <v>1</v>
      </c>
      <c r="H736">
        <f t="shared" si="11"/>
        <v>26.98</v>
      </c>
    </row>
    <row r="737" spans="1:8" x14ac:dyDescent="0.3">
      <c r="A737" t="str">
        <f>VLOOKUP(B737,Table3[[#Headers],[#Data]],3,FALSE)</f>
        <v>Outdoor</v>
      </c>
      <c r="B737" t="s">
        <v>927</v>
      </c>
      <c r="C737">
        <f>VLOOKUP(B737,Table3[[#Headers],[#Data]],4, FALSE)</f>
        <v>27.32</v>
      </c>
      <c r="D737" t="str">
        <f>VLOOKUP('Rough data'!B737,Table3[[#Headers],[#Data]],2,FALSE)</f>
        <v>Stainless Steel BBQ Tools Set (Green)</v>
      </c>
      <c r="E737" t="str">
        <f>VLOOKUP(B737,Table3[[#Headers],[#Data]],5,FALSE)</f>
        <v>SELL0093</v>
      </c>
      <c r="F737" t="str">
        <f>VLOOKUP(E737,Table2[[#Headers],[#Data],[seller_id]:[seller_user]],2,FALSE)</f>
        <v>millies-outdoor-shop</v>
      </c>
      <c r="G737">
        <v>1</v>
      </c>
      <c r="H737">
        <f t="shared" si="11"/>
        <v>27.32</v>
      </c>
    </row>
    <row r="738" spans="1:8" x14ac:dyDescent="0.3">
      <c r="A738" t="str">
        <f>VLOOKUP(B738,Table3[[#Headers],[#Data]],3,FALSE)</f>
        <v>Outdoor</v>
      </c>
      <c r="B738" t="s">
        <v>927</v>
      </c>
      <c r="C738">
        <f>VLOOKUP(B738,Table3[[#Headers],[#Data]],4, FALSE)</f>
        <v>27.32</v>
      </c>
      <c r="D738" t="str">
        <f>VLOOKUP('Rough data'!B738,Table3[[#Headers],[#Data]],2,FALSE)</f>
        <v>Stainless Steel BBQ Tools Set (Green)</v>
      </c>
      <c r="E738" t="str">
        <f>VLOOKUP(B738,Table3[[#Headers],[#Data]],5,FALSE)</f>
        <v>SELL0093</v>
      </c>
      <c r="F738" t="str">
        <f>VLOOKUP(E738,Table2[[#Headers],[#Data],[seller_id]:[seller_user]],2,FALSE)</f>
        <v>millies-outdoor-shop</v>
      </c>
      <c r="G738">
        <v>1</v>
      </c>
      <c r="H738">
        <f t="shared" si="11"/>
        <v>27.32</v>
      </c>
    </row>
    <row r="739" spans="1:8" x14ac:dyDescent="0.3">
      <c r="A739" t="str">
        <f>VLOOKUP(B739,Table3[[#Headers],[#Data]],3,FALSE)</f>
        <v>Outdoor</v>
      </c>
      <c r="B739" t="s">
        <v>927</v>
      </c>
      <c r="C739">
        <f>VLOOKUP(B739,Table3[[#Headers],[#Data]],4, FALSE)</f>
        <v>27.32</v>
      </c>
      <c r="D739" t="str">
        <f>VLOOKUP('Rough data'!B739,Table3[[#Headers],[#Data]],2,FALSE)</f>
        <v>Stainless Steel BBQ Tools Set (Green)</v>
      </c>
      <c r="E739" t="str">
        <f>VLOOKUP(B739,Table3[[#Headers],[#Data]],5,FALSE)</f>
        <v>SELL0093</v>
      </c>
      <c r="F739" t="str">
        <f>VLOOKUP(E739,Table2[[#Headers],[#Data],[seller_id]:[seller_user]],2,FALSE)</f>
        <v>millies-outdoor-shop</v>
      </c>
      <c r="G739">
        <v>1</v>
      </c>
      <c r="H739">
        <f t="shared" si="11"/>
        <v>27.32</v>
      </c>
    </row>
    <row r="740" spans="1:8" x14ac:dyDescent="0.3">
      <c r="A740" t="str">
        <f>VLOOKUP(B740,Table3[[#Headers],[#Data]],3,FALSE)</f>
        <v>Outdoor</v>
      </c>
      <c r="B740" t="s">
        <v>927</v>
      </c>
      <c r="C740">
        <f>VLOOKUP(B740,Table3[[#Headers],[#Data]],4, FALSE)</f>
        <v>27.32</v>
      </c>
      <c r="D740" t="str">
        <f>VLOOKUP('Rough data'!B740,Table3[[#Headers],[#Data]],2,FALSE)</f>
        <v>Stainless Steel BBQ Tools Set (Green)</v>
      </c>
      <c r="E740" t="str">
        <f>VLOOKUP(B740,Table3[[#Headers],[#Data]],5,FALSE)</f>
        <v>SELL0093</v>
      </c>
      <c r="F740" t="str">
        <f>VLOOKUP(E740,Table2[[#Headers],[#Data],[seller_id]:[seller_user]],2,FALSE)</f>
        <v>millies-outdoor-shop</v>
      </c>
      <c r="G740">
        <v>1</v>
      </c>
      <c r="H740">
        <f t="shared" si="11"/>
        <v>27.32</v>
      </c>
    </row>
    <row r="741" spans="1:8" x14ac:dyDescent="0.3">
      <c r="A741" t="str">
        <f>VLOOKUP(B741,Table3[[#Headers],[#Data]],3,FALSE)</f>
        <v>Outdoor</v>
      </c>
      <c r="B741" t="s">
        <v>931</v>
      </c>
      <c r="C741">
        <f>VLOOKUP(B741,Table3[[#Headers],[#Data]],4, FALSE)</f>
        <v>114.11</v>
      </c>
      <c r="D741" t="str">
        <f>VLOOKUP('Rough data'!B741,Table3[[#Headers],[#Data]],2,FALSE)</f>
        <v>Compact Hiking Backpack 20L (Blue)</v>
      </c>
      <c r="E741" t="str">
        <f>VLOOKUP(B741,Table3[[#Headers],[#Data]],5,FALSE)</f>
        <v>SELL0093</v>
      </c>
      <c r="F741" t="str">
        <f>VLOOKUP(E741,Table2[[#Headers],[#Data],[seller_id]:[seller_user]],2,FALSE)</f>
        <v>millies-outdoor-shop</v>
      </c>
      <c r="G741">
        <v>1</v>
      </c>
      <c r="H741">
        <f t="shared" si="11"/>
        <v>114.11</v>
      </c>
    </row>
    <row r="742" spans="1:8" x14ac:dyDescent="0.3">
      <c r="A742" t="str">
        <f>VLOOKUP(B742,Table3[[#Headers],[#Data]],3,FALSE)</f>
        <v>Outdoor</v>
      </c>
      <c r="B742" t="s">
        <v>931</v>
      </c>
      <c r="C742">
        <f>VLOOKUP(B742,Table3[[#Headers],[#Data]],4, FALSE)</f>
        <v>114.11</v>
      </c>
      <c r="D742" t="str">
        <f>VLOOKUP('Rough data'!B742,Table3[[#Headers],[#Data]],2,FALSE)</f>
        <v>Compact Hiking Backpack 20L (Blue)</v>
      </c>
      <c r="E742" t="str">
        <f>VLOOKUP(B742,Table3[[#Headers],[#Data]],5,FALSE)</f>
        <v>SELL0093</v>
      </c>
      <c r="F742" t="str">
        <f>VLOOKUP(E742,Table2[[#Headers],[#Data],[seller_id]:[seller_user]],2,FALSE)</f>
        <v>millies-outdoor-shop</v>
      </c>
      <c r="G742">
        <v>1</v>
      </c>
      <c r="H742">
        <f t="shared" si="11"/>
        <v>114.11</v>
      </c>
    </row>
    <row r="743" spans="1:8" x14ac:dyDescent="0.3">
      <c r="A743" t="str">
        <f>VLOOKUP(B743,Table3[[#Headers],[#Data]],3,FALSE)</f>
        <v>Outdoor</v>
      </c>
      <c r="B743" t="s">
        <v>931</v>
      </c>
      <c r="C743">
        <f>VLOOKUP(B743,Table3[[#Headers],[#Data]],4, FALSE)</f>
        <v>114.11</v>
      </c>
      <c r="D743" t="str">
        <f>VLOOKUP('Rough data'!B743,Table3[[#Headers],[#Data]],2,FALSE)</f>
        <v>Compact Hiking Backpack 20L (Blue)</v>
      </c>
      <c r="E743" t="str">
        <f>VLOOKUP(B743,Table3[[#Headers],[#Data]],5,FALSE)</f>
        <v>SELL0093</v>
      </c>
      <c r="F743" t="str">
        <f>VLOOKUP(E743,Table2[[#Headers],[#Data],[seller_id]:[seller_user]],2,FALSE)</f>
        <v>millies-outdoor-shop</v>
      </c>
      <c r="G743">
        <v>1</v>
      </c>
      <c r="H743">
        <f t="shared" si="11"/>
        <v>114.11</v>
      </c>
    </row>
    <row r="744" spans="1:8" x14ac:dyDescent="0.3">
      <c r="A744" t="str">
        <f>VLOOKUP(B744,Table3[[#Headers],[#Data]],3,FALSE)</f>
        <v>Outdoor</v>
      </c>
      <c r="B744" t="s">
        <v>931</v>
      </c>
      <c r="C744">
        <f>VLOOKUP(B744,Table3[[#Headers],[#Data]],4, FALSE)</f>
        <v>114.11</v>
      </c>
      <c r="D744" t="str">
        <f>VLOOKUP('Rough data'!B744,Table3[[#Headers],[#Data]],2,FALSE)</f>
        <v>Compact Hiking Backpack 20L (Blue)</v>
      </c>
      <c r="E744" t="str">
        <f>VLOOKUP(B744,Table3[[#Headers],[#Data]],5,FALSE)</f>
        <v>SELL0093</v>
      </c>
      <c r="F744" t="str">
        <f>VLOOKUP(E744,Table2[[#Headers],[#Data],[seller_id]:[seller_user]],2,FALSE)</f>
        <v>millies-outdoor-shop</v>
      </c>
      <c r="G744">
        <v>1</v>
      </c>
      <c r="H744">
        <f t="shared" si="11"/>
        <v>114.11</v>
      </c>
    </row>
    <row r="745" spans="1:8" x14ac:dyDescent="0.3">
      <c r="A745" t="str">
        <f>VLOOKUP(B745,Table3[[#Headers],[#Data]],3,FALSE)</f>
        <v>Outdoor</v>
      </c>
      <c r="B745" t="s">
        <v>933</v>
      </c>
      <c r="C745">
        <f>VLOOKUP(B745,Table3[[#Headers],[#Data]],4, FALSE)</f>
        <v>87.51</v>
      </c>
      <c r="D745" t="str">
        <f>VLOOKUP('Rough data'!B745,Table3[[#Headers],[#Data]],2,FALSE)</f>
        <v>Garden Hose 50m (Green)</v>
      </c>
      <c r="E745" t="str">
        <f>VLOOKUP(B745,Table3[[#Headers],[#Data]],5,FALSE)</f>
        <v>SELL0093</v>
      </c>
      <c r="F745" t="str">
        <f>VLOOKUP(E745,Table2[[#Headers],[#Data],[seller_id]:[seller_user]],2,FALSE)</f>
        <v>millies-outdoor-shop</v>
      </c>
      <c r="G745">
        <v>2</v>
      </c>
      <c r="H745">
        <f t="shared" si="11"/>
        <v>175.02</v>
      </c>
    </row>
    <row r="746" spans="1:8" x14ac:dyDescent="0.3">
      <c r="A746" t="str">
        <f>VLOOKUP(B746,Table3[[#Headers],[#Data]],3,FALSE)</f>
        <v>Outdoor</v>
      </c>
      <c r="B746" t="s">
        <v>933</v>
      </c>
      <c r="C746">
        <f>VLOOKUP(B746,Table3[[#Headers],[#Data]],4, FALSE)</f>
        <v>87.51</v>
      </c>
      <c r="D746" t="str">
        <f>VLOOKUP('Rough data'!B746,Table3[[#Headers],[#Data]],2,FALSE)</f>
        <v>Garden Hose 50m (Green)</v>
      </c>
      <c r="E746" t="str">
        <f>VLOOKUP(B746,Table3[[#Headers],[#Data]],5,FALSE)</f>
        <v>SELL0093</v>
      </c>
      <c r="F746" t="str">
        <f>VLOOKUP(E746,Table2[[#Headers],[#Data],[seller_id]:[seller_user]],2,FALSE)</f>
        <v>millies-outdoor-shop</v>
      </c>
      <c r="G746">
        <v>1</v>
      </c>
      <c r="H746">
        <f t="shared" si="11"/>
        <v>87.51</v>
      </c>
    </row>
    <row r="747" spans="1:8" x14ac:dyDescent="0.3">
      <c r="A747" t="str">
        <f>VLOOKUP(B747,Table3[[#Headers],[#Data]],3,FALSE)</f>
        <v>Outdoor</v>
      </c>
      <c r="B747" t="s">
        <v>935</v>
      </c>
      <c r="C747">
        <f>VLOOKUP(B747,Table3[[#Headers],[#Data]],4, FALSE)</f>
        <v>96.77</v>
      </c>
      <c r="D747" t="str">
        <f>VLOOKUP('Rough data'!B747,Table3[[#Headers],[#Data]],2,FALSE)</f>
        <v>Garden Hose 50m (Grey)</v>
      </c>
      <c r="E747" t="str">
        <f>VLOOKUP(B747,Table3[[#Headers],[#Data]],5,FALSE)</f>
        <v>SELL0093</v>
      </c>
      <c r="F747" t="str">
        <f>VLOOKUP(E747,Table2[[#Headers],[#Data],[seller_id]:[seller_user]],2,FALSE)</f>
        <v>millies-outdoor-shop</v>
      </c>
      <c r="G747">
        <v>1</v>
      </c>
      <c r="H747">
        <f t="shared" si="11"/>
        <v>96.77</v>
      </c>
    </row>
    <row r="748" spans="1:8" x14ac:dyDescent="0.3">
      <c r="A748" t="str">
        <f>VLOOKUP(B748,Table3[[#Headers],[#Data]],3,FALSE)</f>
        <v>Outdoor</v>
      </c>
      <c r="B748" t="s">
        <v>937</v>
      </c>
      <c r="C748">
        <f>VLOOKUP(B748,Table3[[#Headers],[#Data]],4, FALSE)</f>
        <v>55.99</v>
      </c>
      <c r="D748" t="str">
        <f>VLOOKUP('Rough data'!B748,Table3[[#Headers],[#Data]],2,FALSE)</f>
        <v>Garden Hose 20m (Grey)</v>
      </c>
      <c r="E748" t="str">
        <f>VLOOKUP(B748,Table3[[#Headers],[#Data]],5,FALSE)</f>
        <v>SELL0093</v>
      </c>
      <c r="F748" t="str">
        <f>VLOOKUP(E748,Table2[[#Headers],[#Data],[seller_id]:[seller_user]],2,FALSE)</f>
        <v>millies-outdoor-shop</v>
      </c>
      <c r="G748">
        <v>1</v>
      </c>
      <c r="H748">
        <f t="shared" si="11"/>
        <v>55.99</v>
      </c>
    </row>
    <row r="749" spans="1:8" x14ac:dyDescent="0.3">
      <c r="A749" t="str">
        <f>VLOOKUP(B749,Table3[[#Headers],[#Data]],3,FALSE)</f>
        <v>Outdoor</v>
      </c>
      <c r="B749" t="s">
        <v>937</v>
      </c>
      <c r="C749">
        <f>VLOOKUP(B749,Table3[[#Headers],[#Data]],4, FALSE)</f>
        <v>55.99</v>
      </c>
      <c r="D749" t="str">
        <f>VLOOKUP('Rough data'!B749,Table3[[#Headers],[#Data]],2,FALSE)</f>
        <v>Garden Hose 20m (Grey)</v>
      </c>
      <c r="E749" t="str">
        <f>VLOOKUP(B749,Table3[[#Headers],[#Data]],5,FALSE)</f>
        <v>SELL0093</v>
      </c>
      <c r="F749" t="str">
        <f>VLOOKUP(E749,Table2[[#Headers],[#Data],[seller_id]:[seller_user]],2,FALSE)</f>
        <v>millies-outdoor-shop</v>
      </c>
      <c r="G749">
        <v>1</v>
      </c>
      <c r="H749">
        <f t="shared" si="11"/>
        <v>55.99</v>
      </c>
    </row>
    <row r="750" spans="1:8" x14ac:dyDescent="0.3">
      <c r="A750" t="str">
        <f>VLOOKUP(B750,Table3[[#Headers],[#Data]],3,FALSE)</f>
        <v>Outdoor</v>
      </c>
      <c r="B750" t="s">
        <v>937</v>
      </c>
      <c r="C750">
        <f>VLOOKUP(B750,Table3[[#Headers],[#Data]],4, FALSE)</f>
        <v>55.99</v>
      </c>
      <c r="D750" t="str">
        <f>VLOOKUP('Rough data'!B750,Table3[[#Headers],[#Data]],2,FALSE)</f>
        <v>Garden Hose 20m (Grey)</v>
      </c>
      <c r="E750" t="str">
        <f>VLOOKUP(B750,Table3[[#Headers],[#Data]],5,FALSE)</f>
        <v>SELL0093</v>
      </c>
      <c r="F750" t="str">
        <f>VLOOKUP(E750,Table2[[#Headers],[#Data],[seller_id]:[seller_user]],2,FALSE)</f>
        <v>millies-outdoor-shop</v>
      </c>
      <c r="G750">
        <v>1</v>
      </c>
      <c r="H750">
        <f t="shared" si="11"/>
        <v>55.99</v>
      </c>
    </row>
    <row r="751" spans="1:8" x14ac:dyDescent="0.3">
      <c r="A751" t="str">
        <f>VLOOKUP(B751,Table3[[#Headers],[#Data]],3,FALSE)</f>
        <v>Outdoor</v>
      </c>
      <c r="B751" t="s">
        <v>939</v>
      </c>
      <c r="C751">
        <f>VLOOKUP(B751,Table3[[#Headers],[#Data]],4, FALSE)</f>
        <v>57.98</v>
      </c>
      <c r="D751" t="str">
        <f>VLOOKUP('Rough data'!B751,Table3[[#Headers],[#Data]],2,FALSE)</f>
        <v>Garden Hose 20m (Green)</v>
      </c>
      <c r="E751" t="str">
        <f>VLOOKUP(B751,Table3[[#Headers],[#Data]],5,FALSE)</f>
        <v>SELL0093</v>
      </c>
      <c r="F751" t="str">
        <f>VLOOKUP(E751,Table2[[#Headers],[#Data],[seller_id]:[seller_user]],2,FALSE)</f>
        <v>millies-outdoor-shop</v>
      </c>
      <c r="G751">
        <v>1</v>
      </c>
      <c r="H751">
        <f t="shared" si="11"/>
        <v>57.98</v>
      </c>
    </row>
    <row r="752" spans="1:8" x14ac:dyDescent="0.3">
      <c r="A752" t="str">
        <f>VLOOKUP(B752,Table3[[#Headers],[#Data]],3,FALSE)</f>
        <v>Health</v>
      </c>
      <c r="B752" t="s">
        <v>943</v>
      </c>
      <c r="C752">
        <f>VLOOKUP(B752,Table3[[#Headers],[#Data]],4, FALSE)</f>
        <v>24.44</v>
      </c>
      <c r="D752" t="str">
        <f>VLOOKUP('Rough data'!B752,Table3[[#Headers],[#Data]],2,FALSE)</f>
        <v>Hand Grip Strengthener (Grey)</v>
      </c>
      <c r="E752" t="str">
        <f>VLOOKUP(B752,Table3[[#Headers],[#Data]],5,FALSE)</f>
        <v>SELL0051</v>
      </c>
      <c r="F752" t="str">
        <f>VLOOKUP(E752,Table2[[#Headers],[#Data],[seller_id]:[seller_user]],2,FALSE)</f>
        <v>healthway</v>
      </c>
      <c r="G752">
        <v>2</v>
      </c>
      <c r="H752">
        <f t="shared" si="11"/>
        <v>48.88</v>
      </c>
    </row>
    <row r="753" spans="1:8" x14ac:dyDescent="0.3">
      <c r="A753" t="str">
        <f>VLOOKUP(B753,Table3[[#Headers],[#Data]],3,FALSE)</f>
        <v>Health</v>
      </c>
      <c r="B753" t="s">
        <v>945</v>
      </c>
      <c r="C753">
        <f>VLOOKUP(B753,Table3[[#Headers],[#Data]],4, FALSE)</f>
        <v>28.76</v>
      </c>
      <c r="D753" t="str">
        <f>VLOOKUP('Rough data'!B753,Table3[[#Headers],[#Data]],2,FALSE)</f>
        <v>Hand Grip Strengthener (Red)</v>
      </c>
      <c r="E753" t="str">
        <f>VLOOKUP(B753,Table3[[#Headers],[#Data]],5,FALSE)</f>
        <v>SELL0051</v>
      </c>
      <c r="F753" t="str">
        <f>VLOOKUP(E753,Table2[[#Headers],[#Data],[seller_id]:[seller_user]],2,FALSE)</f>
        <v>healthway</v>
      </c>
      <c r="G753">
        <v>1</v>
      </c>
      <c r="H753">
        <f t="shared" si="11"/>
        <v>28.76</v>
      </c>
    </row>
    <row r="754" spans="1:8" x14ac:dyDescent="0.3">
      <c r="A754" t="str">
        <f>VLOOKUP(B754,Table3[[#Headers],[#Data]],3,FALSE)</f>
        <v>Health</v>
      </c>
      <c r="B754" t="s">
        <v>945</v>
      </c>
      <c r="C754">
        <f>VLOOKUP(B754,Table3[[#Headers],[#Data]],4, FALSE)</f>
        <v>28.76</v>
      </c>
      <c r="D754" t="str">
        <f>VLOOKUP('Rough data'!B754,Table3[[#Headers],[#Data]],2,FALSE)</f>
        <v>Hand Grip Strengthener (Red)</v>
      </c>
      <c r="E754" t="str">
        <f>VLOOKUP(B754,Table3[[#Headers],[#Data]],5,FALSE)</f>
        <v>SELL0051</v>
      </c>
      <c r="F754" t="str">
        <f>VLOOKUP(E754,Table2[[#Headers],[#Data],[seller_id]:[seller_user]],2,FALSE)</f>
        <v>healthway</v>
      </c>
      <c r="G754">
        <v>1</v>
      </c>
      <c r="H754">
        <f t="shared" si="11"/>
        <v>28.76</v>
      </c>
    </row>
    <row r="755" spans="1:8" x14ac:dyDescent="0.3">
      <c r="A755" t="str">
        <f>VLOOKUP(B755,Table3[[#Headers],[#Data]],3,FALSE)</f>
        <v>Health</v>
      </c>
      <c r="B755" t="s">
        <v>947</v>
      </c>
      <c r="C755">
        <f>VLOOKUP(B755,Table3[[#Headers],[#Data]],4, FALSE)</f>
        <v>20.39</v>
      </c>
      <c r="D755" t="str">
        <f>VLOOKUP('Rough data'!B755,Table3[[#Headers],[#Data]],2,FALSE)</f>
        <v>Hand Grip Strengthener (Blue)</v>
      </c>
      <c r="E755" t="str">
        <f>VLOOKUP(B755,Table3[[#Headers],[#Data]],5,FALSE)</f>
        <v>SELL0051</v>
      </c>
      <c r="F755" t="str">
        <f>VLOOKUP(E755,Table2[[#Headers],[#Data],[seller_id]:[seller_user]],2,FALSE)</f>
        <v>healthway</v>
      </c>
      <c r="G755">
        <v>1</v>
      </c>
      <c r="H755">
        <f t="shared" si="11"/>
        <v>20.39</v>
      </c>
    </row>
    <row r="756" spans="1:8" x14ac:dyDescent="0.3">
      <c r="A756" t="str">
        <f>VLOOKUP(B756,Table3[[#Headers],[#Data]],3,FALSE)</f>
        <v>Outdoor</v>
      </c>
      <c r="B756" t="s">
        <v>951</v>
      </c>
      <c r="C756">
        <f>VLOOKUP(B756,Table3[[#Headers],[#Data]],4, FALSE)</f>
        <v>54.41</v>
      </c>
      <c r="D756" t="str">
        <f>VLOOKUP('Rough data'!B756,Table3[[#Headers],[#Data]],2,FALSE)</f>
        <v>BBQ Grill Mat - Non‑stick (Navy)</v>
      </c>
      <c r="E756" t="str">
        <f>VLOOKUP(B756,Table3[[#Headers],[#Data]],5,FALSE)</f>
        <v>SELL0093</v>
      </c>
      <c r="F756" t="str">
        <f>VLOOKUP(E756,Table2[[#Headers],[#Data],[seller_id]:[seller_user]],2,FALSE)</f>
        <v>millies-outdoor-shop</v>
      </c>
      <c r="G756">
        <v>1</v>
      </c>
      <c r="H756">
        <f t="shared" si="11"/>
        <v>54.41</v>
      </c>
    </row>
    <row r="757" spans="1:8" x14ac:dyDescent="0.3">
      <c r="A757" t="str">
        <f>VLOOKUP(B757,Table3[[#Headers],[#Data]],3,FALSE)</f>
        <v>Outdoor</v>
      </c>
      <c r="B757" t="s">
        <v>951</v>
      </c>
      <c r="C757">
        <f>VLOOKUP(B757,Table3[[#Headers],[#Data]],4, FALSE)</f>
        <v>54.41</v>
      </c>
      <c r="D757" t="str">
        <f>VLOOKUP('Rough data'!B757,Table3[[#Headers],[#Data]],2,FALSE)</f>
        <v>BBQ Grill Mat - Non‑stick (Navy)</v>
      </c>
      <c r="E757" t="str">
        <f>VLOOKUP(B757,Table3[[#Headers],[#Data]],5,FALSE)</f>
        <v>SELL0093</v>
      </c>
      <c r="F757" t="str">
        <f>VLOOKUP(E757,Table2[[#Headers],[#Data],[seller_id]:[seller_user]],2,FALSE)</f>
        <v>millies-outdoor-shop</v>
      </c>
      <c r="G757">
        <v>1</v>
      </c>
      <c r="H757">
        <f t="shared" si="11"/>
        <v>54.41</v>
      </c>
    </row>
    <row r="758" spans="1:8" x14ac:dyDescent="0.3">
      <c r="A758" t="str">
        <f>VLOOKUP(B758,Table3[[#Headers],[#Data]],3,FALSE)</f>
        <v>Outdoor</v>
      </c>
      <c r="B758" t="s">
        <v>951</v>
      </c>
      <c r="C758">
        <f>VLOOKUP(B758,Table3[[#Headers],[#Data]],4, FALSE)</f>
        <v>54.41</v>
      </c>
      <c r="D758" t="str">
        <f>VLOOKUP('Rough data'!B758,Table3[[#Headers],[#Data]],2,FALSE)</f>
        <v>BBQ Grill Mat - Non‑stick (Navy)</v>
      </c>
      <c r="E758" t="str">
        <f>VLOOKUP(B758,Table3[[#Headers],[#Data]],5,FALSE)</f>
        <v>SELL0093</v>
      </c>
      <c r="F758" t="str">
        <f>VLOOKUP(E758,Table2[[#Headers],[#Data],[seller_id]:[seller_user]],2,FALSE)</f>
        <v>millies-outdoor-shop</v>
      </c>
      <c r="G758">
        <v>2</v>
      </c>
      <c r="H758">
        <f t="shared" si="11"/>
        <v>108.82</v>
      </c>
    </row>
    <row r="759" spans="1:8" x14ac:dyDescent="0.3">
      <c r="A759" t="str">
        <f>VLOOKUP(B759,Table3[[#Headers],[#Data]],3,FALSE)</f>
        <v>Outdoor</v>
      </c>
      <c r="B759" t="s">
        <v>951</v>
      </c>
      <c r="C759">
        <f>VLOOKUP(B759,Table3[[#Headers],[#Data]],4, FALSE)</f>
        <v>54.41</v>
      </c>
      <c r="D759" t="str">
        <f>VLOOKUP('Rough data'!B759,Table3[[#Headers],[#Data]],2,FALSE)</f>
        <v>BBQ Grill Mat - Non‑stick (Navy)</v>
      </c>
      <c r="E759" t="str">
        <f>VLOOKUP(B759,Table3[[#Headers],[#Data]],5,FALSE)</f>
        <v>SELL0093</v>
      </c>
      <c r="F759" t="str">
        <f>VLOOKUP(E759,Table2[[#Headers],[#Data],[seller_id]:[seller_user]],2,FALSE)</f>
        <v>millies-outdoor-shop</v>
      </c>
      <c r="G759">
        <v>2</v>
      </c>
      <c r="H759">
        <f t="shared" si="11"/>
        <v>108.82</v>
      </c>
    </row>
    <row r="760" spans="1:8" x14ac:dyDescent="0.3">
      <c r="A760" t="str">
        <f>VLOOKUP(B760,Table3[[#Headers],[#Data]],3,FALSE)</f>
        <v>Outdoor</v>
      </c>
      <c r="B760" t="s">
        <v>951</v>
      </c>
      <c r="C760">
        <f>VLOOKUP(B760,Table3[[#Headers],[#Data]],4, FALSE)</f>
        <v>54.41</v>
      </c>
      <c r="D760" t="str">
        <f>VLOOKUP('Rough data'!B760,Table3[[#Headers],[#Data]],2,FALSE)</f>
        <v>BBQ Grill Mat - Non‑stick (Navy)</v>
      </c>
      <c r="E760" t="str">
        <f>VLOOKUP(B760,Table3[[#Headers],[#Data]],5,FALSE)</f>
        <v>SELL0093</v>
      </c>
      <c r="F760" t="str">
        <f>VLOOKUP(E760,Table2[[#Headers],[#Data],[seller_id]:[seller_user]],2,FALSE)</f>
        <v>millies-outdoor-shop</v>
      </c>
      <c r="G760">
        <v>1</v>
      </c>
      <c r="H760">
        <f t="shared" si="11"/>
        <v>54.41</v>
      </c>
    </row>
    <row r="761" spans="1:8" x14ac:dyDescent="0.3">
      <c r="A761" t="str">
        <f>VLOOKUP(B761,Table3[[#Headers],[#Data]],3,FALSE)</f>
        <v>Outdoor</v>
      </c>
      <c r="B761" t="s">
        <v>953</v>
      </c>
      <c r="C761">
        <f>VLOOKUP(B761,Table3[[#Headers],[#Data]],4, FALSE)</f>
        <v>60.6</v>
      </c>
      <c r="D761" t="str">
        <f>VLOOKUP('Rough data'!B761,Table3[[#Headers],[#Data]],2,FALSE)</f>
        <v>BBQ Grill Mat - Non‑stick (Blue)</v>
      </c>
      <c r="E761" t="str">
        <f>VLOOKUP(B761,Table3[[#Headers],[#Data]],5,FALSE)</f>
        <v>SELL0093</v>
      </c>
      <c r="F761" t="str">
        <f>VLOOKUP(E761,Table2[[#Headers],[#Data],[seller_id]:[seller_user]],2,FALSE)</f>
        <v>millies-outdoor-shop</v>
      </c>
      <c r="G761">
        <v>1</v>
      </c>
      <c r="H761">
        <f t="shared" si="11"/>
        <v>60.6</v>
      </c>
    </row>
    <row r="762" spans="1:8" x14ac:dyDescent="0.3">
      <c r="A762" t="str">
        <f>VLOOKUP(B762,Table3[[#Headers],[#Data]],3,FALSE)</f>
        <v>Outdoor</v>
      </c>
      <c r="B762" t="s">
        <v>953</v>
      </c>
      <c r="C762">
        <f>VLOOKUP(B762,Table3[[#Headers],[#Data]],4, FALSE)</f>
        <v>60.6</v>
      </c>
      <c r="D762" t="str">
        <f>VLOOKUP('Rough data'!B762,Table3[[#Headers],[#Data]],2,FALSE)</f>
        <v>BBQ Grill Mat - Non‑stick (Blue)</v>
      </c>
      <c r="E762" t="str">
        <f>VLOOKUP(B762,Table3[[#Headers],[#Data]],5,FALSE)</f>
        <v>SELL0093</v>
      </c>
      <c r="F762" t="str">
        <f>VLOOKUP(E762,Table2[[#Headers],[#Data],[seller_id]:[seller_user]],2,FALSE)</f>
        <v>millies-outdoor-shop</v>
      </c>
      <c r="G762">
        <v>1</v>
      </c>
      <c r="H762">
        <f t="shared" si="11"/>
        <v>60.6</v>
      </c>
    </row>
    <row r="763" spans="1:8" x14ac:dyDescent="0.3">
      <c r="A763" t="str">
        <f>VLOOKUP(B763,Table3[[#Headers],[#Data]],3,FALSE)</f>
        <v>Outdoor</v>
      </c>
      <c r="B763" t="s">
        <v>953</v>
      </c>
      <c r="C763">
        <f>VLOOKUP(B763,Table3[[#Headers],[#Data]],4, FALSE)</f>
        <v>60.6</v>
      </c>
      <c r="D763" t="str">
        <f>VLOOKUP('Rough data'!B763,Table3[[#Headers],[#Data]],2,FALSE)</f>
        <v>BBQ Grill Mat - Non‑stick (Blue)</v>
      </c>
      <c r="E763" t="str">
        <f>VLOOKUP(B763,Table3[[#Headers],[#Data]],5,FALSE)</f>
        <v>SELL0093</v>
      </c>
      <c r="F763" t="str">
        <f>VLOOKUP(E763,Table2[[#Headers],[#Data],[seller_id]:[seller_user]],2,FALSE)</f>
        <v>millies-outdoor-shop</v>
      </c>
      <c r="G763">
        <v>1</v>
      </c>
      <c r="H763">
        <f t="shared" si="11"/>
        <v>60.6</v>
      </c>
    </row>
    <row r="764" spans="1:8" x14ac:dyDescent="0.3">
      <c r="A764" t="str">
        <f>VLOOKUP(B764,Table3[[#Headers],[#Data]],3,FALSE)</f>
        <v>Outdoor</v>
      </c>
      <c r="B764" t="s">
        <v>958</v>
      </c>
      <c r="C764">
        <f>VLOOKUP(B764,Table3[[#Headers],[#Data]],4, FALSE)</f>
        <v>26.7</v>
      </c>
      <c r="D764" t="str">
        <f>VLOOKUP('Rough data'!B764,Table3[[#Headers],[#Data]],2,FALSE)</f>
        <v>Waterproof Picnic Mat</v>
      </c>
      <c r="E764" t="str">
        <f>VLOOKUP(B764,Table3[[#Headers],[#Data]],5,FALSE)</f>
        <v>SELL0094</v>
      </c>
      <c r="F764" t="str">
        <f>VLOOKUP(E764,Table2[[#Headers],[#Data],[seller_id]:[seller_user]],2,FALSE)</f>
        <v>excelinall</v>
      </c>
      <c r="G764">
        <v>1</v>
      </c>
      <c r="H764">
        <f t="shared" si="11"/>
        <v>26.7</v>
      </c>
    </row>
    <row r="765" spans="1:8" x14ac:dyDescent="0.3">
      <c r="A765" t="str">
        <f>VLOOKUP(B765,Table3[[#Headers],[#Data]],3,FALSE)</f>
        <v>Outdoor</v>
      </c>
      <c r="B765" t="s">
        <v>958</v>
      </c>
      <c r="C765">
        <f>VLOOKUP(B765,Table3[[#Headers],[#Data]],4, FALSE)</f>
        <v>26.7</v>
      </c>
      <c r="D765" t="str">
        <f>VLOOKUP('Rough data'!B765,Table3[[#Headers],[#Data]],2,FALSE)</f>
        <v>Waterproof Picnic Mat</v>
      </c>
      <c r="E765" t="str">
        <f>VLOOKUP(B765,Table3[[#Headers],[#Data]],5,FALSE)</f>
        <v>SELL0094</v>
      </c>
      <c r="F765" t="str">
        <f>VLOOKUP(E765,Table2[[#Headers],[#Data],[seller_id]:[seller_user]],2,FALSE)</f>
        <v>excelinall</v>
      </c>
      <c r="G765">
        <v>1</v>
      </c>
      <c r="H765">
        <f t="shared" si="11"/>
        <v>26.7</v>
      </c>
    </row>
    <row r="766" spans="1:8" x14ac:dyDescent="0.3">
      <c r="A766" t="str">
        <f>VLOOKUP(B766,Table3[[#Headers],[#Data]],3,FALSE)</f>
        <v>Outdoor</v>
      </c>
      <c r="B766" t="s">
        <v>960</v>
      </c>
      <c r="C766">
        <f>VLOOKUP(B766,Table3[[#Headers],[#Data]],4, FALSE)</f>
        <v>44.92</v>
      </c>
      <c r="D766" t="str">
        <f>VLOOKUP('Rough data'!B766,Table3[[#Headers],[#Data]],2,FALSE)</f>
        <v>Waterproof Picnic Mat</v>
      </c>
      <c r="E766" t="str">
        <f>VLOOKUP(B766,Table3[[#Headers],[#Data]],5,FALSE)</f>
        <v>SELL0094</v>
      </c>
      <c r="F766" t="str">
        <f>VLOOKUP(E766,Table2[[#Headers],[#Data],[seller_id]:[seller_user]],2,FALSE)</f>
        <v>excelinall</v>
      </c>
      <c r="G766">
        <v>1</v>
      </c>
      <c r="H766">
        <f t="shared" si="11"/>
        <v>44.92</v>
      </c>
    </row>
    <row r="767" spans="1:8" x14ac:dyDescent="0.3">
      <c r="A767" t="str">
        <f>VLOOKUP(B767,Table3[[#Headers],[#Data]],3,FALSE)</f>
        <v>Outdoor</v>
      </c>
      <c r="B767" t="s">
        <v>960</v>
      </c>
      <c r="C767">
        <f>VLOOKUP(B767,Table3[[#Headers],[#Data]],4, FALSE)</f>
        <v>44.92</v>
      </c>
      <c r="D767" t="str">
        <f>VLOOKUP('Rough data'!B767,Table3[[#Headers],[#Data]],2,FALSE)</f>
        <v>Waterproof Picnic Mat</v>
      </c>
      <c r="E767" t="str">
        <f>VLOOKUP(B767,Table3[[#Headers],[#Data]],5,FALSE)</f>
        <v>SELL0094</v>
      </c>
      <c r="F767" t="str">
        <f>VLOOKUP(E767,Table2[[#Headers],[#Data],[seller_id]:[seller_user]],2,FALSE)</f>
        <v>excelinall</v>
      </c>
      <c r="G767">
        <v>1</v>
      </c>
      <c r="H767">
        <f t="shared" si="11"/>
        <v>44.92</v>
      </c>
    </row>
    <row r="768" spans="1:8" x14ac:dyDescent="0.3">
      <c r="A768" t="str">
        <f>VLOOKUP(B768,Table3[[#Headers],[#Data]],3,FALSE)</f>
        <v>Outdoor</v>
      </c>
      <c r="B768" t="s">
        <v>960</v>
      </c>
      <c r="C768">
        <f>VLOOKUP(B768,Table3[[#Headers],[#Data]],4, FALSE)</f>
        <v>44.92</v>
      </c>
      <c r="D768" t="str">
        <f>VLOOKUP('Rough data'!B768,Table3[[#Headers],[#Data]],2,FALSE)</f>
        <v>Waterproof Picnic Mat</v>
      </c>
      <c r="E768" t="str">
        <f>VLOOKUP(B768,Table3[[#Headers],[#Data]],5,FALSE)</f>
        <v>SELL0094</v>
      </c>
      <c r="F768" t="str">
        <f>VLOOKUP(E768,Table2[[#Headers],[#Data],[seller_id]:[seller_user]],2,FALSE)</f>
        <v>excelinall</v>
      </c>
      <c r="G768">
        <v>1</v>
      </c>
      <c r="H768">
        <f t="shared" si="11"/>
        <v>44.92</v>
      </c>
    </row>
    <row r="769" spans="1:8" x14ac:dyDescent="0.3">
      <c r="A769" t="str">
        <f>VLOOKUP(B769,Table3[[#Headers],[#Data]],3,FALSE)</f>
        <v>Outdoor</v>
      </c>
      <c r="B769" t="s">
        <v>961</v>
      </c>
      <c r="C769">
        <f>VLOOKUP(B769,Table3[[#Headers],[#Data]],4, FALSE)</f>
        <v>80.069999999999993</v>
      </c>
      <c r="D769" t="str">
        <f>VLOOKUP('Rough data'!B769,Table3[[#Headers],[#Data]],2,FALSE)</f>
        <v>BBQ Apron - Blue</v>
      </c>
      <c r="E769" t="str">
        <f>VLOOKUP(B769,Table3[[#Headers],[#Data]],5,FALSE)</f>
        <v>SELL0094</v>
      </c>
      <c r="F769" t="str">
        <f>VLOOKUP(E769,Table2[[#Headers],[#Data],[seller_id]:[seller_user]],2,FALSE)</f>
        <v>excelinall</v>
      </c>
      <c r="G769">
        <v>1</v>
      </c>
      <c r="H769">
        <f t="shared" si="11"/>
        <v>80.069999999999993</v>
      </c>
    </row>
    <row r="770" spans="1:8" x14ac:dyDescent="0.3">
      <c r="A770" t="str">
        <f>VLOOKUP(B770,Table3[[#Headers],[#Data]],3,FALSE)</f>
        <v>Outdoor</v>
      </c>
      <c r="B770" t="s">
        <v>961</v>
      </c>
      <c r="C770">
        <f>VLOOKUP(B770,Table3[[#Headers],[#Data]],4, FALSE)</f>
        <v>80.069999999999993</v>
      </c>
      <c r="D770" t="str">
        <f>VLOOKUP('Rough data'!B770,Table3[[#Headers],[#Data]],2,FALSE)</f>
        <v>BBQ Apron - Blue</v>
      </c>
      <c r="E770" t="str">
        <f>VLOOKUP(B770,Table3[[#Headers],[#Data]],5,FALSE)</f>
        <v>SELL0094</v>
      </c>
      <c r="F770" t="str">
        <f>VLOOKUP(E770,Table2[[#Headers],[#Data],[seller_id]:[seller_user]],2,FALSE)</f>
        <v>excelinall</v>
      </c>
      <c r="G770">
        <v>2</v>
      </c>
      <c r="H770">
        <f t="shared" ref="H770:H833" si="12">G770*C770</f>
        <v>160.13999999999999</v>
      </c>
    </row>
    <row r="771" spans="1:8" x14ac:dyDescent="0.3">
      <c r="A771" t="str">
        <f>VLOOKUP(B771,Table3[[#Headers],[#Data]],3,FALSE)</f>
        <v>Outdoor</v>
      </c>
      <c r="B771" t="s">
        <v>961</v>
      </c>
      <c r="C771">
        <f>VLOOKUP(B771,Table3[[#Headers],[#Data]],4, FALSE)</f>
        <v>80.069999999999993</v>
      </c>
      <c r="D771" t="str">
        <f>VLOOKUP('Rough data'!B771,Table3[[#Headers],[#Data]],2,FALSE)</f>
        <v>BBQ Apron - Blue</v>
      </c>
      <c r="E771" t="str">
        <f>VLOOKUP(B771,Table3[[#Headers],[#Data]],5,FALSE)</f>
        <v>SELL0094</v>
      </c>
      <c r="F771" t="str">
        <f>VLOOKUP(E771,Table2[[#Headers],[#Data],[seller_id]:[seller_user]],2,FALSE)</f>
        <v>excelinall</v>
      </c>
      <c r="G771">
        <v>1</v>
      </c>
      <c r="H771">
        <f t="shared" si="12"/>
        <v>80.069999999999993</v>
      </c>
    </row>
    <row r="772" spans="1:8" x14ac:dyDescent="0.3">
      <c r="A772" t="str">
        <f>VLOOKUP(B772,Table3[[#Headers],[#Data]],3,FALSE)</f>
        <v>Outdoor</v>
      </c>
      <c r="B772" t="s">
        <v>961</v>
      </c>
      <c r="C772">
        <f>VLOOKUP(B772,Table3[[#Headers],[#Data]],4, FALSE)</f>
        <v>80.069999999999993</v>
      </c>
      <c r="D772" t="str">
        <f>VLOOKUP('Rough data'!B772,Table3[[#Headers],[#Data]],2,FALSE)</f>
        <v>BBQ Apron - Blue</v>
      </c>
      <c r="E772" t="str">
        <f>VLOOKUP(B772,Table3[[#Headers],[#Data]],5,FALSE)</f>
        <v>SELL0094</v>
      </c>
      <c r="F772" t="str">
        <f>VLOOKUP(E772,Table2[[#Headers],[#Data],[seller_id]:[seller_user]],2,FALSE)</f>
        <v>excelinall</v>
      </c>
      <c r="G772">
        <v>1</v>
      </c>
      <c r="H772">
        <f t="shared" si="12"/>
        <v>80.069999999999993</v>
      </c>
    </row>
    <row r="773" spans="1:8" x14ac:dyDescent="0.3">
      <c r="A773" t="str">
        <f>VLOOKUP(B773,Table3[[#Headers],[#Data]],3,FALSE)</f>
        <v>Outdoor</v>
      </c>
      <c r="B773" t="s">
        <v>961</v>
      </c>
      <c r="C773">
        <f>VLOOKUP(B773,Table3[[#Headers],[#Data]],4, FALSE)</f>
        <v>80.069999999999993</v>
      </c>
      <c r="D773" t="str">
        <f>VLOOKUP('Rough data'!B773,Table3[[#Headers],[#Data]],2,FALSE)</f>
        <v>BBQ Apron - Blue</v>
      </c>
      <c r="E773" t="str">
        <f>VLOOKUP(B773,Table3[[#Headers],[#Data]],5,FALSE)</f>
        <v>SELL0094</v>
      </c>
      <c r="F773" t="str">
        <f>VLOOKUP(E773,Table2[[#Headers],[#Data],[seller_id]:[seller_user]],2,FALSE)</f>
        <v>excelinall</v>
      </c>
      <c r="G773">
        <v>2</v>
      </c>
      <c r="H773">
        <f t="shared" si="12"/>
        <v>160.13999999999999</v>
      </c>
    </row>
    <row r="774" spans="1:8" x14ac:dyDescent="0.3">
      <c r="A774" t="str">
        <f>VLOOKUP(B774,Table3[[#Headers],[#Data]],3,FALSE)</f>
        <v>Outdoor</v>
      </c>
      <c r="B774" t="s">
        <v>963</v>
      </c>
      <c r="C774">
        <f>VLOOKUP(B774,Table3[[#Headers],[#Data]],4, FALSE)</f>
        <v>20.55</v>
      </c>
      <c r="D774" t="str">
        <f>VLOOKUP('Rough data'!B774,Table3[[#Headers],[#Data]],2,FALSE)</f>
        <v>Stainless Steel Grill Basket</v>
      </c>
      <c r="E774" t="str">
        <f>VLOOKUP(B774,Table3[[#Headers],[#Data]],5,FALSE)</f>
        <v>SELL0094</v>
      </c>
      <c r="F774" t="str">
        <f>VLOOKUP(E774,Table2[[#Headers],[#Data],[seller_id]:[seller_user]],2,FALSE)</f>
        <v>excelinall</v>
      </c>
      <c r="G774">
        <v>1</v>
      </c>
      <c r="H774">
        <f t="shared" si="12"/>
        <v>20.55</v>
      </c>
    </row>
    <row r="775" spans="1:8" x14ac:dyDescent="0.3">
      <c r="A775" t="str">
        <f>VLOOKUP(B775,Table3[[#Headers],[#Data]],3,FALSE)</f>
        <v>Outdoor</v>
      </c>
      <c r="B775" t="s">
        <v>963</v>
      </c>
      <c r="C775">
        <f>VLOOKUP(B775,Table3[[#Headers],[#Data]],4, FALSE)</f>
        <v>20.55</v>
      </c>
      <c r="D775" t="str">
        <f>VLOOKUP('Rough data'!B775,Table3[[#Headers],[#Data]],2,FALSE)</f>
        <v>Stainless Steel Grill Basket</v>
      </c>
      <c r="E775" t="str">
        <f>VLOOKUP(B775,Table3[[#Headers],[#Data]],5,FALSE)</f>
        <v>SELL0094</v>
      </c>
      <c r="F775" t="str">
        <f>VLOOKUP(E775,Table2[[#Headers],[#Data],[seller_id]:[seller_user]],2,FALSE)</f>
        <v>excelinall</v>
      </c>
      <c r="G775">
        <v>1</v>
      </c>
      <c r="H775">
        <f t="shared" si="12"/>
        <v>20.55</v>
      </c>
    </row>
    <row r="776" spans="1:8" x14ac:dyDescent="0.3">
      <c r="A776" t="str">
        <f>VLOOKUP(B776,Table3[[#Headers],[#Data]],3,FALSE)</f>
        <v>Outdoor</v>
      </c>
      <c r="B776" t="s">
        <v>963</v>
      </c>
      <c r="C776">
        <f>VLOOKUP(B776,Table3[[#Headers],[#Data]],4, FALSE)</f>
        <v>20.55</v>
      </c>
      <c r="D776" t="str">
        <f>VLOOKUP('Rough data'!B776,Table3[[#Headers],[#Data]],2,FALSE)</f>
        <v>Stainless Steel Grill Basket</v>
      </c>
      <c r="E776" t="str">
        <f>VLOOKUP(B776,Table3[[#Headers],[#Data]],5,FALSE)</f>
        <v>SELL0094</v>
      </c>
      <c r="F776" t="str">
        <f>VLOOKUP(E776,Table2[[#Headers],[#Data],[seller_id]:[seller_user]],2,FALSE)</f>
        <v>excelinall</v>
      </c>
      <c r="G776">
        <v>2</v>
      </c>
      <c r="H776">
        <f t="shared" si="12"/>
        <v>41.1</v>
      </c>
    </row>
    <row r="777" spans="1:8" x14ac:dyDescent="0.3">
      <c r="A777" t="str">
        <f>VLOOKUP(B777,Table3[[#Headers],[#Data]],3,FALSE)</f>
        <v>Outdoor</v>
      </c>
      <c r="B777" t="s">
        <v>963</v>
      </c>
      <c r="C777">
        <f>VLOOKUP(B777,Table3[[#Headers],[#Data]],4, FALSE)</f>
        <v>20.55</v>
      </c>
      <c r="D777" t="str">
        <f>VLOOKUP('Rough data'!B777,Table3[[#Headers],[#Data]],2,FALSE)</f>
        <v>Stainless Steel Grill Basket</v>
      </c>
      <c r="E777" t="str">
        <f>VLOOKUP(B777,Table3[[#Headers],[#Data]],5,FALSE)</f>
        <v>SELL0094</v>
      </c>
      <c r="F777" t="str">
        <f>VLOOKUP(E777,Table2[[#Headers],[#Data],[seller_id]:[seller_user]],2,FALSE)</f>
        <v>excelinall</v>
      </c>
      <c r="G777">
        <v>2</v>
      </c>
      <c r="H777">
        <f t="shared" si="12"/>
        <v>41.1</v>
      </c>
    </row>
    <row r="778" spans="1:8" x14ac:dyDescent="0.3">
      <c r="A778" t="str">
        <f>VLOOKUP(B778,Table3[[#Headers],[#Data]],3,FALSE)</f>
        <v>Outdoor</v>
      </c>
      <c r="B778" t="s">
        <v>963</v>
      </c>
      <c r="C778">
        <f>VLOOKUP(B778,Table3[[#Headers],[#Data]],4, FALSE)</f>
        <v>20.55</v>
      </c>
      <c r="D778" t="str">
        <f>VLOOKUP('Rough data'!B778,Table3[[#Headers],[#Data]],2,FALSE)</f>
        <v>Stainless Steel Grill Basket</v>
      </c>
      <c r="E778" t="str">
        <f>VLOOKUP(B778,Table3[[#Headers],[#Data]],5,FALSE)</f>
        <v>SELL0094</v>
      </c>
      <c r="F778" t="str">
        <f>VLOOKUP(E778,Table2[[#Headers],[#Data],[seller_id]:[seller_user]],2,FALSE)</f>
        <v>excelinall</v>
      </c>
      <c r="G778">
        <v>1</v>
      </c>
      <c r="H778">
        <f t="shared" si="12"/>
        <v>20.55</v>
      </c>
    </row>
    <row r="779" spans="1:8" x14ac:dyDescent="0.3">
      <c r="A779" t="str">
        <f>VLOOKUP(B779,Table3[[#Headers],[#Data]],3,FALSE)</f>
        <v>Outdoor</v>
      </c>
      <c r="B779" t="s">
        <v>963</v>
      </c>
      <c r="C779">
        <f>VLOOKUP(B779,Table3[[#Headers],[#Data]],4, FALSE)</f>
        <v>20.55</v>
      </c>
      <c r="D779" t="str">
        <f>VLOOKUP('Rough data'!B779,Table3[[#Headers],[#Data]],2,FALSE)</f>
        <v>Stainless Steel Grill Basket</v>
      </c>
      <c r="E779" t="str">
        <f>VLOOKUP(B779,Table3[[#Headers],[#Data]],5,FALSE)</f>
        <v>SELL0094</v>
      </c>
      <c r="F779" t="str">
        <f>VLOOKUP(E779,Table2[[#Headers],[#Data],[seller_id]:[seller_user]],2,FALSE)</f>
        <v>excelinall</v>
      </c>
      <c r="G779">
        <v>2</v>
      </c>
      <c r="H779">
        <f t="shared" si="12"/>
        <v>41.1</v>
      </c>
    </row>
    <row r="780" spans="1:8" x14ac:dyDescent="0.3">
      <c r="A780" t="str">
        <f>VLOOKUP(B780,Table3[[#Headers],[#Data]],3,FALSE)</f>
        <v>Stationery</v>
      </c>
      <c r="B780" t="s">
        <v>968</v>
      </c>
      <c r="C780">
        <f>VLOOKUP(B780,Table3[[#Headers],[#Data]],4, FALSE)</f>
        <v>3.23</v>
      </c>
      <c r="D780" t="str">
        <f>VLOOKUP('Rough data'!B780,Table3[[#Headers],[#Data]],2,FALSE)</f>
        <v>Weekly Planner Pad</v>
      </c>
      <c r="E780" t="str">
        <f>VLOOKUP(B780,Table3[[#Headers],[#Data]],5,FALSE)</f>
        <v>SELL0010</v>
      </c>
      <c r="F780" t="str">
        <f>VLOOKUP(E780,Table2[[#Headers],[#Data],[seller_id]:[seller_user]],2,FALSE)</f>
        <v>hobbylobby</v>
      </c>
      <c r="G780">
        <v>1</v>
      </c>
      <c r="H780">
        <f t="shared" si="12"/>
        <v>3.23</v>
      </c>
    </row>
    <row r="781" spans="1:8" x14ac:dyDescent="0.3">
      <c r="A781" t="str">
        <f>VLOOKUP(B781,Table3[[#Headers],[#Data]],3,FALSE)</f>
        <v>Stationery</v>
      </c>
      <c r="B781" t="s">
        <v>970</v>
      </c>
      <c r="C781">
        <f>VLOOKUP(B781,Table3[[#Headers],[#Data]],4, FALSE)</f>
        <v>5.1100000000000003</v>
      </c>
      <c r="D781" t="str">
        <f>VLOOKUP('Rough data'!B781,Table3[[#Headers],[#Data]],2,FALSE)</f>
        <v>Sticky Notes Cube 200pc</v>
      </c>
      <c r="E781" t="str">
        <f>VLOOKUP(B781,Table3[[#Headers],[#Data]],5,FALSE)</f>
        <v>SELL0094</v>
      </c>
      <c r="F781" t="str">
        <f>VLOOKUP(E781,Table2[[#Headers],[#Data],[seller_id]:[seller_user]],2,FALSE)</f>
        <v>excelinall</v>
      </c>
      <c r="G781">
        <v>1</v>
      </c>
      <c r="H781">
        <f t="shared" si="12"/>
        <v>5.1100000000000003</v>
      </c>
    </row>
    <row r="782" spans="1:8" x14ac:dyDescent="0.3">
      <c r="A782" t="str">
        <f>VLOOKUP(B782,Table3[[#Headers],[#Data]],3,FALSE)</f>
        <v>Stationery</v>
      </c>
      <c r="B782" t="s">
        <v>970</v>
      </c>
      <c r="C782">
        <f>VLOOKUP(B782,Table3[[#Headers],[#Data]],4, FALSE)</f>
        <v>5.1100000000000003</v>
      </c>
      <c r="D782" t="str">
        <f>VLOOKUP('Rough data'!B782,Table3[[#Headers],[#Data]],2,FALSE)</f>
        <v>Sticky Notes Cube 200pc</v>
      </c>
      <c r="E782" t="str">
        <f>VLOOKUP(B782,Table3[[#Headers],[#Data]],5,FALSE)</f>
        <v>SELL0094</v>
      </c>
      <c r="F782" t="str">
        <f>VLOOKUP(E782,Table2[[#Headers],[#Data],[seller_id]:[seller_user]],2,FALSE)</f>
        <v>excelinall</v>
      </c>
      <c r="G782">
        <v>1</v>
      </c>
      <c r="H782">
        <f t="shared" si="12"/>
        <v>5.1100000000000003</v>
      </c>
    </row>
    <row r="783" spans="1:8" x14ac:dyDescent="0.3">
      <c r="A783" t="str">
        <f>VLOOKUP(B783,Table3[[#Headers],[#Data]],3,FALSE)</f>
        <v>Stationery</v>
      </c>
      <c r="B783" t="s">
        <v>970</v>
      </c>
      <c r="C783">
        <f>VLOOKUP(B783,Table3[[#Headers],[#Data]],4, FALSE)</f>
        <v>5.1100000000000003</v>
      </c>
      <c r="D783" t="str">
        <f>VLOOKUP('Rough data'!B783,Table3[[#Headers],[#Data]],2,FALSE)</f>
        <v>Sticky Notes Cube 200pc</v>
      </c>
      <c r="E783" t="str">
        <f>VLOOKUP(B783,Table3[[#Headers],[#Data]],5,FALSE)</f>
        <v>SELL0094</v>
      </c>
      <c r="F783" t="str">
        <f>VLOOKUP(E783,Table2[[#Headers],[#Data],[seller_id]:[seller_user]],2,FALSE)</f>
        <v>excelinall</v>
      </c>
      <c r="G783">
        <v>1</v>
      </c>
      <c r="H783">
        <f t="shared" si="12"/>
        <v>5.1100000000000003</v>
      </c>
    </row>
    <row r="784" spans="1:8" x14ac:dyDescent="0.3">
      <c r="A784" t="str">
        <f>VLOOKUP(B784,Table3[[#Headers],[#Data]],3,FALSE)</f>
        <v>Stationery</v>
      </c>
      <c r="B784" t="s">
        <v>978</v>
      </c>
      <c r="C784">
        <f>VLOOKUP(B784,Table3[[#Headers],[#Data]],4, FALSE)</f>
        <v>7.32</v>
      </c>
      <c r="D784" t="str">
        <f>VLOOKUP('Rough data'!B784,Table3[[#Headers],[#Data]],2,FALSE)</f>
        <v>Gel Pen Set - 10 pack (Black)</v>
      </c>
      <c r="E784" t="str">
        <f>VLOOKUP(B784,Table3[[#Headers],[#Data]],5,FALSE)</f>
        <v>SELL0010</v>
      </c>
      <c r="F784" t="str">
        <f>VLOOKUP(E784,Table2[[#Headers],[#Data],[seller_id]:[seller_user]],2,FALSE)</f>
        <v>hobbylobby</v>
      </c>
      <c r="G784">
        <v>1</v>
      </c>
      <c r="H784">
        <f t="shared" si="12"/>
        <v>7.32</v>
      </c>
    </row>
    <row r="785" spans="1:8" x14ac:dyDescent="0.3">
      <c r="A785" t="str">
        <f>VLOOKUP(B785,Table3[[#Headers],[#Data]],3,FALSE)</f>
        <v>Stationery</v>
      </c>
      <c r="B785" t="s">
        <v>980</v>
      </c>
      <c r="C785">
        <f>VLOOKUP(B785,Table3[[#Headers],[#Data]],4, FALSE)</f>
        <v>14.36</v>
      </c>
      <c r="D785" t="str">
        <f>VLOOKUP('Rough data'!B785,Table3[[#Headers],[#Data]],2,FALSE)</f>
        <v>Premium Pencil Case (Black)</v>
      </c>
      <c r="E785" t="str">
        <f>VLOOKUP(B785,Table3[[#Headers],[#Data]],5,FALSE)</f>
        <v>SELL0095</v>
      </c>
      <c r="F785" t="str">
        <f>VLOOKUP(E785,Table2[[#Headers],[#Data],[seller_id]:[seller_user]],2,FALSE)</f>
        <v>toybuy</v>
      </c>
      <c r="G785">
        <v>1</v>
      </c>
      <c r="H785">
        <f t="shared" si="12"/>
        <v>14.36</v>
      </c>
    </row>
    <row r="786" spans="1:8" x14ac:dyDescent="0.3">
      <c r="A786" t="str">
        <f>VLOOKUP(B786,Table3[[#Headers],[#Data]],3,FALSE)</f>
        <v>Stationery</v>
      </c>
      <c r="B786" t="s">
        <v>980</v>
      </c>
      <c r="C786">
        <f>VLOOKUP(B786,Table3[[#Headers],[#Data]],4, FALSE)</f>
        <v>14.36</v>
      </c>
      <c r="D786" t="str">
        <f>VLOOKUP('Rough data'!B786,Table3[[#Headers],[#Data]],2,FALSE)</f>
        <v>Premium Pencil Case (Black)</v>
      </c>
      <c r="E786" t="str">
        <f>VLOOKUP(B786,Table3[[#Headers],[#Data]],5,FALSE)</f>
        <v>SELL0095</v>
      </c>
      <c r="F786" t="str">
        <f>VLOOKUP(E786,Table2[[#Headers],[#Data],[seller_id]:[seller_user]],2,FALSE)</f>
        <v>toybuy</v>
      </c>
      <c r="G786">
        <v>1</v>
      </c>
      <c r="H786">
        <f t="shared" si="12"/>
        <v>14.36</v>
      </c>
    </row>
    <row r="787" spans="1:8" x14ac:dyDescent="0.3">
      <c r="A787" t="str">
        <f>VLOOKUP(B787,Table3[[#Headers],[#Data]],3,FALSE)</f>
        <v>Toys</v>
      </c>
      <c r="B787" t="s">
        <v>985</v>
      </c>
      <c r="C787">
        <f>VLOOKUP(B787,Table3[[#Headers],[#Data]],4, FALSE)</f>
        <v>38.72</v>
      </c>
      <c r="D787" t="str">
        <f>VLOOKUP('Rough data'!B787,Table3[[#Headers],[#Data]],2,FALSE)</f>
        <v>Remote Control Car Vroom Noise</v>
      </c>
      <c r="E787" t="str">
        <f>VLOOKUP(B787,Table3[[#Headers],[#Data]],5,FALSE)</f>
        <v>SELL0095</v>
      </c>
      <c r="F787" t="str">
        <f>VLOOKUP(E787,Table2[[#Headers],[#Data],[seller_id]:[seller_user]],2,FALSE)</f>
        <v>toybuy</v>
      </c>
      <c r="G787">
        <v>1</v>
      </c>
      <c r="H787">
        <f t="shared" si="12"/>
        <v>38.72</v>
      </c>
    </row>
    <row r="788" spans="1:8" x14ac:dyDescent="0.3">
      <c r="A788" t="str">
        <f>VLOOKUP(B788,Table3[[#Headers],[#Data]],3,FALSE)</f>
        <v>Toys</v>
      </c>
      <c r="B788" t="s">
        <v>987</v>
      </c>
      <c r="C788">
        <f>VLOOKUP(B788,Table3[[#Headers],[#Data]],4, FALSE)</f>
        <v>17.5</v>
      </c>
      <c r="D788" t="str">
        <f>VLOOKUP('Rough data'!B788,Table3[[#Headers],[#Data]],2,FALSE)</f>
        <v>Plush Zebra Toy</v>
      </c>
      <c r="E788" t="str">
        <f>VLOOKUP(B788,Table3[[#Headers],[#Data]],5,FALSE)</f>
        <v>SELL0095</v>
      </c>
      <c r="F788" t="str">
        <f>VLOOKUP(E788,Table2[[#Headers],[#Data],[seller_id]:[seller_user]],2,FALSE)</f>
        <v>toybuy</v>
      </c>
      <c r="G788">
        <v>1</v>
      </c>
      <c r="H788">
        <f t="shared" si="12"/>
        <v>17.5</v>
      </c>
    </row>
    <row r="789" spans="1:8" x14ac:dyDescent="0.3">
      <c r="A789" t="str">
        <f>VLOOKUP(B789,Table3[[#Headers],[#Data]],3,FALSE)</f>
        <v>Toys</v>
      </c>
      <c r="B789" t="s">
        <v>989</v>
      </c>
      <c r="C789">
        <f>VLOOKUP(B789,Table3[[#Headers],[#Data]],4, FALSE)</f>
        <v>24.92</v>
      </c>
      <c r="D789" t="str">
        <f>VLOOKUP('Rough data'!B789,Table3[[#Headers],[#Data]],2,FALSE)</f>
        <v>building blocks 800 pc</v>
      </c>
      <c r="E789" t="str">
        <f>VLOOKUP(B789,Table3[[#Headers],[#Data]],5,FALSE)</f>
        <v>SELL0095</v>
      </c>
      <c r="F789" t="str">
        <f>VLOOKUP(E789,Table2[[#Headers],[#Data],[seller_id]:[seller_user]],2,FALSE)</f>
        <v>toybuy</v>
      </c>
      <c r="G789">
        <v>1</v>
      </c>
      <c r="H789">
        <f t="shared" si="12"/>
        <v>24.92</v>
      </c>
    </row>
    <row r="790" spans="1:8" x14ac:dyDescent="0.3">
      <c r="A790" t="str">
        <f>VLOOKUP(B790,Table3[[#Headers],[#Data]],3,FALSE)</f>
        <v>Toys</v>
      </c>
      <c r="B790" t="s">
        <v>989</v>
      </c>
      <c r="C790">
        <f>VLOOKUP(B790,Table3[[#Headers],[#Data]],4, FALSE)</f>
        <v>24.92</v>
      </c>
      <c r="D790" t="str">
        <f>VLOOKUP('Rough data'!B790,Table3[[#Headers],[#Data]],2,FALSE)</f>
        <v>building blocks 800 pc</v>
      </c>
      <c r="E790" t="str">
        <f>VLOOKUP(B790,Table3[[#Headers],[#Data]],5,FALSE)</f>
        <v>SELL0095</v>
      </c>
      <c r="F790" t="str">
        <f>VLOOKUP(E790,Table2[[#Headers],[#Data],[seller_id]:[seller_user]],2,FALSE)</f>
        <v>toybuy</v>
      </c>
      <c r="G790">
        <v>1</v>
      </c>
      <c r="H790">
        <f t="shared" si="12"/>
        <v>24.92</v>
      </c>
    </row>
    <row r="791" spans="1:8" x14ac:dyDescent="0.3">
      <c r="A791" t="str">
        <f>VLOOKUP(B791,Table3[[#Headers],[#Data]],3,FALSE)</f>
        <v>Toys</v>
      </c>
      <c r="B791" t="s">
        <v>991</v>
      </c>
      <c r="C791">
        <f>VLOOKUP(B791,Table3[[#Headers],[#Data]],4, FALSE)</f>
        <v>21.04</v>
      </c>
      <c r="D791" t="str">
        <f>VLOOKUP('Rough data'!B791,Table3[[#Headers],[#Data]],2,FALSE)</f>
        <v>Talking doll happy smile matching outfit</v>
      </c>
      <c r="E791" t="str">
        <f>VLOOKUP(B791,Table3[[#Headers],[#Data]],5,FALSE)</f>
        <v>SELL0095</v>
      </c>
      <c r="F791" t="str">
        <f>VLOOKUP(E791,Table2[[#Headers],[#Data],[seller_id]:[seller_user]],2,FALSE)</f>
        <v>toybuy</v>
      </c>
      <c r="G791">
        <v>2</v>
      </c>
      <c r="H791">
        <f t="shared" si="12"/>
        <v>42.08</v>
      </c>
    </row>
    <row r="792" spans="1:8" x14ac:dyDescent="0.3">
      <c r="A792" t="str">
        <f>VLOOKUP(B792,Table3[[#Headers],[#Data]],3,FALSE)</f>
        <v>Toys</v>
      </c>
      <c r="B792" t="s">
        <v>991</v>
      </c>
      <c r="C792">
        <f>VLOOKUP(B792,Table3[[#Headers],[#Data]],4, FALSE)</f>
        <v>21.04</v>
      </c>
      <c r="D792" t="str">
        <f>VLOOKUP('Rough data'!B792,Table3[[#Headers],[#Data]],2,FALSE)</f>
        <v>Talking doll happy smile matching outfit</v>
      </c>
      <c r="E792" t="str">
        <f>VLOOKUP(B792,Table3[[#Headers],[#Data]],5,FALSE)</f>
        <v>SELL0095</v>
      </c>
      <c r="F792" t="str">
        <f>VLOOKUP(E792,Table2[[#Headers],[#Data],[seller_id]:[seller_user]],2,FALSE)</f>
        <v>toybuy</v>
      </c>
      <c r="G792">
        <v>1</v>
      </c>
      <c r="H792">
        <f t="shared" si="12"/>
        <v>21.04</v>
      </c>
    </row>
    <row r="793" spans="1:8" x14ac:dyDescent="0.3">
      <c r="A793" t="str">
        <f>VLOOKUP(B793,Table3[[#Headers],[#Data]],3,FALSE)</f>
        <v>Toys</v>
      </c>
      <c r="B793" t="s">
        <v>991</v>
      </c>
      <c r="C793">
        <f>VLOOKUP(B793,Table3[[#Headers],[#Data]],4, FALSE)</f>
        <v>21.04</v>
      </c>
      <c r="D793" t="str">
        <f>VLOOKUP('Rough data'!B793,Table3[[#Headers],[#Data]],2,FALSE)</f>
        <v>Talking doll happy smile matching outfit</v>
      </c>
      <c r="E793" t="str">
        <f>VLOOKUP(B793,Table3[[#Headers],[#Data]],5,FALSE)</f>
        <v>SELL0095</v>
      </c>
      <c r="F793" t="str">
        <f>VLOOKUP(E793,Table2[[#Headers],[#Data],[seller_id]:[seller_user]],2,FALSE)</f>
        <v>toybuy</v>
      </c>
      <c r="G793">
        <v>1</v>
      </c>
      <c r="H793">
        <f t="shared" si="12"/>
        <v>21.04</v>
      </c>
    </row>
    <row r="794" spans="1:8" x14ac:dyDescent="0.3">
      <c r="A794" t="str">
        <f>VLOOKUP(B794,Table3[[#Headers],[#Data]],3,FALSE)</f>
        <v>Toys</v>
      </c>
      <c r="B794" t="s">
        <v>993</v>
      </c>
      <c r="C794">
        <f>VLOOKUP(B794,Table3[[#Headers],[#Data]],4, FALSE)</f>
        <v>26.48</v>
      </c>
      <c r="D794" t="str">
        <f>VLOOKUP('Rough data'!B794,Table3[[#Headers],[#Data]],2,FALSE)</f>
        <v>Wooden Train Set</v>
      </c>
      <c r="E794" t="str">
        <f>VLOOKUP(B794,Table3[[#Headers],[#Data]],5,FALSE)</f>
        <v>SELL0095</v>
      </c>
      <c r="F794" t="str">
        <f>VLOOKUP(E794,Table2[[#Headers],[#Data],[seller_id]:[seller_user]],2,FALSE)</f>
        <v>toybuy</v>
      </c>
      <c r="G794">
        <v>1</v>
      </c>
      <c r="H794">
        <f t="shared" si="12"/>
        <v>26.48</v>
      </c>
    </row>
    <row r="795" spans="1:8" x14ac:dyDescent="0.3">
      <c r="A795" t="str">
        <f>VLOOKUP(B795,Table3[[#Headers],[#Data]],3,FALSE)</f>
        <v>Toys</v>
      </c>
      <c r="B795" t="s">
        <v>994</v>
      </c>
      <c r="C795">
        <f>VLOOKUP(B795,Table3[[#Headers],[#Data]],4, FALSE)</f>
        <v>13.7</v>
      </c>
      <c r="D795" t="str">
        <f>VLOOKUP('Rough data'!B795,Table3[[#Headers],[#Data]],2,FALSE)</f>
        <v>Kids Paint Kit (Green)</v>
      </c>
      <c r="E795" t="str">
        <f>VLOOKUP(B795,Table3[[#Headers],[#Data]],5,FALSE)</f>
        <v>SELL0095</v>
      </c>
      <c r="F795" t="str">
        <f>VLOOKUP(E795,Table2[[#Headers],[#Data],[seller_id]:[seller_user]],2,FALSE)</f>
        <v>toybuy</v>
      </c>
      <c r="G795">
        <v>1</v>
      </c>
      <c r="H795">
        <f t="shared" si="12"/>
        <v>13.7</v>
      </c>
    </row>
    <row r="796" spans="1:8" x14ac:dyDescent="0.3">
      <c r="A796" t="str">
        <f>VLOOKUP(B796,Table3[[#Headers],[#Data]],3,FALSE)</f>
        <v>Outdoor</v>
      </c>
      <c r="B796" t="s">
        <v>996</v>
      </c>
      <c r="C796">
        <f>VLOOKUP(B796,Table3[[#Headers],[#Data]],4, FALSE)</f>
        <v>21</v>
      </c>
      <c r="D796" t="str">
        <f>VLOOKUP('Rough data'!B796,Table3[[#Headers],[#Data]],2,FALSE)</f>
        <v>Wooden Train Set</v>
      </c>
      <c r="E796" t="str">
        <f>VLOOKUP(B796,Table3[[#Headers],[#Data]],5,FALSE)</f>
        <v>SELL0047</v>
      </c>
      <c r="F796" t="str">
        <f>VLOOKUP(E796,Table2[[#Headers],[#Data],[seller_id]:[seller_user]],2,FALSE)</f>
        <v>toymajoy</v>
      </c>
      <c r="G796">
        <v>1</v>
      </c>
      <c r="H796">
        <f t="shared" si="12"/>
        <v>21</v>
      </c>
    </row>
    <row r="797" spans="1:8" x14ac:dyDescent="0.3"/>
    <row r="798" spans="1:8" x14ac:dyDescent="0.3"/>
    <row r="799" spans="1:8" x14ac:dyDescent="0.3"/>
    <row r="800" spans="1:8" x14ac:dyDescent="0.3"/>
    <row r="801" x14ac:dyDescent="0.3"/>
    <row r="802" x14ac:dyDescent="0.3"/>
    <row r="803" x14ac:dyDescent="0.3"/>
    <row r="804" x14ac:dyDescent="0.3"/>
    <row r="805" x14ac:dyDescent="0.3"/>
    <row r="806" x14ac:dyDescent="0.3"/>
    <row r="807" x14ac:dyDescent="0.3"/>
    <row r="808" x14ac:dyDescent="0.3"/>
  </sheetData>
  <sortState xmlns:xlrd2="http://schemas.microsoft.com/office/spreadsheetml/2017/richdata2" ref="B2:B796">
    <sortCondition ref="B2:B796"/>
  </sortState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730BD-4571-411C-AF8E-81B4A3F1B6E6}">
  <dimension ref="A1:K319"/>
  <sheetViews>
    <sheetView workbookViewId="0">
      <selection activeCell="C2" sqref="C2"/>
    </sheetView>
  </sheetViews>
  <sheetFormatPr defaultRowHeight="14.4" x14ac:dyDescent="0.3"/>
  <cols>
    <col min="1" max="1" width="18.33203125" bestFit="1" customWidth="1"/>
    <col min="2" max="2" width="22.33203125" bestFit="1" customWidth="1"/>
    <col min="4" max="4" width="44.33203125" customWidth="1"/>
    <col min="5" max="5" width="24" customWidth="1"/>
    <col min="7" max="8" width="21.88671875" customWidth="1"/>
    <col min="9" max="9" width="23" customWidth="1"/>
    <col min="10" max="10" width="21.109375" customWidth="1"/>
    <col min="11" max="12" width="23.109375" bestFit="1" customWidth="1"/>
    <col min="13" max="13" width="22.33203125" bestFit="1" customWidth="1"/>
    <col min="15" max="15" width="21.109375" bestFit="1" customWidth="1"/>
    <col min="16" max="16" width="23" bestFit="1" customWidth="1"/>
  </cols>
  <sheetData>
    <row r="1" spans="1:11" x14ac:dyDescent="0.3">
      <c r="D1" s="9" t="s">
        <v>1</v>
      </c>
      <c r="E1" t="s">
        <v>1002</v>
      </c>
      <c r="G1" s="9" t="s">
        <v>999</v>
      </c>
      <c r="H1" t="s">
        <v>1002</v>
      </c>
      <c r="J1" s="9" t="s">
        <v>999</v>
      </c>
      <c r="K1" t="s">
        <v>1003</v>
      </c>
    </row>
    <row r="2" spans="1:11" x14ac:dyDescent="0.3">
      <c r="D2" t="s">
        <v>761</v>
      </c>
      <c r="E2">
        <v>116.75</v>
      </c>
      <c r="G2" t="s">
        <v>1004</v>
      </c>
      <c r="H2">
        <v>339.42</v>
      </c>
      <c r="J2" t="s">
        <v>1004</v>
      </c>
      <c r="K2">
        <v>5</v>
      </c>
    </row>
    <row r="3" spans="1:11" x14ac:dyDescent="0.3">
      <c r="A3" s="9" t="s">
        <v>2</v>
      </c>
      <c r="B3" t="s">
        <v>1002</v>
      </c>
      <c r="D3" t="s">
        <v>765</v>
      </c>
      <c r="E3">
        <v>182.57999999999998</v>
      </c>
      <c r="G3" t="s">
        <v>1005</v>
      </c>
      <c r="H3">
        <v>16.11</v>
      </c>
      <c r="J3" t="s">
        <v>1005</v>
      </c>
      <c r="K3">
        <v>1</v>
      </c>
    </row>
    <row r="4" spans="1:11" x14ac:dyDescent="0.3">
      <c r="A4" t="s">
        <v>7</v>
      </c>
      <c r="B4">
        <v>1239.0799999999995</v>
      </c>
      <c r="D4" t="s">
        <v>833</v>
      </c>
      <c r="E4">
        <v>257.82</v>
      </c>
      <c r="G4" t="s">
        <v>1006</v>
      </c>
      <c r="H4">
        <v>146.81</v>
      </c>
      <c r="J4" t="s">
        <v>1006</v>
      </c>
      <c r="K4">
        <v>4</v>
      </c>
    </row>
    <row r="5" spans="1:11" x14ac:dyDescent="0.3">
      <c r="A5" t="s">
        <v>13</v>
      </c>
      <c r="B5">
        <v>3487.2400000000011</v>
      </c>
      <c r="D5" t="s">
        <v>767</v>
      </c>
      <c r="E5">
        <v>77.97</v>
      </c>
      <c r="G5" t="s">
        <v>1007</v>
      </c>
      <c r="H5">
        <v>2038.12</v>
      </c>
      <c r="J5" t="s">
        <v>1007</v>
      </c>
      <c r="K5">
        <v>49</v>
      </c>
    </row>
    <row r="6" spans="1:11" x14ac:dyDescent="0.3">
      <c r="A6" t="s">
        <v>17</v>
      </c>
      <c r="B6">
        <v>4385.2300000000014</v>
      </c>
      <c r="D6" t="s">
        <v>769</v>
      </c>
      <c r="E6">
        <v>60.93</v>
      </c>
      <c r="G6" t="s">
        <v>1008</v>
      </c>
      <c r="H6">
        <v>514.92000000000007</v>
      </c>
      <c r="J6" t="s">
        <v>1008</v>
      </c>
      <c r="K6">
        <v>26</v>
      </c>
    </row>
    <row r="7" spans="1:11" x14ac:dyDescent="0.3">
      <c r="A7" t="s">
        <v>177</v>
      </c>
      <c r="B7">
        <v>1807.1</v>
      </c>
      <c r="D7" t="s">
        <v>763</v>
      </c>
      <c r="E7">
        <v>75.400000000000006</v>
      </c>
      <c r="G7" t="s">
        <v>1009</v>
      </c>
      <c r="H7">
        <v>713.98</v>
      </c>
      <c r="J7" t="s">
        <v>1009</v>
      </c>
      <c r="K7">
        <v>14</v>
      </c>
    </row>
    <row r="8" spans="1:11" x14ac:dyDescent="0.3">
      <c r="A8" t="s">
        <v>35</v>
      </c>
      <c r="B8">
        <v>2178.8599999999997</v>
      </c>
      <c r="D8" t="s">
        <v>631</v>
      </c>
      <c r="E8">
        <v>53</v>
      </c>
      <c r="G8" t="s">
        <v>1010</v>
      </c>
      <c r="H8">
        <v>133.01999999999998</v>
      </c>
      <c r="J8" t="s">
        <v>1010</v>
      </c>
      <c r="K8">
        <v>3</v>
      </c>
    </row>
    <row r="9" spans="1:11" x14ac:dyDescent="0.3">
      <c r="A9" t="s">
        <v>21</v>
      </c>
      <c r="B9">
        <v>6457.9300000000048</v>
      </c>
      <c r="D9" t="s">
        <v>609</v>
      </c>
      <c r="E9">
        <v>13.82</v>
      </c>
      <c r="G9" t="s">
        <v>1011</v>
      </c>
      <c r="H9">
        <v>82.710000000000008</v>
      </c>
      <c r="J9" t="s">
        <v>1011</v>
      </c>
      <c r="K9">
        <v>2</v>
      </c>
    </row>
    <row r="10" spans="1:11" x14ac:dyDescent="0.3">
      <c r="A10" t="s">
        <v>81</v>
      </c>
      <c r="B10">
        <v>1829.6800000000003</v>
      </c>
      <c r="D10" t="s">
        <v>629</v>
      </c>
      <c r="E10">
        <v>38.74</v>
      </c>
      <c r="G10" t="s">
        <v>1012</v>
      </c>
      <c r="H10">
        <v>1634.8099999999997</v>
      </c>
      <c r="J10" t="s">
        <v>1012</v>
      </c>
      <c r="K10">
        <v>27</v>
      </c>
    </row>
    <row r="11" spans="1:11" x14ac:dyDescent="0.3">
      <c r="A11" t="s">
        <v>49</v>
      </c>
      <c r="B11">
        <v>16526.249999999978</v>
      </c>
      <c r="D11" t="s">
        <v>782</v>
      </c>
      <c r="E11">
        <v>53.489999999999995</v>
      </c>
      <c r="G11" t="s">
        <v>1013</v>
      </c>
      <c r="H11">
        <v>275.93</v>
      </c>
      <c r="J11" t="s">
        <v>1013</v>
      </c>
      <c r="K11">
        <v>10</v>
      </c>
    </row>
    <row r="12" spans="1:11" x14ac:dyDescent="0.3">
      <c r="A12" t="s">
        <v>25</v>
      </c>
      <c r="B12">
        <v>351.23000000000008</v>
      </c>
      <c r="D12" t="s">
        <v>283</v>
      </c>
      <c r="E12">
        <v>13.95</v>
      </c>
      <c r="G12" t="s">
        <v>1014</v>
      </c>
      <c r="H12">
        <v>653.90999999999985</v>
      </c>
      <c r="J12" t="s">
        <v>1014</v>
      </c>
      <c r="K12">
        <v>14</v>
      </c>
    </row>
    <row r="13" spans="1:11" x14ac:dyDescent="0.3">
      <c r="A13" t="s">
        <v>29</v>
      </c>
      <c r="B13">
        <v>1434.6100000000008</v>
      </c>
      <c r="D13" t="s">
        <v>870</v>
      </c>
      <c r="E13">
        <v>75.52</v>
      </c>
      <c r="G13" t="s">
        <v>1015</v>
      </c>
      <c r="H13">
        <v>111.68</v>
      </c>
      <c r="J13" t="s">
        <v>1015</v>
      </c>
      <c r="K13">
        <v>4</v>
      </c>
    </row>
    <row r="14" spans="1:11" x14ac:dyDescent="0.3">
      <c r="A14" t="s">
        <v>1016</v>
      </c>
      <c r="B14">
        <v>39697.209999999985</v>
      </c>
      <c r="D14" t="s">
        <v>440</v>
      </c>
      <c r="E14">
        <v>49.4</v>
      </c>
      <c r="G14" t="s">
        <v>1017</v>
      </c>
      <c r="H14">
        <v>135.96</v>
      </c>
      <c r="J14" t="s">
        <v>1017</v>
      </c>
      <c r="K14">
        <v>7</v>
      </c>
    </row>
    <row r="15" spans="1:11" x14ac:dyDescent="0.3">
      <c r="D15" t="s">
        <v>743</v>
      </c>
      <c r="E15">
        <v>32.89</v>
      </c>
      <c r="G15" t="s">
        <v>1018</v>
      </c>
      <c r="H15">
        <v>135.45000000000002</v>
      </c>
      <c r="J15" t="s">
        <v>1018</v>
      </c>
      <c r="K15">
        <v>9</v>
      </c>
    </row>
    <row r="16" spans="1:11" x14ac:dyDescent="0.3">
      <c r="D16" t="s">
        <v>745</v>
      </c>
      <c r="E16">
        <v>32.99</v>
      </c>
      <c r="G16" t="s">
        <v>1019</v>
      </c>
      <c r="H16">
        <v>539.25</v>
      </c>
      <c r="J16" t="s">
        <v>1019</v>
      </c>
      <c r="K16">
        <v>13</v>
      </c>
    </row>
    <row r="17" spans="4:11" x14ac:dyDescent="0.3">
      <c r="D17" t="s">
        <v>553</v>
      </c>
      <c r="E17">
        <v>8.7200000000000006</v>
      </c>
      <c r="G17" t="s">
        <v>1020</v>
      </c>
      <c r="H17">
        <v>487.35</v>
      </c>
      <c r="J17" t="s">
        <v>1020</v>
      </c>
      <c r="K17">
        <v>8</v>
      </c>
    </row>
    <row r="18" spans="4:11" x14ac:dyDescent="0.3">
      <c r="D18" t="s">
        <v>890</v>
      </c>
      <c r="E18">
        <v>201.39999999999992</v>
      </c>
      <c r="G18" t="s">
        <v>1021</v>
      </c>
      <c r="H18">
        <v>119.49999999999997</v>
      </c>
      <c r="J18" t="s">
        <v>1021</v>
      </c>
      <c r="K18">
        <v>5</v>
      </c>
    </row>
    <row r="19" spans="4:11" x14ac:dyDescent="0.3">
      <c r="D19" t="s">
        <v>215</v>
      </c>
      <c r="E19">
        <v>189.20000000000002</v>
      </c>
      <c r="G19" t="s">
        <v>1022</v>
      </c>
      <c r="H19">
        <v>374.01</v>
      </c>
      <c r="J19" t="s">
        <v>1022</v>
      </c>
      <c r="K19">
        <v>6</v>
      </c>
    </row>
    <row r="20" spans="4:11" x14ac:dyDescent="0.3">
      <c r="D20" t="s">
        <v>725</v>
      </c>
      <c r="E20">
        <v>13.54</v>
      </c>
      <c r="G20" t="s">
        <v>1023</v>
      </c>
      <c r="H20">
        <v>70.17</v>
      </c>
      <c r="J20" t="s">
        <v>1023</v>
      </c>
      <c r="K20">
        <v>6</v>
      </c>
    </row>
    <row r="21" spans="4:11" x14ac:dyDescent="0.3">
      <c r="D21" t="s">
        <v>184</v>
      </c>
      <c r="E21">
        <v>39.85</v>
      </c>
      <c r="G21" t="s">
        <v>1024</v>
      </c>
      <c r="H21">
        <v>334.18999999999994</v>
      </c>
      <c r="J21" t="s">
        <v>1024</v>
      </c>
      <c r="K21">
        <v>13</v>
      </c>
    </row>
    <row r="22" spans="4:11" x14ac:dyDescent="0.3">
      <c r="D22" t="s">
        <v>543</v>
      </c>
      <c r="E22">
        <v>450.6</v>
      </c>
      <c r="G22" t="s">
        <v>1025</v>
      </c>
      <c r="H22">
        <v>720.7299999999999</v>
      </c>
      <c r="J22" t="s">
        <v>1025</v>
      </c>
      <c r="K22">
        <v>18</v>
      </c>
    </row>
    <row r="23" spans="4:11" x14ac:dyDescent="0.3">
      <c r="D23" t="s">
        <v>962</v>
      </c>
      <c r="E23">
        <v>560.49</v>
      </c>
      <c r="G23" t="s">
        <v>1026</v>
      </c>
      <c r="H23">
        <v>108.34</v>
      </c>
      <c r="J23" t="s">
        <v>1026</v>
      </c>
      <c r="K23">
        <v>2</v>
      </c>
    </row>
    <row r="24" spans="4:11" x14ac:dyDescent="0.3">
      <c r="D24" t="s">
        <v>922</v>
      </c>
      <c r="E24">
        <v>291.51</v>
      </c>
      <c r="G24" t="s">
        <v>1027</v>
      </c>
      <c r="H24">
        <v>1075.58</v>
      </c>
      <c r="J24" t="s">
        <v>1027</v>
      </c>
      <c r="K24">
        <v>29</v>
      </c>
    </row>
    <row r="25" spans="4:11" x14ac:dyDescent="0.3">
      <c r="D25" t="s">
        <v>471</v>
      </c>
      <c r="E25">
        <v>464.24999999999994</v>
      </c>
      <c r="G25" t="s">
        <v>1028</v>
      </c>
      <c r="H25">
        <v>437.84000000000003</v>
      </c>
      <c r="J25" t="s">
        <v>1028</v>
      </c>
      <c r="K25">
        <v>8</v>
      </c>
    </row>
    <row r="26" spans="4:11" x14ac:dyDescent="0.3">
      <c r="D26" t="s">
        <v>473</v>
      </c>
      <c r="E26">
        <v>363.95000000000005</v>
      </c>
      <c r="G26" t="s">
        <v>1029</v>
      </c>
      <c r="H26">
        <v>24.72</v>
      </c>
      <c r="J26" t="s">
        <v>1029</v>
      </c>
      <c r="K26">
        <v>4</v>
      </c>
    </row>
    <row r="27" spans="4:11" x14ac:dyDescent="0.3">
      <c r="D27" t="s">
        <v>234</v>
      </c>
      <c r="E27">
        <v>204.14999999999998</v>
      </c>
      <c r="G27" t="s">
        <v>1030</v>
      </c>
      <c r="H27">
        <v>201.10000000000002</v>
      </c>
      <c r="J27" t="s">
        <v>1030</v>
      </c>
      <c r="K27">
        <v>8</v>
      </c>
    </row>
    <row r="28" spans="4:11" x14ac:dyDescent="0.3">
      <c r="D28" t="s">
        <v>954</v>
      </c>
      <c r="E28">
        <v>181.8</v>
      </c>
      <c r="G28" t="s">
        <v>1031</v>
      </c>
      <c r="H28">
        <v>517.4</v>
      </c>
      <c r="J28" t="s">
        <v>1031</v>
      </c>
      <c r="K28">
        <v>10</v>
      </c>
    </row>
    <row r="29" spans="4:11" x14ac:dyDescent="0.3">
      <c r="D29" t="s">
        <v>952</v>
      </c>
      <c r="E29">
        <v>380.87</v>
      </c>
      <c r="G29" t="s">
        <v>1032</v>
      </c>
      <c r="H29">
        <v>2733.4099999999994</v>
      </c>
      <c r="J29" t="s">
        <v>1032</v>
      </c>
      <c r="K29">
        <v>65</v>
      </c>
    </row>
    <row r="30" spans="4:11" x14ac:dyDescent="0.3">
      <c r="D30" t="s">
        <v>172</v>
      </c>
      <c r="E30">
        <v>149.59</v>
      </c>
      <c r="G30" t="s">
        <v>1033</v>
      </c>
      <c r="H30">
        <v>74.8</v>
      </c>
      <c r="J30" t="s">
        <v>1033</v>
      </c>
      <c r="K30">
        <v>2</v>
      </c>
    </row>
    <row r="31" spans="4:11" x14ac:dyDescent="0.3">
      <c r="D31" t="s">
        <v>884</v>
      </c>
      <c r="E31">
        <v>486.11999999999995</v>
      </c>
      <c r="G31" t="s">
        <v>1034</v>
      </c>
      <c r="H31">
        <v>1060.3899999999999</v>
      </c>
      <c r="J31" t="s">
        <v>1034</v>
      </c>
      <c r="K31">
        <v>16</v>
      </c>
    </row>
    <row r="32" spans="4:11" x14ac:dyDescent="0.3">
      <c r="D32" t="s">
        <v>892</v>
      </c>
      <c r="E32">
        <v>146.80000000000001</v>
      </c>
      <c r="G32" t="s">
        <v>1035</v>
      </c>
      <c r="H32">
        <v>731.21</v>
      </c>
      <c r="J32" t="s">
        <v>1035</v>
      </c>
      <c r="K32">
        <v>7</v>
      </c>
    </row>
    <row r="33" spans="4:11" x14ac:dyDescent="0.3">
      <c r="D33" t="s">
        <v>58</v>
      </c>
      <c r="E33">
        <v>274.20000000000005</v>
      </c>
      <c r="G33" t="s">
        <v>1036</v>
      </c>
      <c r="H33">
        <v>175.85000000000002</v>
      </c>
      <c r="J33" t="s">
        <v>1036</v>
      </c>
      <c r="K33">
        <v>4</v>
      </c>
    </row>
    <row r="34" spans="4:11" x14ac:dyDescent="0.3">
      <c r="D34" t="s">
        <v>65</v>
      </c>
      <c r="E34">
        <v>135.45000000000002</v>
      </c>
      <c r="G34" t="s">
        <v>1037</v>
      </c>
      <c r="H34">
        <v>948.93</v>
      </c>
      <c r="J34" t="s">
        <v>1037</v>
      </c>
      <c r="K34">
        <v>24</v>
      </c>
    </row>
    <row r="35" spans="4:11" x14ac:dyDescent="0.3">
      <c r="D35" t="s">
        <v>74</v>
      </c>
      <c r="E35">
        <v>119.94999999999999</v>
      </c>
      <c r="G35" t="s">
        <v>1038</v>
      </c>
      <c r="H35">
        <v>75.98</v>
      </c>
      <c r="J35" t="s">
        <v>1038</v>
      </c>
      <c r="K35">
        <v>2</v>
      </c>
    </row>
    <row r="36" spans="4:11" x14ac:dyDescent="0.3">
      <c r="D36" t="s">
        <v>70</v>
      </c>
      <c r="E36">
        <v>81.150000000000006</v>
      </c>
      <c r="G36" t="s">
        <v>1039</v>
      </c>
      <c r="H36">
        <v>421.54</v>
      </c>
      <c r="J36" t="s">
        <v>1039</v>
      </c>
      <c r="K36">
        <v>13</v>
      </c>
    </row>
    <row r="37" spans="4:11" x14ac:dyDescent="0.3">
      <c r="D37" t="s">
        <v>920</v>
      </c>
      <c r="E37">
        <v>50.15</v>
      </c>
      <c r="G37" t="s">
        <v>1040</v>
      </c>
      <c r="H37">
        <v>127.36000000000001</v>
      </c>
      <c r="J37" t="s">
        <v>1040</v>
      </c>
      <c r="K37">
        <v>4</v>
      </c>
    </row>
    <row r="38" spans="4:11" x14ac:dyDescent="0.3">
      <c r="D38" t="s">
        <v>491</v>
      </c>
      <c r="E38">
        <v>50.7</v>
      </c>
      <c r="G38" t="s">
        <v>1041</v>
      </c>
      <c r="H38">
        <v>29.09</v>
      </c>
      <c r="J38" t="s">
        <v>1041</v>
      </c>
      <c r="K38">
        <v>1</v>
      </c>
    </row>
    <row r="39" spans="4:11" x14ac:dyDescent="0.3">
      <c r="D39" t="s">
        <v>808</v>
      </c>
      <c r="E39">
        <v>204.66</v>
      </c>
      <c r="G39" t="s">
        <v>1042</v>
      </c>
      <c r="H39">
        <v>443.83</v>
      </c>
      <c r="J39" t="s">
        <v>1042</v>
      </c>
      <c r="K39">
        <v>15</v>
      </c>
    </row>
    <row r="40" spans="4:11" x14ac:dyDescent="0.3">
      <c r="D40" t="s">
        <v>157</v>
      </c>
      <c r="E40">
        <v>30.08</v>
      </c>
      <c r="G40" t="s">
        <v>1043</v>
      </c>
      <c r="H40">
        <v>236.35999999999999</v>
      </c>
      <c r="J40" t="s">
        <v>1043</v>
      </c>
      <c r="K40">
        <v>6</v>
      </c>
    </row>
    <row r="41" spans="4:11" x14ac:dyDescent="0.3">
      <c r="D41" t="s">
        <v>167</v>
      </c>
      <c r="E41">
        <v>166.05</v>
      </c>
      <c r="G41" t="s">
        <v>1044</v>
      </c>
      <c r="H41">
        <v>192.24</v>
      </c>
      <c r="J41" t="s">
        <v>1044</v>
      </c>
      <c r="K41">
        <v>4</v>
      </c>
    </row>
    <row r="42" spans="4:11" x14ac:dyDescent="0.3">
      <c r="D42" t="s">
        <v>749</v>
      </c>
      <c r="E42">
        <v>150.1</v>
      </c>
      <c r="G42" t="s">
        <v>1045</v>
      </c>
      <c r="H42">
        <v>27.42</v>
      </c>
      <c r="J42" t="s">
        <v>1045</v>
      </c>
      <c r="K42">
        <v>1</v>
      </c>
    </row>
    <row r="43" spans="4:11" x14ac:dyDescent="0.3">
      <c r="D43" t="s">
        <v>463</v>
      </c>
      <c r="E43">
        <v>203.75</v>
      </c>
      <c r="G43" t="s">
        <v>1046</v>
      </c>
      <c r="H43">
        <v>299.65999999999997</v>
      </c>
      <c r="J43" t="s">
        <v>1046</v>
      </c>
      <c r="K43">
        <v>9</v>
      </c>
    </row>
    <row r="44" spans="4:11" x14ac:dyDescent="0.3">
      <c r="D44" t="s">
        <v>339</v>
      </c>
      <c r="E44">
        <v>62.17</v>
      </c>
      <c r="G44" t="s">
        <v>1047</v>
      </c>
      <c r="H44">
        <v>58</v>
      </c>
      <c r="J44" t="s">
        <v>1047</v>
      </c>
      <c r="K44">
        <v>2</v>
      </c>
    </row>
    <row r="45" spans="4:11" x14ac:dyDescent="0.3">
      <c r="D45" t="s">
        <v>141</v>
      </c>
      <c r="E45">
        <v>27.42</v>
      </c>
      <c r="G45" t="s">
        <v>1048</v>
      </c>
      <c r="H45">
        <v>180.26000000000002</v>
      </c>
      <c r="J45" t="s">
        <v>1048</v>
      </c>
      <c r="K45">
        <v>5</v>
      </c>
    </row>
    <row r="46" spans="4:11" x14ac:dyDescent="0.3">
      <c r="D46" t="s">
        <v>110</v>
      </c>
      <c r="E46">
        <v>25.82</v>
      </c>
      <c r="G46" t="s">
        <v>1049</v>
      </c>
      <c r="H46">
        <v>180.57999999999998</v>
      </c>
      <c r="J46" t="s">
        <v>1049</v>
      </c>
      <c r="K46">
        <v>9</v>
      </c>
    </row>
    <row r="47" spans="4:11" x14ac:dyDescent="0.3">
      <c r="D47" t="s">
        <v>113</v>
      </c>
      <c r="E47">
        <v>14.11</v>
      </c>
      <c r="G47" t="s">
        <v>1050</v>
      </c>
      <c r="H47">
        <v>238.21</v>
      </c>
      <c r="J47" t="s">
        <v>1050</v>
      </c>
      <c r="K47">
        <v>6</v>
      </c>
    </row>
    <row r="48" spans="4:11" x14ac:dyDescent="0.3">
      <c r="D48" t="s">
        <v>475</v>
      </c>
      <c r="E48">
        <v>82.65</v>
      </c>
      <c r="G48" t="s">
        <v>1051</v>
      </c>
      <c r="H48">
        <v>824.27999999999975</v>
      </c>
      <c r="J48" t="s">
        <v>1051</v>
      </c>
      <c r="K48">
        <v>21</v>
      </c>
    </row>
    <row r="49" spans="4:11" x14ac:dyDescent="0.3">
      <c r="D49" t="s">
        <v>186</v>
      </c>
      <c r="E49">
        <v>181.2</v>
      </c>
      <c r="G49" t="s">
        <v>1052</v>
      </c>
      <c r="H49">
        <v>56.12</v>
      </c>
      <c r="J49" t="s">
        <v>1052</v>
      </c>
      <c r="K49">
        <v>3</v>
      </c>
    </row>
    <row r="50" spans="4:11" x14ac:dyDescent="0.3">
      <c r="D50" t="s">
        <v>912</v>
      </c>
      <c r="E50">
        <v>28.3</v>
      </c>
      <c r="G50" t="s">
        <v>1053</v>
      </c>
      <c r="H50">
        <v>38.79</v>
      </c>
      <c r="J50" t="s">
        <v>1053</v>
      </c>
      <c r="K50">
        <v>6</v>
      </c>
    </row>
    <row r="51" spans="4:11" x14ac:dyDescent="0.3">
      <c r="D51" t="s">
        <v>318</v>
      </c>
      <c r="E51">
        <v>35.11</v>
      </c>
      <c r="G51" t="s">
        <v>1054</v>
      </c>
      <c r="H51">
        <v>1662.0900000000004</v>
      </c>
      <c r="J51" t="s">
        <v>1054</v>
      </c>
      <c r="K51">
        <v>27</v>
      </c>
    </row>
    <row r="52" spans="4:11" x14ac:dyDescent="0.3">
      <c r="D52" t="s">
        <v>914</v>
      </c>
      <c r="E52">
        <v>53.8</v>
      </c>
      <c r="G52" t="s">
        <v>1055</v>
      </c>
      <c r="H52">
        <v>957.46</v>
      </c>
      <c r="J52" t="s">
        <v>1055</v>
      </c>
      <c r="K52">
        <v>32</v>
      </c>
    </row>
    <row r="53" spans="4:11" x14ac:dyDescent="0.3">
      <c r="D53" t="s">
        <v>990</v>
      </c>
      <c r="E53">
        <v>49.84</v>
      </c>
      <c r="G53" t="s">
        <v>1056</v>
      </c>
      <c r="H53">
        <v>314.27</v>
      </c>
      <c r="J53" t="s">
        <v>1056</v>
      </c>
      <c r="K53">
        <v>5</v>
      </c>
    </row>
    <row r="54" spans="4:11" x14ac:dyDescent="0.3">
      <c r="D54" t="s">
        <v>904</v>
      </c>
      <c r="E54">
        <v>201.99</v>
      </c>
      <c r="G54" t="s">
        <v>1057</v>
      </c>
      <c r="H54">
        <v>904.07999999999993</v>
      </c>
      <c r="J54" t="s">
        <v>1057</v>
      </c>
      <c r="K54">
        <v>16</v>
      </c>
    </row>
    <row r="55" spans="4:11" x14ac:dyDescent="0.3">
      <c r="D55" t="s">
        <v>908</v>
      </c>
      <c r="E55">
        <v>638.9</v>
      </c>
      <c r="G55" t="s">
        <v>1058</v>
      </c>
      <c r="H55">
        <v>278.70000000000005</v>
      </c>
      <c r="J55" t="s">
        <v>1058</v>
      </c>
      <c r="K55">
        <v>6</v>
      </c>
    </row>
    <row r="56" spans="4:11" x14ac:dyDescent="0.3">
      <c r="D56" t="s">
        <v>207</v>
      </c>
      <c r="E56">
        <v>19.89</v>
      </c>
      <c r="G56" t="s">
        <v>1059</v>
      </c>
      <c r="H56">
        <v>439.29</v>
      </c>
      <c r="J56" t="s">
        <v>1059</v>
      </c>
      <c r="K56">
        <v>9</v>
      </c>
    </row>
    <row r="57" spans="4:11" x14ac:dyDescent="0.3">
      <c r="D57" t="s">
        <v>174</v>
      </c>
      <c r="E57">
        <v>69.900000000000006</v>
      </c>
      <c r="G57" t="s">
        <v>1060</v>
      </c>
      <c r="H57">
        <v>116.46</v>
      </c>
      <c r="J57" t="s">
        <v>1060</v>
      </c>
      <c r="K57">
        <v>2</v>
      </c>
    </row>
    <row r="58" spans="4:11" x14ac:dyDescent="0.3">
      <c r="D58" t="s">
        <v>238</v>
      </c>
      <c r="E58">
        <v>7.88</v>
      </c>
      <c r="G58" t="s">
        <v>1061</v>
      </c>
      <c r="H58">
        <v>39.99</v>
      </c>
      <c r="J58" t="s">
        <v>1061</v>
      </c>
      <c r="K58">
        <v>1</v>
      </c>
    </row>
    <row r="59" spans="4:11" x14ac:dyDescent="0.3">
      <c r="D59" t="s">
        <v>533</v>
      </c>
      <c r="E59">
        <v>258.2</v>
      </c>
      <c r="G59" t="s">
        <v>1062</v>
      </c>
      <c r="H59">
        <v>228.01999999999998</v>
      </c>
      <c r="J59" t="s">
        <v>1062</v>
      </c>
      <c r="K59">
        <v>8</v>
      </c>
    </row>
    <row r="60" spans="4:11" x14ac:dyDescent="0.3">
      <c r="D60" t="s">
        <v>389</v>
      </c>
      <c r="E60">
        <v>89.07</v>
      </c>
      <c r="G60" t="s">
        <v>1063</v>
      </c>
      <c r="H60">
        <v>30.74</v>
      </c>
      <c r="J60" t="s">
        <v>1063</v>
      </c>
      <c r="K60">
        <v>1</v>
      </c>
    </row>
    <row r="61" spans="4:11" x14ac:dyDescent="0.3">
      <c r="D61" t="s">
        <v>816</v>
      </c>
      <c r="E61">
        <v>304.64999999999998</v>
      </c>
      <c r="G61" t="s">
        <v>1064</v>
      </c>
      <c r="H61">
        <v>916.89</v>
      </c>
      <c r="J61" t="s">
        <v>1064</v>
      </c>
      <c r="K61">
        <v>15</v>
      </c>
    </row>
    <row r="62" spans="4:11" x14ac:dyDescent="0.3">
      <c r="D62" t="s">
        <v>520</v>
      </c>
      <c r="E62">
        <v>373.76</v>
      </c>
      <c r="G62" t="s">
        <v>1065</v>
      </c>
      <c r="H62">
        <v>112.54999999999998</v>
      </c>
      <c r="J62" t="s">
        <v>1065</v>
      </c>
      <c r="K62">
        <v>8</v>
      </c>
    </row>
    <row r="63" spans="4:11" x14ac:dyDescent="0.3">
      <c r="D63" t="s">
        <v>301</v>
      </c>
      <c r="E63">
        <v>41.37</v>
      </c>
      <c r="G63" t="s">
        <v>1066</v>
      </c>
      <c r="H63">
        <v>3154.0999999999985</v>
      </c>
      <c r="J63" t="s">
        <v>1066</v>
      </c>
      <c r="K63">
        <v>54</v>
      </c>
    </row>
    <row r="64" spans="4:11" x14ac:dyDescent="0.3">
      <c r="D64" t="s">
        <v>406</v>
      </c>
      <c r="E64">
        <v>59.96</v>
      </c>
      <c r="G64" t="s">
        <v>1067</v>
      </c>
      <c r="H64">
        <v>134.41</v>
      </c>
      <c r="J64" t="s">
        <v>1067</v>
      </c>
      <c r="K64">
        <v>6</v>
      </c>
    </row>
    <row r="65" spans="4:11" x14ac:dyDescent="0.3">
      <c r="D65" t="s">
        <v>932</v>
      </c>
      <c r="E65">
        <v>456.44</v>
      </c>
      <c r="G65" t="s">
        <v>1068</v>
      </c>
      <c r="H65">
        <v>619.40000000000009</v>
      </c>
      <c r="J65" t="s">
        <v>1068</v>
      </c>
      <c r="K65">
        <v>10</v>
      </c>
    </row>
    <row r="66" spans="4:11" x14ac:dyDescent="0.3">
      <c r="D66" t="s">
        <v>810</v>
      </c>
      <c r="E66">
        <v>29.46</v>
      </c>
      <c r="G66" t="s">
        <v>1069</v>
      </c>
      <c r="H66">
        <v>402.48000000000008</v>
      </c>
      <c r="J66" t="s">
        <v>1069</v>
      </c>
      <c r="K66">
        <v>14</v>
      </c>
    </row>
    <row r="67" spans="4:11" x14ac:dyDescent="0.3">
      <c r="D67" t="s">
        <v>641</v>
      </c>
      <c r="E67">
        <v>189.95</v>
      </c>
      <c r="G67" t="s">
        <v>1070</v>
      </c>
      <c r="H67">
        <v>220.64999999999998</v>
      </c>
      <c r="J67" t="s">
        <v>1070</v>
      </c>
      <c r="K67">
        <v>3</v>
      </c>
    </row>
    <row r="68" spans="4:11" x14ac:dyDescent="0.3">
      <c r="D68" t="s">
        <v>371</v>
      </c>
      <c r="E68">
        <v>75.98</v>
      </c>
      <c r="G68" t="s">
        <v>1071</v>
      </c>
      <c r="H68">
        <v>13.41</v>
      </c>
      <c r="J68" t="s">
        <v>1071</v>
      </c>
      <c r="K68">
        <v>3</v>
      </c>
    </row>
    <row r="69" spans="4:11" x14ac:dyDescent="0.3">
      <c r="D69" t="s">
        <v>429</v>
      </c>
      <c r="E69">
        <v>39.99</v>
      </c>
      <c r="G69" t="s">
        <v>1072</v>
      </c>
      <c r="H69">
        <v>61.42</v>
      </c>
      <c r="J69" t="s">
        <v>1072</v>
      </c>
      <c r="K69">
        <v>2</v>
      </c>
    </row>
    <row r="70" spans="4:11" x14ac:dyDescent="0.3">
      <c r="D70" t="s">
        <v>635</v>
      </c>
      <c r="E70">
        <v>36.49</v>
      </c>
      <c r="G70" t="s">
        <v>1073</v>
      </c>
      <c r="H70">
        <v>376.19</v>
      </c>
      <c r="J70" t="s">
        <v>1073</v>
      </c>
      <c r="K70">
        <v>5</v>
      </c>
    </row>
    <row r="71" spans="4:11" x14ac:dyDescent="0.3">
      <c r="D71" t="s">
        <v>252</v>
      </c>
      <c r="E71">
        <v>199.95</v>
      </c>
      <c r="G71" t="s">
        <v>1074</v>
      </c>
      <c r="H71">
        <v>521.33999999999992</v>
      </c>
      <c r="J71" t="s">
        <v>1074</v>
      </c>
      <c r="K71">
        <v>10</v>
      </c>
    </row>
    <row r="72" spans="4:11" x14ac:dyDescent="0.3">
      <c r="D72" t="s">
        <v>205</v>
      </c>
      <c r="E72">
        <v>61.769999999999996</v>
      </c>
      <c r="G72" t="s">
        <v>1075</v>
      </c>
      <c r="H72">
        <v>597.17999999999995</v>
      </c>
      <c r="J72" t="s">
        <v>1075</v>
      </c>
      <c r="K72">
        <v>8</v>
      </c>
    </row>
    <row r="73" spans="4:11" x14ac:dyDescent="0.3">
      <c r="D73" t="s">
        <v>864</v>
      </c>
      <c r="E73">
        <v>65.92</v>
      </c>
      <c r="G73" t="s">
        <v>1076</v>
      </c>
      <c r="H73">
        <v>113.4</v>
      </c>
      <c r="J73" t="s">
        <v>1076</v>
      </c>
      <c r="K73">
        <v>5</v>
      </c>
    </row>
    <row r="74" spans="4:11" x14ac:dyDescent="0.3">
      <c r="D74" t="s">
        <v>162</v>
      </c>
      <c r="E74">
        <v>106.76</v>
      </c>
      <c r="G74" t="s">
        <v>1077</v>
      </c>
      <c r="H74">
        <v>351.58000000000004</v>
      </c>
      <c r="J74" t="s">
        <v>1077</v>
      </c>
      <c r="K74">
        <v>10</v>
      </c>
    </row>
    <row r="75" spans="4:11" x14ac:dyDescent="0.3">
      <c r="D75" t="s">
        <v>248</v>
      </c>
      <c r="E75">
        <v>64.88</v>
      </c>
      <c r="G75" t="s">
        <v>1078</v>
      </c>
      <c r="H75">
        <v>354.77</v>
      </c>
      <c r="J75" t="s">
        <v>1078</v>
      </c>
      <c r="K75">
        <v>7</v>
      </c>
    </row>
    <row r="76" spans="4:11" x14ac:dyDescent="0.3">
      <c r="D76" t="s">
        <v>850</v>
      </c>
      <c r="E76">
        <v>87.56</v>
      </c>
      <c r="G76" t="s">
        <v>1079</v>
      </c>
      <c r="H76">
        <v>10.39</v>
      </c>
      <c r="J76" t="s">
        <v>1079</v>
      </c>
      <c r="K76">
        <v>1</v>
      </c>
    </row>
    <row r="77" spans="4:11" x14ac:dyDescent="0.3">
      <c r="D77" t="s">
        <v>854</v>
      </c>
      <c r="E77">
        <v>21.89</v>
      </c>
      <c r="G77" t="s">
        <v>1080</v>
      </c>
      <c r="H77">
        <v>419.94</v>
      </c>
      <c r="J77" t="s">
        <v>1080</v>
      </c>
      <c r="K77">
        <v>15</v>
      </c>
    </row>
    <row r="78" spans="4:11" x14ac:dyDescent="0.3">
      <c r="D78" t="s">
        <v>637</v>
      </c>
      <c r="E78">
        <v>54.64</v>
      </c>
      <c r="G78" t="s">
        <v>1081</v>
      </c>
      <c r="H78">
        <v>1219.7600000000002</v>
      </c>
      <c r="J78" t="s">
        <v>1081</v>
      </c>
      <c r="K78">
        <v>15</v>
      </c>
    </row>
    <row r="79" spans="4:11" x14ac:dyDescent="0.3">
      <c r="D79" t="s">
        <v>481</v>
      </c>
      <c r="E79">
        <v>52.53</v>
      </c>
      <c r="G79" t="s">
        <v>1082</v>
      </c>
      <c r="H79">
        <v>596.93000000000006</v>
      </c>
      <c r="J79" t="s">
        <v>1082</v>
      </c>
      <c r="K79">
        <v>7</v>
      </c>
    </row>
    <row r="80" spans="4:11" x14ac:dyDescent="0.3">
      <c r="D80" t="s">
        <v>364</v>
      </c>
      <c r="E80">
        <v>48.8</v>
      </c>
      <c r="G80" t="s">
        <v>1083</v>
      </c>
      <c r="H80">
        <v>259.12</v>
      </c>
      <c r="J80" t="s">
        <v>1083</v>
      </c>
      <c r="K80">
        <v>12</v>
      </c>
    </row>
    <row r="81" spans="4:11" x14ac:dyDescent="0.3">
      <c r="D81" t="s">
        <v>597</v>
      </c>
      <c r="E81">
        <v>336.97999999999996</v>
      </c>
      <c r="G81" t="s">
        <v>1084</v>
      </c>
      <c r="H81">
        <v>330.59999999999997</v>
      </c>
      <c r="J81" t="s">
        <v>1084</v>
      </c>
      <c r="K81">
        <v>18</v>
      </c>
    </row>
    <row r="82" spans="4:11" x14ac:dyDescent="0.3">
      <c r="D82" t="s">
        <v>504</v>
      </c>
      <c r="E82">
        <v>119.93999999999998</v>
      </c>
      <c r="G82" t="s">
        <v>1085</v>
      </c>
      <c r="H82">
        <v>114.75</v>
      </c>
      <c r="J82" t="s">
        <v>1085</v>
      </c>
      <c r="K82">
        <v>3</v>
      </c>
    </row>
    <row r="83" spans="4:11" x14ac:dyDescent="0.3">
      <c r="D83" t="s">
        <v>408</v>
      </c>
      <c r="E83">
        <v>58</v>
      </c>
      <c r="G83" t="s">
        <v>1086</v>
      </c>
      <c r="H83">
        <v>22.23</v>
      </c>
      <c r="J83" t="s">
        <v>1086</v>
      </c>
      <c r="K83">
        <v>1</v>
      </c>
    </row>
    <row r="84" spans="4:11" x14ac:dyDescent="0.3">
      <c r="D84" t="s">
        <v>155</v>
      </c>
      <c r="E84">
        <v>36.26</v>
      </c>
      <c r="G84" t="s">
        <v>1087</v>
      </c>
      <c r="H84">
        <v>186.64</v>
      </c>
      <c r="J84" t="s">
        <v>1087</v>
      </c>
      <c r="K84">
        <v>4</v>
      </c>
    </row>
    <row r="85" spans="4:11" x14ac:dyDescent="0.3">
      <c r="D85" t="s">
        <v>498</v>
      </c>
      <c r="E85">
        <v>97.32</v>
      </c>
      <c r="G85" t="s">
        <v>1088</v>
      </c>
      <c r="H85">
        <v>1125.3799999999999</v>
      </c>
      <c r="J85" t="s">
        <v>1088</v>
      </c>
      <c r="K85">
        <v>30</v>
      </c>
    </row>
    <row r="86" spans="4:11" x14ac:dyDescent="0.3">
      <c r="D86" t="s">
        <v>130</v>
      </c>
      <c r="E86">
        <v>192.69</v>
      </c>
      <c r="G86" t="s">
        <v>1089</v>
      </c>
      <c r="H86">
        <v>532.65000000000009</v>
      </c>
      <c r="J86" t="s">
        <v>1089</v>
      </c>
      <c r="K86">
        <v>13</v>
      </c>
    </row>
    <row r="87" spans="4:11" x14ac:dyDescent="0.3">
      <c r="D87" t="s">
        <v>496</v>
      </c>
      <c r="E87">
        <v>44.94</v>
      </c>
      <c r="G87" t="s">
        <v>1090</v>
      </c>
      <c r="H87">
        <v>52.53</v>
      </c>
      <c r="J87" t="s">
        <v>1090</v>
      </c>
      <c r="K87">
        <v>1</v>
      </c>
    </row>
    <row r="88" spans="4:11" x14ac:dyDescent="0.3">
      <c r="D88" t="s">
        <v>538</v>
      </c>
      <c r="E88">
        <v>50</v>
      </c>
      <c r="G88" t="s">
        <v>1091</v>
      </c>
      <c r="H88">
        <v>808.1</v>
      </c>
      <c r="J88" t="s">
        <v>1091</v>
      </c>
      <c r="K88">
        <v>23</v>
      </c>
    </row>
    <row r="89" spans="4:11" x14ac:dyDescent="0.3">
      <c r="D89" t="s">
        <v>599</v>
      </c>
      <c r="E89">
        <v>69.12</v>
      </c>
      <c r="G89" t="s">
        <v>1092</v>
      </c>
      <c r="J89" t="s">
        <v>1092</v>
      </c>
    </row>
    <row r="90" spans="4:11" x14ac:dyDescent="0.3">
      <c r="D90" t="s">
        <v>115</v>
      </c>
      <c r="E90">
        <v>460.67999999999995</v>
      </c>
      <c r="G90" t="s">
        <v>1016</v>
      </c>
      <c r="H90">
        <v>39697.210000000006</v>
      </c>
      <c r="J90" t="s">
        <v>1016</v>
      </c>
      <c r="K90">
        <v>940</v>
      </c>
    </row>
    <row r="91" spans="4:11" x14ac:dyDescent="0.3">
      <c r="D91" t="s">
        <v>117</v>
      </c>
      <c r="E91">
        <v>111.78</v>
      </c>
    </row>
    <row r="92" spans="4:11" x14ac:dyDescent="0.3">
      <c r="D92" t="s">
        <v>218</v>
      </c>
      <c r="E92">
        <v>248.64</v>
      </c>
    </row>
    <row r="93" spans="4:11" x14ac:dyDescent="0.3">
      <c r="D93" t="s">
        <v>438</v>
      </c>
      <c r="E93">
        <v>37.979999999999997</v>
      </c>
    </row>
    <row r="94" spans="4:11" x14ac:dyDescent="0.3">
      <c r="D94" t="s">
        <v>789</v>
      </c>
      <c r="E94">
        <v>43.01</v>
      </c>
    </row>
    <row r="95" spans="4:11" x14ac:dyDescent="0.3">
      <c r="D95" t="s">
        <v>342</v>
      </c>
      <c r="E95">
        <v>98.42</v>
      </c>
    </row>
    <row r="96" spans="4:11" x14ac:dyDescent="0.3">
      <c r="D96" t="s">
        <v>735</v>
      </c>
      <c r="E96">
        <v>72.78</v>
      </c>
    </row>
    <row r="97" spans="4:5" x14ac:dyDescent="0.3">
      <c r="D97" t="s">
        <v>152</v>
      </c>
      <c r="E97">
        <v>53.16</v>
      </c>
    </row>
    <row r="98" spans="4:5" x14ac:dyDescent="0.3">
      <c r="D98" t="s">
        <v>940</v>
      </c>
      <c r="E98">
        <v>57.98</v>
      </c>
    </row>
    <row r="99" spans="4:5" x14ac:dyDescent="0.3">
      <c r="D99" t="s">
        <v>938</v>
      </c>
      <c r="E99">
        <v>167.97</v>
      </c>
    </row>
    <row r="100" spans="4:5" x14ac:dyDescent="0.3">
      <c r="D100" t="s">
        <v>934</v>
      </c>
      <c r="E100">
        <v>262.53000000000003</v>
      </c>
    </row>
    <row r="101" spans="4:5" x14ac:dyDescent="0.3">
      <c r="D101" t="s">
        <v>936</v>
      </c>
      <c r="E101">
        <v>96.77</v>
      </c>
    </row>
    <row r="102" spans="4:5" x14ac:dyDescent="0.3">
      <c r="D102" t="s">
        <v>323</v>
      </c>
      <c r="E102">
        <v>439.29</v>
      </c>
    </row>
    <row r="103" spans="4:5" x14ac:dyDescent="0.3">
      <c r="D103" t="s">
        <v>68</v>
      </c>
      <c r="E103">
        <v>113.99</v>
      </c>
    </row>
    <row r="104" spans="4:5" x14ac:dyDescent="0.3">
      <c r="D104" t="s">
        <v>52</v>
      </c>
      <c r="E104">
        <v>192.24</v>
      </c>
    </row>
    <row r="105" spans="4:5" x14ac:dyDescent="0.3">
      <c r="D105" t="s">
        <v>560</v>
      </c>
      <c r="E105">
        <v>517.4</v>
      </c>
    </row>
    <row r="106" spans="4:5" x14ac:dyDescent="0.3">
      <c r="D106" t="s">
        <v>882</v>
      </c>
      <c r="E106">
        <v>48.82</v>
      </c>
    </row>
    <row r="107" spans="4:5" x14ac:dyDescent="0.3">
      <c r="D107" t="s">
        <v>979</v>
      </c>
      <c r="E107">
        <v>7.32</v>
      </c>
    </row>
    <row r="108" spans="4:5" x14ac:dyDescent="0.3">
      <c r="D108" t="s">
        <v>139</v>
      </c>
      <c r="E108">
        <v>30.88</v>
      </c>
    </row>
    <row r="109" spans="4:5" x14ac:dyDescent="0.3">
      <c r="D109" t="s">
        <v>250</v>
      </c>
      <c r="E109">
        <v>17.66</v>
      </c>
    </row>
    <row r="110" spans="4:5" x14ac:dyDescent="0.3">
      <c r="D110" t="s">
        <v>566</v>
      </c>
      <c r="E110">
        <v>16.899999999999999</v>
      </c>
    </row>
    <row r="111" spans="4:5" x14ac:dyDescent="0.3">
      <c r="D111" t="s">
        <v>876</v>
      </c>
      <c r="E111">
        <v>41.73</v>
      </c>
    </row>
    <row r="112" spans="4:5" x14ac:dyDescent="0.3">
      <c r="D112" t="s">
        <v>878</v>
      </c>
      <c r="E112">
        <v>78.08</v>
      </c>
    </row>
    <row r="113" spans="4:5" x14ac:dyDescent="0.3">
      <c r="D113" t="s">
        <v>880</v>
      </c>
      <c r="E113">
        <v>63.300000000000004</v>
      </c>
    </row>
    <row r="114" spans="4:5" x14ac:dyDescent="0.3">
      <c r="D114" t="s">
        <v>604</v>
      </c>
      <c r="E114">
        <v>66.84</v>
      </c>
    </row>
    <row r="115" spans="4:5" x14ac:dyDescent="0.3">
      <c r="D115" t="s">
        <v>6</v>
      </c>
      <c r="E115">
        <v>33.08</v>
      </c>
    </row>
    <row r="116" spans="4:5" x14ac:dyDescent="0.3">
      <c r="D116" t="s">
        <v>948</v>
      </c>
      <c r="E116">
        <v>20.39</v>
      </c>
    </row>
    <row r="117" spans="4:5" x14ac:dyDescent="0.3">
      <c r="D117" t="s">
        <v>944</v>
      </c>
      <c r="E117">
        <v>48.88</v>
      </c>
    </row>
    <row r="118" spans="4:5" x14ac:dyDescent="0.3">
      <c r="D118" t="s">
        <v>946</v>
      </c>
      <c r="E118">
        <v>57.52</v>
      </c>
    </row>
    <row r="119" spans="4:5" x14ac:dyDescent="0.3">
      <c r="D119" t="s">
        <v>680</v>
      </c>
      <c r="E119">
        <v>443.19</v>
      </c>
    </row>
    <row r="120" spans="4:5" x14ac:dyDescent="0.3">
      <c r="D120" t="s">
        <v>34</v>
      </c>
      <c r="E120">
        <v>74.8</v>
      </c>
    </row>
    <row r="121" spans="4:5" x14ac:dyDescent="0.3">
      <c r="D121" t="s">
        <v>558</v>
      </c>
      <c r="E121">
        <v>237.48</v>
      </c>
    </row>
    <row r="122" spans="4:5" x14ac:dyDescent="0.3">
      <c r="D122" t="s">
        <v>305</v>
      </c>
      <c r="E122">
        <v>92.15</v>
      </c>
    </row>
    <row r="123" spans="4:5" x14ac:dyDescent="0.3">
      <c r="D123" t="s">
        <v>584</v>
      </c>
      <c r="E123">
        <v>24.72</v>
      </c>
    </row>
    <row r="124" spans="4:5" x14ac:dyDescent="0.3">
      <c r="D124" t="s">
        <v>24</v>
      </c>
      <c r="E124">
        <v>13.41</v>
      </c>
    </row>
    <row r="125" spans="4:5" x14ac:dyDescent="0.3">
      <c r="D125" t="s">
        <v>232</v>
      </c>
      <c r="E125">
        <v>64.400000000000006</v>
      </c>
    </row>
    <row r="126" spans="4:5" x14ac:dyDescent="0.3">
      <c r="D126" t="s">
        <v>62</v>
      </c>
      <c r="E126">
        <v>32.82</v>
      </c>
    </row>
    <row r="127" spans="4:5" x14ac:dyDescent="0.3">
      <c r="D127" t="s">
        <v>486</v>
      </c>
      <c r="E127">
        <v>32.01</v>
      </c>
    </row>
    <row r="128" spans="4:5" x14ac:dyDescent="0.3">
      <c r="D128" t="s">
        <v>778</v>
      </c>
      <c r="E128">
        <v>31.66</v>
      </c>
    </row>
    <row r="129" spans="4:5" x14ac:dyDescent="0.3">
      <c r="D129" t="s">
        <v>402</v>
      </c>
      <c r="E129">
        <v>451.44</v>
      </c>
    </row>
    <row r="130" spans="4:5" x14ac:dyDescent="0.3">
      <c r="D130" t="s">
        <v>798</v>
      </c>
      <c r="E130">
        <v>86.5</v>
      </c>
    </row>
    <row r="131" spans="4:5" x14ac:dyDescent="0.3">
      <c r="D131" t="s">
        <v>354</v>
      </c>
      <c r="E131">
        <v>35.020000000000003</v>
      </c>
    </row>
    <row r="132" spans="4:5" x14ac:dyDescent="0.3">
      <c r="D132" t="s">
        <v>541</v>
      </c>
      <c r="E132">
        <v>118.8</v>
      </c>
    </row>
    <row r="133" spans="4:5" x14ac:dyDescent="0.3">
      <c r="D133" t="s">
        <v>859</v>
      </c>
      <c r="E133">
        <v>119.22</v>
      </c>
    </row>
    <row r="134" spans="4:5" x14ac:dyDescent="0.3">
      <c r="D134" t="s">
        <v>446</v>
      </c>
      <c r="E134">
        <v>48.51</v>
      </c>
    </row>
    <row r="135" spans="4:5" x14ac:dyDescent="0.3">
      <c r="D135" t="s">
        <v>270</v>
      </c>
      <c r="E135">
        <v>113.37</v>
      </c>
    </row>
    <row r="136" spans="4:5" x14ac:dyDescent="0.3">
      <c r="D136" t="s">
        <v>653</v>
      </c>
      <c r="E136">
        <v>32.76</v>
      </c>
    </row>
    <row r="137" spans="4:5" x14ac:dyDescent="0.3">
      <c r="D137" t="s">
        <v>655</v>
      </c>
      <c r="E137">
        <v>67.78</v>
      </c>
    </row>
    <row r="138" spans="4:5" x14ac:dyDescent="0.3">
      <c r="D138" t="s">
        <v>369</v>
      </c>
      <c r="E138">
        <v>32.44</v>
      </c>
    </row>
    <row r="139" spans="4:5" x14ac:dyDescent="0.3">
      <c r="D139" t="s">
        <v>379</v>
      </c>
      <c r="E139">
        <v>68.5</v>
      </c>
    </row>
    <row r="140" spans="4:5" x14ac:dyDescent="0.3">
      <c r="D140" t="s">
        <v>995</v>
      </c>
      <c r="E140">
        <v>13.7</v>
      </c>
    </row>
    <row r="141" spans="4:5" x14ac:dyDescent="0.3">
      <c r="D141" t="s">
        <v>95</v>
      </c>
      <c r="E141">
        <v>24.94</v>
      </c>
    </row>
    <row r="142" spans="4:5" x14ac:dyDescent="0.3">
      <c r="D142" t="s">
        <v>312</v>
      </c>
      <c r="E142">
        <v>86.17</v>
      </c>
    </row>
    <row r="143" spans="4:5" x14ac:dyDescent="0.3">
      <c r="D143" t="s">
        <v>461</v>
      </c>
      <c r="E143">
        <v>75.8</v>
      </c>
    </row>
    <row r="144" spans="4:5" x14ac:dyDescent="0.3">
      <c r="D144" t="s">
        <v>314</v>
      </c>
      <c r="E144">
        <v>37.72</v>
      </c>
    </row>
    <row r="145" spans="4:5" x14ac:dyDescent="0.3">
      <c r="D145" t="s">
        <v>835</v>
      </c>
      <c r="E145">
        <v>208.77999999999997</v>
      </c>
    </row>
    <row r="146" spans="4:5" x14ac:dyDescent="0.3">
      <c r="D146" t="s">
        <v>814</v>
      </c>
      <c r="E146">
        <v>89.76</v>
      </c>
    </row>
    <row r="147" spans="4:5" x14ac:dyDescent="0.3">
      <c r="D147" t="s">
        <v>377</v>
      </c>
      <c r="E147">
        <v>353.16</v>
      </c>
    </row>
    <row r="148" spans="4:5" x14ac:dyDescent="0.3">
      <c r="D148" t="s">
        <v>466</v>
      </c>
      <c r="E148">
        <v>72.570000000000007</v>
      </c>
    </row>
    <row r="149" spans="4:5" x14ac:dyDescent="0.3">
      <c r="D149" t="s">
        <v>510</v>
      </c>
      <c r="E149">
        <v>22.23</v>
      </c>
    </row>
    <row r="150" spans="4:5" x14ac:dyDescent="0.3">
      <c r="D150" t="s">
        <v>733</v>
      </c>
      <c r="E150">
        <v>32.71</v>
      </c>
    </row>
    <row r="151" spans="4:5" x14ac:dyDescent="0.3">
      <c r="D151" t="s">
        <v>229</v>
      </c>
      <c r="E151">
        <v>37.630000000000003</v>
      </c>
    </row>
    <row r="152" spans="4:5" x14ac:dyDescent="0.3">
      <c r="D152" t="s">
        <v>536</v>
      </c>
      <c r="E152">
        <v>96.57</v>
      </c>
    </row>
    <row r="153" spans="4:5" x14ac:dyDescent="0.3">
      <c r="D153" t="s">
        <v>852</v>
      </c>
      <c r="E153">
        <v>440.4</v>
      </c>
    </row>
    <row r="154" spans="4:5" x14ac:dyDescent="0.3">
      <c r="D154" t="s">
        <v>806</v>
      </c>
      <c r="E154">
        <v>92.5</v>
      </c>
    </row>
    <row r="155" spans="4:5" x14ac:dyDescent="0.3">
      <c r="D155" t="s">
        <v>804</v>
      </c>
      <c r="E155">
        <v>230.98</v>
      </c>
    </row>
    <row r="156" spans="4:5" x14ac:dyDescent="0.3">
      <c r="D156" t="s">
        <v>613</v>
      </c>
      <c r="E156">
        <v>477.2</v>
      </c>
    </row>
    <row r="157" spans="4:5" x14ac:dyDescent="0.3">
      <c r="D157" t="s">
        <v>589</v>
      </c>
      <c r="E157">
        <v>113.34</v>
      </c>
    </row>
    <row r="158" spans="4:5" x14ac:dyDescent="0.3">
      <c r="D158" t="s">
        <v>404</v>
      </c>
      <c r="E158">
        <v>40.28</v>
      </c>
    </row>
    <row r="159" spans="4:5" x14ac:dyDescent="0.3">
      <c r="D159" t="s">
        <v>639</v>
      </c>
      <c r="E159">
        <v>220.65000000000003</v>
      </c>
    </row>
    <row r="160" spans="4:5" x14ac:dyDescent="0.3">
      <c r="D160" t="s">
        <v>448</v>
      </c>
      <c r="E160">
        <v>47.32</v>
      </c>
    </row>
    <row r="161" spans="4:5" x14ac:dyDescent="0.3">
      <c r="D161" t="s">
        <v>747</v>
      </c>
      <c r="E161">
        <v>96.899999999999991</v>
      </c>
    </row>
    <row r="162" spans="4:5" x14ac:dyDescent="0.3">
      <c r="D162" t="s">
        <v>209</v>
      </c>
      <c r="E162">
        <v>13.56</v>
      </c>
    </row>
    <row r="163" spans="4:5" x14ac:dyDescent="0.3">
      <c r="D163" t="s">
        <v>591</v>
      </c>
      <c r="E163">
        <v>57.269999999999996</v>
      </c>
    </row>
    <row r="164" spans="4:5" x14ac:dyDescent="0.3">
      <c r="D164" t="s">
        <v>176</v>
      </c>
      <c r="E164">
        <v>16.940000000000001</v>
      </c>
    </row>
    <row r="165" spans="4:5" x14ac:dyDescent="0.3">
      <c r="D165" t="s">
        <v>729</v>
      </c>
      <c r="E165">
        <v>135.56</v>
      </c>
    </row>
    <row r="166" spans="4:5" x14ac:dyDescent="0.3">
      <c r="D166" t="s">
        <v>721</v>
      </c>
      <c r="E166">
        <v>101.67</v>
      </c>
    </row>
    <row r="167" spans="4:5" x14ac:dyDescent="0.3">
      <c r="D167" t="s">
        <v>203</v>
      </c>
      <c r="E167">
        <v>118.08</v>
      </c>
    </row>
    <row r="168" spans="4:5" x14ac:dyDescent="0.3">
      <c r="D168" t="s">
        <v>159</v>
      </c>
      <c r="E168">
        <v>13.58</v>
      </c>
    </row>
    <row r="169" spans="4:5" x14ac:dyDescent="0.3">
      <c r="D169" t="s">
        <v>780</v>
      </c>
      <c r="E169">
        <v>13.58</v>
      </c>
    </row>
    <row r="170" spans="4:5" x14ac:dyDescent="0.3">
      <c r="D170" t="s">
        <v>708</v>
      </c>
      <c r="E170">
        <v>319.20000000000005</v>
      </c>
    </row>
    <row r="171" spans="4:5" x14ac:dyDescent="0.3">
      <c r="D171" t="s">
        <v>696</v>
      </c>
      <c r="E171">
        <v>191.52</v>
      </c>
    </row>
    <row r="172" spans="4:5" x14ac:dyDescent="0.3">
      <c r="D172" t="s">
        <v>703</v>
      </c>
      <c r="E172">
        <v>63.84</v>
      </c>
    </row>
    <row r="173" spans="4:5" x14ac:dyDescent="0.3">
      <c r="D173" t="s">
        <v>699</v>
      </c>
      <c r="E173">
        <v>255.36</v>
      </c>
    </row>
    <row r="174" spans="4:5" x14ac:dyDescent="0.3">
      <c r="D174" t="s">
        <v>705</v>
      </c>
      <c r="E174">
        <v>113.45</v>
      </c>
    </row>
    <row r="175" spans="4:5" x14ac:dyDescent="0.3">
      <c r="D175" t="s">
        <v>701</v>
      </c>
      <c r="E175">
        <v>63.84</v>
      </c>
    </row>
    <row r="176" spans="4:5" x14ac:dyDescent="0.3">
      <c r="D176" t="s">
        <v>433</v>
      </c>
      <c r="E176">
        <v>83.03</v>
      </c>
    </row>
    <row r="177" spans="4:5" x14ac:dyDescent="0.3">
      <c r="D177" t="s">
        <v>267</v>
      </c>
      <c r="E177">
        <v>15.99</v>
      </c>
    </row>
    <row r="178" spans="4:5" x14ac:dyDescent="0.3">
      <c r="D178" t="s">
        <v>374</v>
      </c>
      <c r="E178">
        <v>32.299999999999997</v>
      </c>
    </row>
    <row r="179" spans="4:5" x14ac:dyDescent="0.3">
      <c r="D179" t="s">
        <v>106</v>
      </c>
      <c r="E179">
        <v>181.84</v>
      </c>
    </row>
    <row r="180" spans="4:5" x14ac:dyDescent="0.3">
      <c r="D180" t="s">
        <v>104</v>
      </c>
      <c r="E180">
        <v>169.54</v>
      </c>
    </row>
    <row r="181" spans="4:5" x14ac:dyDescent="0.3">
      <c r="D181" t="s">
        <v>254</v>
      </c>
      <c r="E181">
        <v>133.26</v>
      </c>
    </row>
    <row r="182" spans="4:5" x14ac:dyDescent="0.3">
      <c r="D182" t="s">
        <v>918</v>
      </c>
      <c r="E182">
        <v>267.76</v>
      </c>
    </row>
    <row r="183" spans="4:5" x14ac:dyDescent="0.3">
      <c r="D183" t="s">
        <v>414</v>
      </c>
      <c r="E183">
        <v>72.7</v>
      </c>
    </row>
    <row r="184" spans="4:5" x14ac:dyDescent="0.3">
      <c r="D184" t="s">
        <v>397</v>
      </c>
      <c r="E184">
        <v>100.08</v>
      </c>
    </row>
    <row r="185" spans="4:5" x14ac:dyDescent="0.3">
      <c r="D185" t="s">
        <v>400</v>
      </c>
      <c r="E185">
        <v>62.22</v>
      </c>
    </row>
    <row r="186" spans="4:5" x14ac:dyDescent="0.3">
      <c r="D186" t="s">
        <v>246</v>
      </c>
      <c r="E186">
        <v>116.9</v>
      </c>
    </row>
    <row r="187" spans="4:5" x14ac:dyDescent="0.3">
      <c r="D187" t="s">
        <v>80</v>
      </c>
      <c r="E187">
        <v>126.84</v>
      </c>
    </row>
    <row r="188" spans="4:5" x14ac:dyDescent="0.3">
      <c r="D188" t="s">
        <v>872</v>
      </c>
      <c r="E188">
        <v>106.5</v>
      </c>
    </row>
    <row r="189" spans="4:5" x14ac:dyDescent="0.3">
      <c r="D189" t="s">
        <v>366</v>
      </c>
      <c r="E189">
        <v>23.68</v>
      </c>
    </row>
    <row r="190" spans="4:5" x14ac:dyDescent="0.3">
      <c r="D190" t="s">
        <v>84</v>
      </c>
      <c r="E190">
        <v>41.95</v>
      </c>
    </row>
    <row r="191" spans="4:5" x14ac:dyDescent="0.3">
      <c r="D191" t="s">
        <v>86</v>
      </c>
      <c r="E191">
        <v>10.39</v>
      </c>
    </row>
    <row r="192" spans="4:5" x14ac:dyDescent="0.3">
      <c r="D192" t="s">
        <v>223</v>
      </c>
      <c r="E192">
        <v>130.26</v>
      </c>
    </row>
    <row r="193" spans="4:5" x14ac:dyDescent="0.3">
      <c r="D193" t="s">
        <v>298</v>
      </c>
      <c r="E193">
        <v>84.85</v>
      </c>
    </row>
    <row r="194" spans="4:5" x14ac:dyDescent="0.3">
      <c r="D194" t="s">
        <v>146</v>
      </c>
      <c r="E194">
        <v>30.74</v>
      </c>
    </row>
    <row r="195" spans="4:5" x14ac:dyDescent="0.3">
      <c r="D195" t="s">
        <v>236</v>
      </c>
      <c r="E195">
        <v>20.13</v>
      </c>
    </row>
    <row r="196" spans="4:5" x14ac:dyDescent="0.3">
      <c r="D196" t="s">
        <v>988</v>
      </c>
      <c r="E196">
        <v>17.5</v>
      </c>
    </row>
    <row r="197" spans="4:5" x14ac:dyDescent="0.3">
      <c r="D197" t="s">
        <v>894</v>
      </c>
      <c r="E197">
        <v>389.04</v>
      </c>
    </row>
    <row r="198" spans="4:5" x14ac:dyDescent="0.3">
      <c r="D198" t="s">
        <v>828</v>
      </c>
      <c r="E198">
        <v>601.46</v>
      </c>
    </row>
    <row r="199" spans="4:5" x14ac:dyDescent="0.3">
      <c r="D199" t="s">
        <v>182</v>
      </c>
      <c r="E199">
        <v>588.95000000000005</v>
      </c>
    </row>
    <row r="200" spans="4:5" x14ac:dyDescent="0.3">
      <c r="D200" t="s">
        <v>352</v>
      </c>
      <c r="E200">
        <v>264.63</v>
      </c>
    </row>
    <row r="201" spans="4:5" x14ac:dyDescent="0.3">
      <c r="D201" t="s">
        <v>711</v>
      </c>
      <c r="E201">
        <v>219.42000000000002</v>
      </c>
    </row>
    <row r="202" spans="4:5" x14ac:dyDescent="0.3">
      <c r="D202" t="s">
        <v>713</v>
      </c>
      <c r="E202">
        <v>36.57</v>
      </c>
    </row>
    <row r="203" spans="4:5" x14ac:dyDescent="0.3">
      <c r="D203" t="s">
        <v>672</v>
      </c>
      <c r="E203">
        <v>47.75</v>
      </c>
    </row>
    <row r="204" spans="4:5" x14ac:dyDescent="0.3">
      <c r="D204" t="s">
        <v>981</v>
      </c>
      <c r="E204">
        <v>28.72</v>
      </c>
    </row>
    <row r="205" spans="4:5" x14ac:dyDescent="0.3">
      <c r="D205" t="s">
        <v>330</v>
      </c>
      <c r="E205">
        <v>8.36</v>
      </c>
    </row>
    <row r="206" spans="4:5" x14ac:dyDescent="0.3">
      <c r="D206" t="s">
        <v>263</v>
      </c>
      <c r="E206">
        <v>365.64</v>
      </c>
    </row>
    <row r="207" spans="4:5" x14ac:dyDescent="0.3">
      <c r="D207" t="s">
        <v>773</v>
      </c>
      <c r="E207">
        <v>65.86</v>
      </c>
    </row>
    <row r="208" spans="4:5" x14ac:dyDescent="0.3">
      <c r="D208" t="s">
        <v>771</v>
      </c>
      <c r="E208">
        <v>67.27000000000001</v>
      </c>
    </row>
    <row r="209" spans="4:5" x14ac:dyDescent="0.3">
      <c r="D209" t="s">
        <v>137</v>
      </c>
      <c r="E209">
        <v>61.62</v>
      </c>
    </row>
    <row r="210" spans="4:5" x14ac:dyDescent="0.3">
      <c r="D210" t="s">
        <v>469</v>
      </c>
      <c r="E210">
        <v>64.84</v>
      </c>
    </row>
    <row r="211" spans="4:5" x14ac:dyDescent="0.3">
      <c r="D211" t="s">
        <v>261</v>
      </c>
      <c r="E211">
        <v>208.64999999999998</v>
      </c>
    </row>
    <row r="212" spans="4:5" x14ac:dyDescent="0.3">
      <c r="D212" t="s">
        <v>274</v>
      </c>
      <c r="E212">
        <v>107</v>
      </c>
    </row>
    <row r="213" spans="4:5" x14ac:dyDescent="0.3">
      <c r="D213" t="s">
        <v>290</v>
      </c>
      <c r="E213">
        <v>25.48</v>
      </c>
    </row>
    <row r="214" spans="4:5" x14ac:dyDescent="0.3">
      <c r="D214" t="s">
        <v>325</v>
      </c>
      <c r="E214">
        <v>81.239999999999995</v>
      </c>
    </row>
    <row r="215" spans="4:5" x14ac:dyDescent="0.3">
      <c r="D215" t="s">
        <v>225</v>
      </c>
      <c r="E215">
        <v>126.72</v>
      </c>
    </row>
    <row r="216" spans="4:5" x14ac:dyDescent="0.3">
      <c r="D216" t="s">
        <v>986</v>
      </c>
      <c r="E216">
        <v>38.72</v>
      </c>
    </row>
    <row r="217" spans="4:5" x14ac:dyDescent="0.3">
      <c r="D217" t="s">
        <v>626</v>
      </c>
      <c r="E217">
        <v>88.77</v>
      </c>
    </row>
    <row r="218" spans="4:5" x14ac:dyDescent="0.3">
      <c r="D218" t="s">
        <v>861</v>
      </c>
      <c r="E218">
        <v>98.26</v>
      </c>
    </row>
    <row r="219" spans="4:5" x14ac:dyDescent="0.3">
      <c r="D219" t="s">
        <v>458</v>
      </c>
      <c r="E219">
        <v>51.56</v>
      </c>
    </row>
    <row r="220" spans="4:5" x14ac:dyDescent="0.3">
      <c r="D220" t="s">
        <v>826</v>
      </c>
      <c r="E220">
        <v>115.35</v>
      </c>
    </row>
    <row r="221" spans="4:5" x14ac:dyDescent="0.3">
      <c r="D221" t="s">
        <v>818</v>
      </c>
      <c r="E221">
        <v>107.11</v>
      </c>
    </row>
    <row r="222" spans="4:5" x14ac:dyDescent="0.3">
      <c r="D222" t="s">
        <v>820</v>
      </c>
      <c r="E222">
        <v>72.69</v>
      </c>
    </row>
    <row r="223" spans="4:5" x14ac:dyDescent="0.3">
      <c r="D223" t="s">
        <v>824</v>
      </c>
      <c r="E223">
        <v>119.75</v>
      </c>
    </row>
    <row r="224" spans="4:5" x14ac:dyDescent="0.3">
      <c r="D224" t="s">
        <v>294</v>
      </c>
      <c r="E224">
        <v>19.62</v>
      </c>
    </row>
    <row r="225" spans="4:5" x14ac:dyDescent="0.3">
      <c r="D225" t="s">
        <v>197</v>
      </c>
      <c r="E225">
        <v>80.28</v>
      </c>
    </row>
    <row r="226" spans="4:5" x14ac:dyDescent="0.3">
      <c r="D226" t="s">
        <v>179</v>
      </c>
      <c r="E226">
        <v>11.91</v>
      </c>
    </row>
    <row r="227" spans="4:5" x14ac:dyDescent="0.3">
      <c r="D227" t="s">
        <v>395</v>
      </c>
      <c r="E227">
        <v>12.82</v>
      </c>
    </row>
    <row r="228" spans="4:5" x14ac:dyDescent="0.3">
      <c r="D228" t="s">
        <v>830</v>
      </c>
      <c r="E228">
        <v>16.88</v>
      </c>
    </row>
    <row r="229" spans="4:5" x14ac:dyDescent="0.3">
      <c r="D229" t="s">
        <v>292</v>
      </c>
      <c r="E229">
        <v>16.809999999999999</v>
      </c>
    </row>
    <row r="230" spans="4:5" x14ac:dyDescent="0.3">
      <c r="D230" t="s">
        <v>800</v>
      </c>
      <c r="E230">
        <v>62.37</v>
      </c>
    </row>
    <row r="231" spans="4:5" x14ac:dyDescent="0.3">
      <c r="D231" t="s">
        <v>556</v>
      </c>
      <c r="E231">
        <v>53.46</v>
      </c>
    </row>
    <row r="232" spans="4:5" x14ac:dyDescent="0.3">
      <c r="D232" t="s">
        <v>28</v>
      </c>
      <c r="E232">
        <v>38.25</v>
      </c>
    </row>
    <row r="233" spans="4:5" x14ac:dyDescent="0.3">
      <c r="D233" t="s">
        <v>32</v>
      </c>
      <c r="E233">
        <v>76.5</v>
      </c>
    </row>
    <row r="234" spans="4:5" x14ac:dyDescent="0.3">
      <c r="D234" t="s">
        <v>450</v>
      </c>
      <c r="E234">
        <v>81.94</v>
      </c>
    </row>
    <row r="235" spans="4:5" x14ac:dyDescent="0.3">
      <c r="D235" t="s">
        <v>693</v>
      </c>
      <c r="E235">
        <v>88.08</v>
      </c>
    </row>
    <row r="236" spans="4:5" x14ac:dyDescent="0.3">
      <c r="D236" t="s">
        <v>690</v>
      </c>
      <c r="E236">
        <v>66.33</v>
      </c>
    </row>
    <row r="237" spans="4:5" x14ac:dyDescent="0.3">
      <c r="D237" t="s">
        <v>683</v>
      </c>
      <c r="E237">
        <v>127.1</v>
      </c>
    </row>
    <row r="238" spans="4:5" x14ac:dyDescent="0.3">
      <c r="D238" t="s">
        <v>686</v>
      </c>
      <c r="E238">
        <v>509.40999999999997</v>
      </c>
    </row>
    <row r="239" spans="4:5" x14ac:dyDescent="0.3">
      <c r="D239" t="s">
        <v>754</v>
      </c>
      <c r="E239">
        <v>70.97</v>
      </c>
    </row>
    <row r="240" spans="4:5" x14ac:dyDescent="0.3">
      <c r="D240" t="s">
        <v>444</v>
      </c>
      <c r="E240">
        <v>35.08</v>
      </c>
    </row>
    <row r="241" spans="4:5" x14ac:dyDescent="0.3">
      <c r="D241" t="s">
        <v>502</v>
      </c>
      <c r="E241">
        <v>588.06000000000006</v>
      </c>
    </row>
    <row r="242" spans="4:5" x14ac:dyDescent="0.3">
      <c r="D242" t="s">
        <v>99</v>
      </c>
      <c r="E242">
        <v>53.820000000000007</v>
      </c>
    </row>
    <row r="243" spans="4:5" x14ac:dyDescent="0.3">
      <c r="D243" t="s">
        <v>102</v>
      </c>
      <c r="E243">
        <v>38.630000000000003</v>
      </c>
    </row>
    <row r="244" spans="4:5" x14ac:dyDescent="0.3">
      <c r="D244" t="s">
        <v>287</v>
      </c>
      <c r="E244">
        <v>51.49</v>
      </c>
    </row>
    <row r="245" spans="4:5" x14ac:dyDescent="0.3">
      <c r="D245" t="s">
        <v>888</v>
      </c>
      <c r="E245">
        <v>116.64999999999999</v>
      </c>
    </row>
    <row r="246" spans="4:5" x14ac:dyDescent="0.3">
      <c r="D246" t="s">
        <v>91</v>
      </c>
      <c r="E246">
        <v>173.08</v>
      </c>
    </row>
    <row r="247" spans="4:5" x14ac:dyDescent="0.3">
      <c r="D247" t="s">
        <v>93</v>
      </c>
      <c r="E247">
        <v>923.12</v>
      </c>
    </row>
    <row r="248" spans="4:5" x14ac:dyDescent="0.3">
      <c r="D248" t="s">
        <v>857</v>
      </c>
      <c r="E248">
        <v>97.02</v>
      </c>
    </row>
    <row r="249" spans="4:5" x14ac:dyDescent="0.3">
      <c r="D249" t="s">
        <v>307</v>
      </c>
      <c r="E249">
        <v>186.70000000000002</v>
      </c>
    </row>
    <row r="250" spans="4:5" x14ac:dyDescent="0.3">
      <c r="D250" t="s">
        <v>719</v>
      </c>
      <c r="E250">
        <v>49.84</v>
      </c>
    </row>
    <row r="251" spans="4:5" x14ac:dyDescent="0.3">
      <c r="D251" t="s">
        <v>570</v>
      </c>
      <c r="E251">
        <v>103.08</v>
      </c>
    </row>
    <row r="252" spans="4:5" x14ac:dyDescent="0.3">
      <c r="D252" t="s">
        <v>220</v>
      </c>
      <c r="E252">
        <v>55.76</v>
      </c>
    </row>
    <row r="253" spans="4:5" x14ac:dyDescent="0.3">
      <c r="D253" t="s">
        <v>524</v>
      </c>
      <c r="E253">
        <v>53.96</v>
      </c>
    </row>
    <row r="254" spans="4:5" x14ac:dyDescent="0.3">
      <c r="D254" t="s">
        <v>928</v>
      </c>
      <c r="E254">
        <v>109.28</v>
      </c>
    </row>
    <row r="255" spans="4:5" x14ac:dyDescent="0.3">
      <c r="D255" t="s">
        <v>926</v>
      </c>
      <c r="E255">
        <v>53.96</v>
      </c>
    </row>
    <row r="256" spans="4:5" x14ac:dyDescent="0.3">
      <c r="D256" t="s">
        <v>924</v>
      </c>
      <c r="E256">
        <v>254.1</v>
      </c>
    </row>
    <row r="257" spans="4:5" x14ac:dyDescent="0.3">
      <c r="D257" t="s">
        <v>211</v>
      </c>
      <c r="E257">
        <v>139.64999999999998</v>
      </c>
    </row>
    <row r="258" spans="4:5" x14ac:dyDescent="0.3">
      <c r="D258" t="s">
        <v>964</v>
      </c>
      <c r="E258">
        <v>184.95000000000002</v>
      </c>
    </row>
    <row r="259" spans="4:5" x14ac:dyDescent="0.3">
      <c r="D259" t="s">
        <v>55</v>
      </c>
      <c r="E259">
        <v>220.64999999999998</v>
      </c>
    </row>
    <row r="260" spans="4:5" x14ac:dyDescent="0.3">
      <c r="D260" t="s">
        <v>416</v>
      </c>
      <c r="E260">
        <v>278.88000000000005</v>
      </c>
    </row>
    <row r="261" spans="4:5" x14ac:dyDescent="0.3">
      <c r="D261" t="s">
        <v>508</v>
      </c>
      <c r="E261">
        <v>54.03</v>
      </c>
    </row>
    <row r="262" spans="4:5" x14ac:dyDescent="0.3">
      <c r="D262" t="s">
        <v>500</v>
      </c>
      <c r="E262">
        <v>104.7</v>
      </c>
    </row>
    <row r="263" spans="4:5" x14ac:dyDescent="0.3">
      <c r="D263" t="s">
        <v>265</v>
      </c>
      <c r="E263">
        <v>52.64</v>
      </c>
    </row>
    <row r="264" spans="4:5" x14ac:dyDescent="0.3">
      <c r="D264" t="s">
        <v>971</v>
      </c>
      <c r="E264">
        <v>15.330000000000002</v>
      </c>
    </row>
    <row r="265" spans="4:5" x14ac:dyDescent="0.3">
      <c r="D265" t="s">
        <v>38</v>
      </c>
      <c r="E265">
        <v>61.42</v>
      </c>
    </row>
    <row r="266" spans="4:5" x14ac:dyDescent="0.3">
      <c r="D266" t="s">
        <v>992</v>
      </c>
      <c r="E266">
        <v>84.16</v>
      </c>
    </row>
    <row r="267" spans="4:5" x14ac:dyDescent="0.3">
      <c r="D267" t="s">
        <v>723</v>
      </c>
      <c r="E267">
        <v>96.99</v>
      </c>
    </row>
    <row r="268" spans="4:5" x14ac:dyDescent="0.3">
      <c r="D268" t="s">
        <v>213</v>
      </c>
      <c r="E268">
        <v>66.989999999999995</v>
      </c>
    </row>
    <row r="269" spans="4:5" x14ac:dyDescent="0.3">
      <c r="D269" t="s">
        <v>531</v>
      </c>
      <c r="E269">
        <v>57.09</v>
      </c>
    </row>
    <row r="270" spans="4:5" x14ac:dyDescent="0.3">
      <c r="D270" t="s">
        <v>356</v>
      </c>
      <c r="E270">
        <v>14.62</v>
      </c>
    </row>
    <row r="271" spans="4:5" x14ac:dyDescent="0.3">
      <c r="D271" t="s">
        <v>227</v>
      </c>
      <c r="E271">
        <v>55.52</v>
      </c>
    </row>
    <row r="272" spans="4:5" x14ac:dyDescent="0.3">
      <c r="D272" t="s">
        <v>886</v>
      </c>
      <c r="E272">
        <v>399.4</v>
      </c>
    </row>
    <row r="273" spans="4:5" x14ac:dyDescent="0.3">
      <c r="D273" t="s">
        <v>285</v>
      </c>
      <c r="E273">
        <v>106.34</v>
      </c>
    </row>
    <row r="274" spans="4:5" x14ac:dyDescent="0.3">
      <c r="D274" t="s">
        <v>124</v>
      </c>
      <c r="E274">
        <v>108.34</v>
      </c>
    </row>
    <row r="275" spans="4:5" x14ac:dyDescent="0.3">
      <c r="D275" t="s">
        <v>119</v>
      </c>
      <c r="E275">
        <v>108.34</v>
      </c>
    </row>
    <row r="276" spans="4:5" x14ac:dyDescent="0.3">
      <c r="D276" t="s">
        <v>665</v>
      </c>
      <c r="E276">
        <v>53.17</v>
      </c>
    </row>
    <row r="277" spans="4:5" x14ac:dyDescent="0.3">
      <c r="D277" t="s">
        <v>493</v>
      </c>
      <c r="E277">
        <v>53.17</v>
      </c>
    </row>
    <row r="278" spans="4:5" x14ac:dyDescent="0.3">
      <c r="D278" t="s">
        <v>667</v>
      </c>
      <c r="E278">
        <v>159.51</v>
      </c>
    </row>
    <row r="279" spans="4:5" x14ac:dyDescent="0.3">
      <c r="D279" t="s">
        <v>527</v>
      </c>
      <c r="E279">
        <v>23.36</v>
      </c>
    </row>
    <row r="280" spans="4:5" x14ac:dyDescent="0.3">
      <c r="D280" t="s">
        <v>479</v>
      </c>
      <c r="E280">
        <v>77.12</v>
      </c>
    </row>
    <row r="281" spans="4:5" x14ac:dyDescent="0.3">
      <c r="D281" t="s">
        <v>741</v>
      </c>
      <c r="E281">
        <v>49.8</v>
      </c>
    </row>
    <row r="282" spans="4:5" x14ac:dyDescent="0.3">
      <c r="D282" t="s">
        <v>622</v>
      </c>
      <c r="E282">
        <v>16.11</v>
      </c>
    </row>
    <row r="283" spans="4:5" x14ac:dyDescent="0.3">
      <c r="D283" t="s">
        <v>617</v>
      </c>
      <c r="E283">
        <v>66.72</v>
      </c>
    </row>
    <row r="284" spans="4:5" x14ac:dyDescent="0.3">
      <c r="D284" t="s">
        <v>611</v>
      </c>
      <c r="E284">
        <v>285.15999999999997</v>
      </c>
    </row>
    <row r="285" spans="4:5" x14ac:dyDescent="0.3">
      <c r="D285" t="s">
        <v>20</v>
      </c>
      <c r="E285">
        <v>200.64</v>
      </c>
    </row>
    <row r="286" spans="4:5" x14ac:dyDescent="0.3">
      <c r="D286" t="s">
        <v>455</v>
      </c>
      <c r="E286">
        <v>29.09</v>
      </c>
    </row>
    <row r="287" spans="4:5" x14ac:dyDescent="0.3">
      <c r="D287" t="s">
        <v>442</v>
      </c>
      <c r="E287">
        <v>220.02</v>
      </c>
    </row>
    <row r="288" spans="4:5" x14ac:dyDescent="0.3">
      <c r="D288" t="s">
        <v>280</v>
      </c>
      <c r="E288">
        <v>55.56</v>
      </c>
    </row>
    <row r="289" spans="4:5" x14ac:dyDescent="0.3">
      <c r="D289" t="s">
        <v>959</v>
      </c>
      <c r="E289">
        <v>188.16000000000003</v>
      </c>
    </row>
    <row r="290" spans="4:5" x14ac:dyDescent="0.3">
      <c r="D290" t="s">
        <v>48</v>
      </c>
      <c r="E290">
        <v>519.42000000000007</v>
      </c>
    </row>
    <row r="291" spans="4:5" x14ac:dyDescent="0.3">
      <c r="D291" t="s">
        <v>513</v>
      </c>
      <c r="E291">
        <v>223.17000000000002</v>
      </c>
    </row>
    <row r="292" spans="4:5" x14ac:dyDescent="0.3">
      <c r="D292" t="s">
        <v>969</v>
      </c>
      <c r="E292">
        <v>3.23</v>
      </c>
    </row>
    <row r="293" spans="4:5" x14ac:dyDescent="0.3">
      <c r="D293" t="s">
        <v>844</v>
      </c>
      <c r="E293">
        <v>233.62</v>
      </c>
    </row>
    <row r="294" spans="4:5" x14ac:dyDescent="0.3">
      <c r="D294" t="s">
        <v>848</v>
      </c>
      <c r="E294">
        <v>130.91999999999999</v>
      </c>
    </row>
    <row r="295" spans="4:5" x14ac:dyDescent="0.3">
      <c r="D295" t="s">
        <v>846</v>
      </c>
      <c r="E295">
        <v>64.709999999999994</v>
      </c>
    </row>
    <row r="296" spans="4:5" x14ac:dyDescent="0.3">
      <c r="D296" t="s">
        <v>727</v>
      </c>
      <c r="E296">
        <v>109.05</v>
      </c>
    </row>
    <row r="297" spans="4:5" x14ac:dyDescent="0.3">
      <c r="D297" t="s">
        <v>43</v>
      </c>
      <c r="E297">
        <v>28.24</v>
      </c>
    </row>
    <row r="298" spans="4:5" x14ac:dyDescent="0.3">
      <c r="D298" t="s">
        <v>303</v>
      </c>
      <c r="E298">
        <v>16.47</v>
      </c>
    </row>
    <row r="299" spans="4:5" x14ac:dyDescent="0.3">
      <c r="D299" t="s">
        <v>328</v>
      </c>
      <c r="E299">
        <v>22.71</v>
      </c>
    </row>
    <row r="300" spans="4:5" x14ac:dyDescent="0.3">
      <c r="D300" t="s">
        <v>676</v>
      </c>
      <c r="E300">
        <v>221.8</v>
      </c>
    </row>
    <row r="301" spans="4:5" x14ac:dyDescent="0.3">
      <c r="D301" t="s">
        <v>334</v>
      </c>
      <c r="E301">
        <v>163.62</v>
      </c>
    </row>
    <row r="302" spans="4:5" x14ac:dyDescent="0.3">
      <c r="D302" t="s">
        <v>278</v>
      </c>
      <c r="E302">
        <v>225</v>
      </c>
    </row>
    <row r="303" spans="4:5" x14ac:dyDescent="0.3">
      <c r="D303" t="s">
        <v>127</v>
      </c>
      <c r="E303">
        <v>269.39999999999998</v>
      </c>
    </row>
    <row r="304" spans="4:5" x14ac:dyDescent="0.3">
      <c r="D304" t="s">
        <v>121</v>
      </c>
      <c r="E304">
        <v>62.94</v>
      </c>
    </row>
    <row r="305" spans="4:5" x14ac:dyDescent="0.3">
      <c r="D305" t="s">
        <v>165</v>
      </c>
      <c r="E305">
        <v>219.08</v>
      </c>
    </row>
    <row r="306" spans="4:5" x14ac:dyDescent="0.3">
      <c r="D306" t="s">
        <v>659</v>
      </c>
      <c r="E306">
        <v>381.57</v>
      </c>
    </row>
    <row r="307" spans="4:5" x14ac:dyDescent="0.3">
      <c r="D307" t="s">
        <v>362</v>
      </c>
      <c r="E307">
        <v>84.22</v>
      </c>
    </row>
    <row r="308" spans="4:5" x14ac:dyDescent="0.3">
      <c r="D308" t="s">
        <v>595</v>
      </c>
      <c r="E308">
        <v>31.66</v>
      </c>
    </row>
    <row r="309" spans="4:5" x14ac:dyDescent="0.3">
      <c r="D309" t="s">
        <v>188</v>
      </c>
      <c r="E309">
        <v>94.98</v>
      </c>
    </row>
    <row r="310" spans="4:5" x14ac:dyDescent="0.3">
      <c r="D310" t="s">
        <v>190</v>
      </c>
      <c r="E310">
        <v>99.98</v>
      </c>
    </row>
    <row r="311" spans="4:5" x14ac:dyDescent="0.3">
      <c r="D311" t="s">
        <v>518</v>
      </c>
      <c r="E311">
        <v>47.480000000000004</v>
      </c>
    </row>
    <row r="312" spans="4:5" x14ac:dyDescent="0.3">
      <c r="D312" t="s">
        <v>551</v>
      </c>
      <c r="E312">
        <v>102.66</v>
      </c>
    </row>
    <row r="313" spans="4:5" x14ac:dyDescent="0.3">
      <c r="D313" t="s">
        <v>549</v>
      </c>
      <c r="E313">
        <v>83</v>
      </c>
    </row>
    <row r="314" spans="4:5" x14ac:dyDescent="0.3">
      <c r="D314" t="s">
        <v>547</v>
      </c>
      <c r="E314">
        <v>41.5</v>
      </c>
    </row>
    <row r="315" spans="4:5" x14ac:dyDescent="0.3">
      <c r="D315" t="s">
        <v>756</v>
      </c>
      <c r="E315">
        <v>155.12</v>
      </c>
    </row>
    <row r="316" spans="4:5" x14ac:dyDescent="0.3">
      <c r="D316" t="s">
        <v>256</v>
      </c>
      <c r="E316">
        <v>26.98</v>
      </c>
    </row>
    <row r="317" spans="4:5" x14ac:dyDescent="0.3">
      <c r="D317" t="s">
        <v>149</v>
      </c>
      <c r="E317">
        <v>116.46</v>
      </c>
    </row>
    <row r="318" spans="4:5" x14ac:dyDescent="0.3">
      <c r="D318" t="s">
        <v>1092</v>
      </c>
    </row>
    <row r="319" spans="4:5" x14ac:dyDescent="0.3">
      <c r="D319" t="s">
        <v>1016</v>
      </c>
      <c r="E319">
        <v>39697.210000000021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"/>
  <sheetViews>
    <sheetView workbookViewId="0">
      <pane ySplit="1" topLeftCell="A12" activePane="bottomLeft" state="frozen"/>
      <selection pane="bottomLeft" activeCell="A23" sqref="A23"/>
    </sheetView>
  </sheetViews>
  <sheetFormatPr defaultColWidth="14.44140625" defaultRowHeight="15" customHeight="1" x14ac:dyDescent="0.3"/>
  <cols>
    <col min="1" max="1" width="10.6640625" bestFit="1" customWidth="1"/>
    <col min="2" max="2" width="20.5546875" bestFit="1" customWidth="1"/>
    <col min="3" max="3" width="14" bestFit="1" customWidth="1"/>
    <col min="4" max="4" width="16.88671875" bestFit="1" customWidth="1"/>
    <col min="5" max="5" width="34.44140625" bestFit="1" customWidth="1"/>
    <col min="6" max="6" width="13" bestFit="1" customWidth="1"/>
    <col min="7" max="7" width="13.5546875" customWidth="1"/>
    <col min="8" max="8" width="8.6640625" customWidth="1"/>
    <col min="9" max="9" width="12.5546875" bestFit="1" customWidth="1"/>
    <col min="10" max="10" width="16" bestFit="1" customWidth="1"/>
    <col min="11" max="24" width="8.6640625" customWidth="1"/>
  </cols>
  <sheetData>
    <row r="1" spans="1:10" ht="14.25" customHeight="1" x14ac:dyDescent="0.3">
      <c r="A1" s="4" t="s">
        <v>4</v>
      </c>
      <c r="B1" s="4" t="s">
        <v>999</v>
      </c>
      <c r="C1" s="4" t="s">
        <v>1093</v>
      </c>
      <c r="D1" s="4" t="s">
        <v>1094</v>
      </c>
      <c r="E1" s="4" t="s">
        <v>1095</v>
      </c>
      <c r="F1" s="4" t="s">
        <v>1096</v>
      </c>
      <c r="G1" s="4" t="s">
        <v>1097</v>
      </c>
    </row>
    <row r="2" spans="1:10" ht="14.25" customHeight="1" x14ac:dyDescent="0.3">
      <c r="A2" s="2" t="s">
        <v>8</v>
      </c>
      <c r="B2" s="2" t="s">
        <v>1015</v>
      </c>
      <c r="C2" s="2" t="s">
        <v>1098</v>
      </c>
      <c r="D2" s="2" t="s">
        <v>1099</v>
      </c>
      <c r="E2" s="2" t="s">
        <v>1100</v>
      </c>
      <c r="F2" s="2" t="s">
        <v>1101</v>
      </c>
      <c r="G2" s="2" t="s">
        <v>1102</v>
      </c>
      <c r="I2" s="9" t="s">
        <v>1103</v>
      </c>
      <c r="J2" t="s">
        <v>1104</v>
      </c>
    </row>
    <row r="3" spans="1:10" ht="14.25" customHeight="1" x14ac:dyDescent="0.3">
      <c r="A3" s="2" t="s">
        <v>14</v>
      </c>
      <c r="B3" s="2" t="s">
        <v>1105</v>
      </c>
      <c r="C3" s="2" t="s">
        <v>1106</v>
      </c>
      <c r="D3" s="2" t="s">
        <v>1107</v>
      </c>
      <c r="E3" s="2" t="s">
        <v>1108</v>
      </c>
      <c r="F3" s="2" t="s">
        <v>1109</v>
      </c>
      <c r="G3" s="2" t="s">
        <v>1110</v>
      </c>
      <c r="I3" s="10" t="s">
        <v>1111</v>
      </c>
      <c r="J3">
        <v>8</v>
      </c>
    </row>
    <row r="4" spans="1:10" ht="14.25" customHeight="1" x14ac:dyDescent="0.3">
      <c r="A4" s="2" t="s">
        <v>18</v>
      </c>
      <c r="B4" s="2" t="s">
        <v>1112</v>
      </c>
      <c r="C4" s="2" t="s">
        <v>1113</v>
      </c>
      <c r="D4" s="2" t="s">
        <v>1114</v>
      </c>
      <c r="E4" s="2" t="s">
        <v>1115</v>
      </c>
      <c r="F4" s="2" t="s">
        <v>1116</v>
      </c>
      <c r="G4" s="2" t="s">
        <v>1117</v>
      </c>
      <c r="I4" s="10" t="s">
        <v>1118</v>
      </c>
      <c r="J4">
        <v>10</v>
      </c>
    </row>
    <row r="5" spans="1:10" ht="14.25" customHeight="1" x14ac:dyDescent="0.3">
      <c r="A5" s="2" t="s">
        <v>22</v>
      </c>
      <c r="B5" s="2" t="s">
        <v>1119</v>
      </c>
      <c r="C5" s="2" t="s">
        <v>1120</v>
      </c>
      <c r="D5" s="2" t="s">
        <v>1121</v>
      </c>
      <c r="E5" s="2" t="s">
        <v>1122</v>
      </c>
      <c r="F5" s="2" t="s">
        <v>1123</v>
      </c>
      <c r="G5" s="2" t="s">
        <v>1110</v>
      </c>
      <c r="I5" s="10" t="s">
        <v>1124</v>
      </c>
      <c r="J5">
        <v>13</v>
      </c>
    </row>
    <row r="6" spans="1:10" ht="14.25" customHeight="1" x14ac:dyDescent="0.3">
      <c r="A6" s="2" t="s">
        <v>26</v>
      </c>
      <c r="B6" s="2" t="s">
        <v>1071</v>
      </c>
      <c r="C6" s="2" t="s">
        <v>1125</v>
      </c>
      <c r="D6" s="2" t="s">
        <v>1126</v>
      </c>
      <c r="E6" s="2" t="s">
        <v>1127</v>
      </c>
      <c r="F6" s="2" t="s">
        <v>1128</v>
      </c>
      <c r="G6" s="2" t="s">
        <v>1129</v>
      </c>
      <c r="I6" s="10" t="s">
        <v>1130</v>
      </c>
      <c r="J6">
        <v>15</v>
      </c>
    </row>
    <row r="7" spans="1:10" ht="14.25" customHeight="1" x14ac:dyDescent="0.3">
      <c r="A7" s="2" t="s">
        <v>30</v>
      </c>
      <c r="B7" s="2" t="s">
        <v>1085</v>
      </c>
      <c r="C7" s="2" t="s">
        <v>1131</v>
      </c>
      <c r="D7" s="2" t="s">
        <v>1132</v>
      </c>
      <c r="E7" s="2" t="s">
        <v>1133</v>
      </c>
      <c r="F7" s="2" t="s">
        <v>1134</v>
      </c>
      <c r="G7" s="2" t="s">
        <v>1102</v>
      </c>
      <c r="I7" s="10" t="s">
        <v>1110</v>
      </c>
      <c r="J7">
        <v>7</v>
      </c>
    </row>
    <row r="8" spans="1:10" ht="14.25" customHeight="1" x14ac:dyDescent="0.3">
      <c r="A8" s="2" t="s">
        <v>36</v>
      </c>
      <c r="B8" s="2" t="s">
        <v>1135</v>
      </c>
      <c r="C8" s="2" t="s">
        <v>1136</v>
      </c>
      <c r="D8" s="2" t="s">
        <v>1137</v>
      </c>
      <c r="E8" s="2" t="s">
        <v>1138</v>
      </c>
      <c r="F8" s="2" t="s">
        <v>1139</v>
      </c>
      <c r="G8" s="2" t="s">
        <v>1130</v>
      </c>
      <c r="I8" s="10" t="s">
        <v>1129</v>
      </c>
      <c r="J8">
        <v>13</v>
      </c>
    </row>
    <row r="9" spans="1:10" ht="14.25" customHeight="1" x14ac:dyDescent="0.3">
      <c r="A9" s="2" t="s">
        <v>39</v>
      </c>
      <c r="B9" s="2" t="s">
        <v>1072</v>
      </c>
      <c r="C9" s="2" t="s">
        <v>1140</v>
      </c>
      <c r="D9" s="2" t="s">
        <v>1141</v>
      </c>
      <c r="E9" s="2" t="s">
        <v>1142</v>
      </c>
      <c r="F9" s="2" t="s">
        <v>1143</v>
      </c>
      <c r="G9" s="2" t="s">
        <v>1130</v>
      </c>
      <c r="I9" s="10" t="s">
        <v>1102</v>
      </c>
      <c r="J9">
        <v>19</v>
      </c>
    </row>
    <row r="10" spans="1:10" ht="14.25" customHeight="1" x14ac:dyDescent="0.3">
      <c r="A10" s="2" t="s">
        <v>66</v>
      </c>
      <c r="B10" s="2" t="s">
        <v>1018</v>
      </c>
      <c r="C10" s="2" t="s">
        <v>1144</v>
      </c>
      <c r="D10" s="2" t="s">
        <v>1145</v>
      </c>
      <c r="E10" s="2" t="s">
        <v>1146</v>
      </c>
      <c r="F10" s="2" t="s">
        <v>1147</v>
      </c>
      <c r="G10" s="2" t="s">
        <v>1130</v>
      </c>
      <c r="I10" s="10" t="s">
        <v>1117</v>
      </c>
      <c r="J10">
        <v>10</v>
      </c>
    </row>
    <row r="11" spans="1:10" ht="14.25" customHeight="1" x14ac:dyDescent="0.3">
      <c r="A11" s="2" t="s">
        <v>44</v>
      </c>
      <c r="B11" s="2" t="s">
        <v>1053</v>
      </c>
      <c r="C11" s="2" t="s">
        <v>1148</v>
      </c>
      <c r="D11" s="2" t="s">
        <v>1149</v>
      </c>
      <c r="E11" s="2" t="s">
        <v>1150</v>
      </c>
      <c r="F11" s="2" t="s">
        <v>1151</v>
      </c>
      <c r="G11" s="2" t="s">
        <v>1102</v>
      </c>
      <c r="I11" s="10" t="s">
        <v>1092</v>
      </c>
    </row>
    <row r="12" spans="1:10" ht="14.25" customHeight="1" x14ac:dyDescent="0.3">
      <c r="A12" s="2" t="s">
        <v>46</v>
      </c>
      <c r="B12" s="2" t="s">
        <v>1033</v>
      </c>
      <c r="C12" s="2" t="s">
        <v>1152</v>
      </c>
      <c r="D12" s="2" t="s">
        <v>1153</v>
      </c>
      <c r="E12" s="2" t="s">
        <v>1154</v>
      </c>
      <c r="F12" s="2" t="s">
        <v>1155</v>
      </c>
      <c r="G12" s="2" t="s">
        <v>1130</v>
      </c>
      <c r="I12" s="10" t="s">
        <v>1016</v>
      </c>
      <c r="J12">
        <v>95</v>
      </c>
    </row>
    <row r="13" spans="1:10" ht="14.25" customHeight="1" x14ac:dyDescent="0.3">
      <c r="A13" s="2" t="s">
        <v>50</v>
      </c>
      <c r="B13" s="2" t="s">
        <v>1058</v>
      </c>
      <c r="C13" s="2" t="s">
        <v>1156</v>
      </c>
      <c r="D13" s="2" t="s">
        <v>1157</v>
      </c>
      <c r="E13" s="2" t="s">
        <v>1158</v>
      </c>
      <c r="F13" s="2" t="s">
        <v>1159</v>
      </c>
      <c r="G13" s="2" t="s">
        <v>1117</v>
      </c>
    </row>
    <row r="14" spans="1:10" ht="14.25" customHeight="1" x14ac:dyDescent="0.3">
      <c r="A14" s="2" t="s">
        <v>1160</v>
      </c>
      <c r="B14" s="2" t="s">
        <v>1161</v>
      </c>
      <c r="C14" s="2" t="s">
        <v>1162</v>
      </c>
      <c r="D14" s="2" t="s">
        <v>1163</v>
      </c>
      <c r="E14" s="2" t="s">
        <v>1164</v>
      </c>
      <c r="F14" s="2" t="s">
        <v>1109</v>
      </c>
      <c r="G14" s="2" t="s">
        <v>1110</v>
      </c>
    </row>
    <row r="15" spans="1:10" ht="14.25" customHeight="1" x14ac:dyDescent="0.3">
      <c r="A15" s="2" t="s">
        <v>53</v>
      </c>
      <c r="B15" s="2" t="s">
        <v>1044</v>
      </c>
      <c r="C15" s="2" t="s">
        <v>1165</v>
      </c>
      <c r="D15" s="2" t="s">
        <v>1166</v>
      </c>
      <c r="E15" s="2" t="s">
        <v>1167</v>
      </c>
      <c r="F15" s="2" t="s">
        <v>1168</v>
      </c>
      <c r="G15" s="2" t="s">
        <v>1111</v>
      </c>
    </row>
    <row r="16" spans="1:10" ht="14.25" customHeight="1" x14ac:dyDescent="0.3">
      <c r="A16" s="2" t="s">
        <v>56</v>
      </c>
      <c r="B16" s="2" t="s">
        <v>1070</v>
      </c>
      <c r="C16" s="2" t="s">
        <v>1169</v>
      </c>
      <c r="D16" s="2" t="s">
        <v>1170</v>
      </c>
      <c r="E16" s="2" t="s">
        <v>1171</v>
      </c>
      <c r="F16" s="2" t="s">
        <v>1172</v>
      </c>
      <c r="G16" s="2" t="s">
        <v>1118</v>
      </c>
    </row>
    <row r="17" spans="1:7" ht="14.25" customHeight="1" x14ac:dyDescent="0.3">
      <c r="A17" s="2" t="s">
        <v>59</v>
      </c>
      <c r="B17" s="2" t="s">
        <v>1008</v>
      </c>
      <c r="C17" s="2" t="s">
        <v>1173</v>
      </c>
      <c r="D17" s="2" t="s">
        <v>1174</v>
      </c>
      <c r="E17" s="2" t="s">
        <v>1175</v>
      </c>
      <c r="F17" s="2" t="s">
        <v>1176</v>
      </c>
      <c r="G17" s="2" t="s">
        <v>1129</v>
      </c>
    </row>
    <row r="18" spans="1:7" ht="14.25" customHeight="1" x14ac:dyDescent="0.3">
      <c r="A18" s="2" t="s">
        <v>63</v>
      </c>
      <c r="B18" s="2" t="s">
        <v>1006</v>
      </c>
      <c r="C18" s="2" t="s">
        <v>1177</v>
      </c>
      <c r="D18" s="2" t="s">
        <v>1178</v>
      </c>
      <c r="E18" s="2" t="s">
        <v>1179</v>
      </c>
      <c r="F18" s="2" t="s">
        <v>1180</v>
      </c>
      <c r="G18" s="2" t="s">
        <v>1130</v>
      </c>
    </row>
    <row r="19" spans="1:7" ht="14.25" customHeight="1" x14ac:dyDescent="0.3">
      <c r="A19" s="2" t="s">
        <v>71</v>
      </c>
      <c r="B19" s="2" t="s">
        <v>1030</v>
      </c>
      <c r="C19" s="2" t="s">
        <v>1181</v>
      </c>
      <c r="D19" s="2" t="s">
        <v>1182</v>
      </c>
      <c r="E19" s="2" t="s">
        <v>1183</v>
      </c>
      <c r="F19" s="2" t="s">
        <v>1184</v>
      </c>
      <c r="G19" s="2" t="s">
        <v>1124</v>
      </c>
    </row>
    <row r="20" spans="1:7" ht="14.25" customHeight="1" x14ac:dyDescent="0.3">
      <c r="A20" s="2" t="s">
        <v>82</v>
      </c>
      <c r="B20" s="2" t="s">
        <v>1023</v>
      </c>
      <c r="C20" s="2" t="s">
        <v>1185</v>
      </c>
      <c r="D20" s="2" t="s">
        <v>1186</v>
      </c>
      <c r="E20" s="2" t="s">
        <v>1187</v>
      </c>
      <c r="F20" s="2" t="s">
        <v>1188</v>
      </c>
      <c r="G20" s="2" t="s">
        <v>1130</v>
      </c>
    </row>
    <row r="21" spans="1:7" ht="14.25" customHeight="1" x14ac:dyDescent="0.3">
      <c r="A21" s="2" t="s">
        <v>87</v>
      </c>
      <c r="B21" s="2" t="s">
        <v>1079</v>
      </c>
      <c r="C21" s="2" t="s">
        <v>1189</v>
      </c>
      <c r="D21" s="2" t="s">
        <v>1190</v>
      </c>
      <c r="E21" s="2" t="s">
        <v>1191</v>
      </c>
      <c r="F21" s="2" t="s">
        <v>1184</v>
      </c>
      <c r="G21" s="2" t="s">
        <v>1124</v>
      </c>
    </row>
    <row r="22" spans="1:7" ht="14.25" customHeight="1" x14ac:dyDescent="0.3">
      <c r="A22" s="2" t="s">
        <v>89</v>
      </c>
      <c r="B22" s="2" t="s">
        <v>1081</v>
      </c>
      <c r="C22" s="2" t="s">
        <v>1192</v>
      </c>
      <c r="D22" s="2" t="s">
        <v>1193</v>
      </c>
      <c r="E22" s="2" t="s">
        <v>1194</v>
      </c>
      <c r="F22" s="2" t="s">
        <v>1151</v>
      </c>
      <c r="G22" s="2" t="s">
        <v>1102</v>
      </c>
    </row>
    <row r="23" spans="1:7" ht="14.25" customHeight="1" x14ac:dyDescent="0.3">
      <c r="A23" s="2" t="s">
        <v>100</v>
      </c>
      <c r="B23" s="2" t="s">
        <v>1042</v>
      </c>
      <c r="C23" s="2" t="s">
        <v>1195</v>
      </c>
      <c r="D23" s="2" t="s">
        <v>1196</v>
      </c>
      <c r="E23" s="2" t="s">
        <v>1197</v>
      </c>
      <c r="F23" s="2" t="s">
        <v>1198</v>
      </c>
      <c r="G23" s="2" t="s">
        <v>1117</v>
      </c>
    </row>
    <row r="24" spans="1:7" ht="14.25" customHeight="1" x14ac:dyDescent="0.3">
      <c r="A24" s="2" t="s">
        <v>111</v>
      </c>
      <c r="B24" s="2" t="s">
        <v>1025</v>
      </c>
      <c r="C24" s="2" t="s">
        <v>1199</v>
      </c>
      <c r="D24" s="2" t="s">
        <v>1200</v>
      </c>
      <c r="E24" s="2" t="s">
        <v>1201</v>
      </c>
      <c r="F24" s="2" t="s">
        <v>1134</v>
      </c>
      <c r="G24" s="2" t="s">
        <v>1102</v>
      </c>
    </row>
    <row r="25" spans="1:7" ht="14.25" customHeight="1" x14ac:dyDescent="0.3">
      <c r="A25" s="2" t="s">
        <v>122</v>
      </c>
      <c r="B25" s="2" t="s">
        <v>1034</v>
      </c>
      <c r="C25" s="2" t="s">
        <v>1202</v>
      </c>
      <c r="D25" s="2" t="s">
        <v>1203</v>
      </c>
      <c r="E25" s="2" t="s">
        <v>1204</v>
      </c>
      <c r="F25" s="2" t="s">
        <v>1205</v>
      </c>
      <c r="G25" s="2" t="s">
        <v>1102</v>
      </c>
    </row>
    <row r="26" spans="1:7" ht="14.25" customHeight="1" x14ac:dyDescent="0.3">
      <c r="A26" s="2" t="s">
        <v>125</v>
      </c>
      <c r="B26" s="2" t="s">
        <v>1026</v>
      </c>
      <c r="C26" s="2" t="s">
        <v>1206</v>
      </c>
      <c r="D26" s="2" t="s">
        <v>1207</v>
      </c>
      <c r="E26" s="2" t="s">
        <v>1208</v>
      </c>
      <c r="F26" s="2" t="s">
        <v>1205</v>
      </c>
      <c r="G26" s="2" t="s">
        <v>1102</v>
      </c>
    </row>
    <row r="27" spans="1:7" ht="14.25" customHeight="1" x14ac:dyDescent="0.3">
      <c r="A27" s="2" t="s">
        <v>128</v>
      </c>
      <c r="B27" s="2" t="s">
        <v>1022</v>
      </c>
      <c r="C27" s="2" t="s">
        <v>1209</v>
      </c>
      <c r="D27" s="2" t="s">
        <v>1210</v>
      </c>
      <c r="E27" s="2" t="s">
        <v>1211</v>
      </c>
      <c r="F27" s="2" t="s">
        <v>1212</v>
      </c>
      <c r="G27" s="2" t="s">
        <v>1118</v>
      </c>
    </row>
    <row r="28" spans="1:7" ht="14.25" customHeight="1" x14ac:dyDescent="0.3">
      <c r="A28" s="2" t="s">
        <v>133</v>
      </c>
      <c r="B28" s="2" t="s">
        <v>1054</v>
      </c>
      <c r="C28" s="2" t="s">
        <v>1213</v>
      </c>
      <c r="D28" s="2" t="s">
        <v>1214</v>
      </c>
      <c r="E28" s="2" t="s">
        <v>1215</v>
      </c>
      <c r="F28" s="2" t="s">
        <v>1216</v>
      </c>
      <c r="G28" s="2" t="s">
        <v>1130</v>
      </c>
    </row>
    <row r="29" spans="1:7" ht="14.25" customHeight="1" x14ac:dyDescent="0.3">
      <c r="A29" s="2" t="s">
        <v>135</v>
      </c>
      <c r="B29" s="2" t="s">
        <v>1049</v>
      </c>
      <c r="C29" s="2" t="s">
        <v>1217</v>
      </c>
      <c r="D29" s="2" t="s">
        <v>1218</v>
      </c>
      <c r="E29" s="2" t="s">
        <v>1219</v>
      </c>
      <c r="F29" s="2" t="s">
        <v>1220</v>
      </c>
      <c r="G29" s="2" t="s">
        <v>1124</v>
      </c>
    </row>
    <row r="30" spans="1:7" ht="14.25" customHeight="1" x14ac:dyDescent="0.3">
      <c r="A30" s="2" t="s">
        <v>142</v>
      </c>
      <c r="B30" s="2" t="s">
        <v>1045</v>
      </c>
      <c r="C30" s="2" t="s">
        <v>1221</v>
      </c>
      <c r="D30" s="2" t="s">
        <v>1222</v>
      </c>
      <c r="E30" s="2" t="s">
        <v>1223</v>
      </c>
      <c r="F30" s="2" t="s">
        <v>1109</v>
      </c>
      <c r="G30" s="2" t="s">
        <v>1110</v>
      </c>
    </row>
    <row r="31" spans="1:7" ht="14.25" customHeight="1" x14ac:dyDescent="0.3">
      <c r="A31" s="2" t="s">
        <v>147</v>
      </c>
      <c r="B31" s="2" t="s">
        <v>1063</v>
      </c>
      <c r="C31" s="2" t="s">
        <v>1224</v>
      </c>
      <c r="D31" s="2" t="s">
        <v>1099</v>
      </c>
      <c r="E31" s="2" t="s">
        <v>1225</v>
      </c>
      <c r="F31" s="2" t="s">
        <v>1184</v>
      </c>
      <c r="G31" s="2" t="s">
        <v>1124</v>
      </c>
    </row>
    <row r="32" spans="1:7" ht="14.25" customHeight="1" x14ac:dyDescent="0.3">
      <c r="A32" s="2" t="s">
        <v>150</v>
      </c>
      <c r="B32" s="2" t="s">
        <v>1060</v>
      </c>
      <c r="C32" s="2" t="s">
        <v>1226</v>
      </c>
      <c r="D32" s="2" t="s">
        <v>1227</v>
      </c>
      <c r="E32" s="2" t="s">
        <v>1228</v>
      </c>
      <c r="F32" s="2" t="s">
        <v>1134</v>
      </c>
      <c r="G32" s="2" t="s">
        <v>1102</v>
      </c>
    </row>
    <row r="33" spans="1:7" ht="14.25" customHeight="1" x14ac:dyDescent="0.3">
      <c r="A33" s="2" t="s">
        <v>153</v>
      </c>
      <c r="B33" s="2" t="s">
        <v>1021</v>
      </c>
      <c r="C33" s="2" t="s">
        <v>1229</v>
      </c>
      <c r="D33" s="2" t="s">
        <v>1230</v>
      </c>
      <c r="E33" s="2" t="s">
        <v>1231</v>
      </c>
      <c r="F33" s="2" t="s">
        <v>1205</v>
      </c>
      <c r="G33" s="2" t="s">
        <v>1102</v>
      </c>
    </row>
    <row r="34" spans="1:7" ht="14.25" customHeight="1" x14ac:dyDescent="0.3">
      <c r="A34" s="2" t="s">
        <v>160</v>
      </c>
      <c r="B34" s="2" t="s">
        <v>1004</v>
      </c>
      <c r="C34" s="2" t="s">
        <v>1232</v>
      </c>
      <c r="D34" s="2" t="s">
        <v>1233</v>
      </c>
      <c r="E34" s="2" t="s">
        <v>1234</v>
      </c>
      <c r="F34" s="2" t="s">
        <v>1235</v>
      </c>
      <c r="G34" s="2" t="s">
        <v>1118</v>
      </c>
    </row>
    <row r="35" spans="1:7" ht="14.25" customHeight="1" x14ac:dyDescent="0.3">
      <c r="A35" s="2" t="s">
        <v>168</v>
      </c>
      <c r="B35" s="2" t="s">
        <v>1069</v>
      </c>
      <c r="C35" s="2" t="s">
        <v>1236</v>
      </c>
      <c r="D35" s="2" t="s">
        <v>1237</v>
      </c>
      <c r="E35" s="2" t="s">
        <v>1238</v>
      </c>
      <c r="F35" s="2" t="s">
        <v>1176</v>
      </c>
      <c r="G35" s="2" t="s">
        <v>1124</v>
      </c>
    </row>
    <row r="36" spans="1:7" ht="14.25" customHeight="1" x14ac:dyDescent="0.3">
      <c r="A36" s="2" t="s">
        <v>180</v>
      </c>
      <c r="B36" s="2" t="s">
        <v>1064</v>
      </c>
      <c r="C36" s="2" t="s">
        <v>1239</v>
      </c>
      <c r="D36" s="2" t="s">
        <v>1240</v>
      </c>
      <c r="E36" s="2" t="s">
        <v>1241</v>
      </c>
      <c r="F36" s="2" t="s">
        <v>1168</v>
      </c>
      <c r="G36" s="2" t="s">
        <v>1111</v>
      </c>
    </row>
    <row r="37" spans="1:7" ht="14.25" customHeight="1" x14ac:dyDescent="0.3">
      <c r="A37" s="2" t="s">
        <v>191</v>
      </c>
      <c r="B37" s="2" t="s">
        <v>1048</v>
      </c>
      <c r="C37" s="2" t="s">
        <v>1242</v>
      </c>
      <c r="D37" s="2" t="s">
        <v>1243</v>
      </c>
      <c r="E37" s="2" t="s">
        <v>1244</v>
      </c>
      <c r="F37" s="2" t="s">
        <v>1184</v>
      </c>
      <c r="G37" s="2" t="s">
        <v>1124</v>
      </c>
    </row>
    <row r="38" spans="1:7" ht="14.25" customHeight="1" x14ac:dyDescent="0.3">
      <c r="A38" s="2" t="s">
        <v>200</v>
      </c>
      <c r="B38" s="2" t="s">
        <v>1080</v>
      </c>
      <c r="C38" s="2" t="s">
        <v>1245</v>
      </c>
      <c r="D38" s="2" t="s">
        <v>1246</v>
      </c>
      <c r="E38" s="2" t="s">
        <v>1247</v>
      </c>
      <c r="F38" s="2" t="s">
        <v>1205</v>
      </c>
      <c r="G38" s="2" t="s">
        <v>1102</v>
      </c>
    </row>
    <row r="39" spans="1:7" ht="14.25" customHeight="1" x14ac:dyDescent="0.3">
      <c r="A39" s="2" t="s">
        <v>216</v>
      </c>
      <c r="B39" s="2" t="s">
        <v>1028</v>
      </c>
      <c r="C39" s="2" t="s">
        <v>1248</v>
      </c>
      <c r="D39" s="2" t="s">
        <v>1249</v>
      </c>
      <c r="E39" s="2" t="s">
        <v>1250</v>
      </c>
      <c r="F39" s="2" t="s">
        <v>1143</v>
      </c>
      <c r="G39" s="2" t="s">
        <v>1110</v>
      </c>
    </row>
    <row r="40" spans="1:7" ht="14.25" customHeight="1" x14ac:dyDescent="0.3">
      <c r="A40" s="2" t="s">
        <v>221</v>
      </c>
      <c r="B40" s="2" t="s">
        <v>1091</v>
      </c>
      <c r="C40" s="2" t="s">
        <v>1251</v>
      </c>
      <c r="D40" s="2" t="s">
        <v>1252</v>
      </c>
      <c r="E40" s="2" t="s">
        <v>1253</v>
      </c>
      <c r="F40" s="2" t="s">
        <v>1254</v>
      </c>
      <c r="G40" s="2" t="s">
        <v>1130</v>
      </c>
    </row>
    <row r="41" spans="1:7" ht="14.25" customHeight="1" x14ac:dyDescent="0.3">
      <c r="A41" s="2" t="s">
        <v>230</v>
      </c>
      <c r="B41" s="2" t="s">
        <v>1024</v>
      </c>
      <c r="C41" s="2" t="s">
        <v>1209</v>
      </c>
      <c r="D41" s="2" t="s">
        <v>1255</v>
      </c>
      <c r="E41" s="2" t="s">
        <v>1256</v>
      </c>
      <c r="F41" s="2" t="s">
        <v>1257</v>
      </c>
      <c r="G41" s="2" t="s">
        <v>1129</v>
      </c>
    </row>
    <row r="42" spans="1:7" ht="14.25" customHeight="1" x14ac:dyDescent="0.3">
      <c r="A42" s="2" t="s">
        <v>244</v>
      </c>
      <c r="B42" s="2" t="s">
        <v>1089</v>
      </c>
      <c r="C42" s="2" t="s">
        <v>1258</v>
      </c>
      <c r="D42" s="2" t="s">
        <v>1259</v>
      </c>
      <c r="E42" s="2" t="s">
        <v>1260</v>
      </c>
      <c r="F42" s="2" t="s">
        <v>1216</v>
      </c>
      <c r="G42" s="2" t="s">
        <v>1124</v>
      </c>
    </row>
    <row r="43" spans="1:7" ht="14.25" customHeight="1" x14ac:dyDescent="0.3">
      <c r="A43" s="2" t="s">
        <v>257</v>
      </c>
      <c r="B43" s="2" t="s">
        <v>1014</v>
      </c>
      <c r="C43" s="2" t="s">
        <v>1261</v>
      </c>
      <c r="D43" s="2" t="s">
        <v>1262</v>
      </c>
      <c r="E43" s="2" t="s">
        <v>1263</v>
      </c>
      <c r="F43" s="2" t="s">
        <v>1264</v>
      </c>
      <c r="G43" s="2" t="s">
        <v>1117</v>
      </c>
    </row>
    <row r="44" spans="1:7" ht="14.25" customHeight="1" x14ac:dyDescent="0.3">
      <c r="A44" s="2" t="s">
        <v>268</v>
      </c>
      <c r="B44" s="2" t="s">
        <v>1043</v>
      </c>
      <c r="C44" s="2" t="s">
        <v>1265</v>
      </c>
      <c r="D44" s="2" t="s">
        <v>1157</v>
      </c>
      <c r="E44" s="2" t="s">
        <v>1266</v>
      </c>
      <c r="F44" s="2" t="s">
        <v>1264</v>
      </c>
      <c r="G44" s="2" t="s">
        <v>1117</v>
      </c>
    </row>
    <row r="45" spans="1:7" ht="14.25" customHeight="1" x14ac:dyDescent="0.3">
      <c r="A45" s="2" t="s">
        <v>281</v>
      </c>
      <c r="B45" s="2" t="s">
        <v>1036</v>
      </c>
      <c r="C45" s="2" t="s">
        <v>1267</v>
      </c>
      <c r="D45" s="2" t="s">
        <v>1268</v>
      </c>
      <c r="E45" s="2" t="s">
        <v>1269</v>
      </c>
      <c r="F45" s="2" t="s">
        <v>1270</v>
      </c>
      <c r="G45" s="2" t="s">
        <v>1130</v>
      </c>
    </row>
    <row r="46" spans="1:7" ht="14.25" customHeight="1" x14ac:dyDescent="0.3">
      <c r="A46" s="2" t="s">
        <v>288</v>
      </c>
      <c r="B46" s="2" t="s">
        <v>1076</v>
      </c>
      <c r="C46" s="2" t="s">
        <v>1271</v>
      </c>
      <c r="D46" s="2" t="s">
        <v>1272</v>
      </c>
      <c r="E46" s="2" t="s">
        <v>1273</v>
      </c>
      <c r="F46" s="2" t="s">
        <v>1176</v>
      </c>
      <c r="G46" s="2" t="s">
        <v>1124</v>
      </c>
    </row>
    <row r="47" spans="1:7" ht="14.25" customHeight="1" x14ac:dyDescent="0.3">
      <c r="A47" s="2" t="s">
        <v>299</v>
      </c>
      <c r="B47" s="2" t="s">
        <v>1039</v>
      </c>
      <c r="C47" s="2" t="s">
        <v>1274</v>
      </c>
      <c r="D47" s="2" t="s">
        <v>1275</v>
      </c>
      <c r="E47" s="2" t="s">
        <v>1276</v>
      </c>
      <c r="F47" s="2" t="s">
        <v>1128</v>
      </c>
      <c r="G47" s="2" t="s">
        <v>1129</v>
      </c>
    </row>
    <row r="48" spans="1:7" ht="14.25" customHeight="1" x14ac:dyDescent="0.3">
      <c r="A48" s="2" t="s">
        <v>310</v>
      </c>
      <c r="B48" s="2" t="s">
        <v>1084</v>
      </c>
      <c r="C48" s="2" t="s">
        <v>1277</v>
      </c>
      <c r="D48" s="2" t="s">
        <v>1278</v>
      </c>
      <c r="E48" s="2" t="s">
        <v>1279</v>
      </c>
      <c r="F48" s="2" t="s">
        <v>1184</v>
      </c>
      <c r="G48" s="2" t="s">
        <v>1124</v>
      </c>
    </row>
    <row r="49" spans="1:7" ht="14.25" customHeight="1" x14ac:dyDescent="0.3">
      <c r="A49" s="2" t="s">
        <v>321</v>
      </c>
      <c r="B49" s="2" t="s">
        <v>1059</v>
      </c>
      <c r="C49" s="2" t="s">
        <v>1148</v>
      </c>
      <c r="D49" s="2" t="s">
        <v>1280</v>
      </c>
      <c r="E49" s="2" t="s">
        <v>1281</v>
      </c>
      <c r="F49" s="2" t="s">
        <v>1216</v>
      </c>
      <c r="G49" s="2" t="s">
        <v>1102</v>
      </c>
    </row>
    <row r="50" spans="1:7" ht="14.25" customHeight="1" x14ac:dyDescent="0.3">
      <c r="A50" s="2" t="s">
        <v>326</v>
      </c>
      <c r="B50" s="2" t="s">
        <v>1013</v>
      </c>
      <c r="C50" s="2" t="s">
        <v>1282</v>
      </c>
      <c r="D50" s="2" t="s">
        <v>1283</v>
      </c>
      <c r="E50" s="2" t="s">
        <v>1284</v>
      </c>
      <c r="F50" s="2" t="s">
        <v>1205</v>
      </c>
      <c r="G50" s="2" t="s">
        <v>1102</v>
      </c>
    </row>
    <row r="51" spans="1:7" ht="14.25" customHeight="1" x14ac:dyDescent="0.3">
      <c r="A51" s="2" t="s">
        <v>337</v>
      </c>
      <c r="B51" s="2" t="s">
        <v>1285</v>
      </c>
      <c r="C51" s="2" t="s">
        <v>1286</v>
      </c>
      <c r="D51" s="2" t="s">
        <v>1287</v>
      </c>
      <c r="E51" s="2" t="s">
        <v>1288</v>
      </c>
      <c r="F51" s="2" t="s">
        <v>1168</v>
      </c>
      <c r="G51" s="2" t="s">
        <v>1111</v>
      </c>
    </row>
    <row r="52" spans="1:7" ht="14.25" customHeight="1" x14ac:dyDescent="0.3">
      <c r="A52" s="2" t="s">
        <v>340</v>
      </c>
      <c r="B52" s="2" t="s">
        <v>1051</v>
      </c>
      <c r="C52" s="2" t="s">
        <v>1289</v>
      </c>
      <c r="D52" s="2" t="s">
        <v>1290</v>
      </c>
      <c r="E52" s="2" t="s">
        <v>1291</v>
      </c>
      <c r="F52" s="2" t="s">
        <v>1143</v>
      </c>
      <c r="G52" s="2" t="s">
        <v>1124</v>
      </c>
    </row>
    <row r="53" spans="1:7" ht="14.25" customHeight="1" x14ac:dyDescent="0.3">
      <c r="A53" s="2" t="s">
        <v>345</v>
      </c>
      <c r="B53" s="2" t="s">
        <v>1292</v>
      </c>
      <c r="C53" s="2" t="s">
        <v>1293</v>
      </c>
      <c r="D53" s="2" t="s">
        <v>1294</v>
      </c>
      <c r="E53" s="2" t="s">
        <v>1295</v>
      </c>
      <c r="F53" s="2" t="s">
        <v>1296</v>
      </c>
      <c r="G53" s="2" t="s">
        <v>1117</v>
      </c>
    </row>
    <row r="54" spans="1:7" ht="14.25" customHeight="1" x14ac:dyDescent="0.3">
      <c r="A54" s="2" t="s">
        <v>350</v>
      </c>
      <c r="B54" s="2" t="s">
        <v>1056</v>
      </c>
      <c r="C54" s="2" t="s">
        <v>1297</v>
      </c>
      <c r="D54" s="2" t="s">
        <v>1298</v>
      </c>
      <c r="E54" s="2" t="s">
        <v>1299</v>
      </c>
      <c r="F54" s="2" t="s">
        <v>1168</v>
      </c>
      <c r="G54" s="2" t="s">
        <v>1111</v>
      </c>
    </row>
    <row r="55" spans="1:7" ht="14.25" customHeight="1" x14ac:dyDescent="0.3">
      <c r="A55" s="2" t="s">
        <v>359</v>
      </c>
      <c r="B55" s="2" t="s">
        <v>1010</v>
      </c>
      <c r="C55" s="2" t="s">
        <v>1300</v>
      </c>
      <c r="D55" s="2" t="s">
        <v>1301</v>
      </c>
      <c r="E55" s="2" t="s">
        <v>1302</v>
      </c>
      <c r="F55" s="2" t="s">
        <v>1168</v>
      </c>
      <c r="G55" s="2" t="s">
        <v>1111</v>
      </c>
    </row>
    <row r="56" spans="1:7" ht="14.25" customHeight="1" x14ac:dyDescent="0.3">
      <c r="A56" s="2" t="s">
        <v>367</v>
      </c>
      <c r="B56" s="2" t="s">
        <v>1052</v>
      </c>
      <c r="C56" s="2" t="s">
        <v>1303</v>
      </c>
      <c r="D56" s="2" t="s">
        <v>1304</v>
      </c>
      <c r="E56" s="2" t="s">
        <v>1305</v>
      </c>
      <c r="F56" s="2" t="s">
        <v>1235</v>
      </c>
      <c r="G56" s="2" t="s">
        <v>1118</v>
      </c>
    </row>
    <row r="57" spans="1:7" ht="14.25" customHeight="1" x14ac:dyDescent="0.3">
      <c r="A57" s="2" t="s">
        <v>372</v>
      </c>
      <c r="B57" s="2" t="s">
        <v>1038</v>
      </c>
      <c r="C57" s="2" t="s">
        <v>1306</v>
      </c>
      <c r="D57" s="2" t="s">
        <v>1307</v>
      </c>
      <c r="E57" s="2" t="s">
        <v>1308</v>
      </c>
      <c r="F57" s="2" t="s">
        <v>1309</v>
      </c>
      <c r="G57" s="2" t="s">
        <v>1117</v>
      </c>
    </row>
    <row r="58" spans="1:7" ht="14.25" customHeight="1" x14ac:dyDescent="0.3">
      <c r="A58" s="2" t="s">
        <v>375</v>
      </c>
      <c r="B58" s="2" t="s">
        <v>1020</v>
      </c>
      <c r="C58" s="2" t="s">
        <v>1310</v>
      </c>
      <c r="D58" s="2" t="s">
        <v>1311</v>
      </c>
      <c r="E58" s="2" t="s">
        <v>1312</v>
      </c>
      <c r="F58" s="2" t="s">
        <v>1313</v>
      </c>
      <c r="G58" s="2" t="s">
        <v>1129</v>
      </c>
    </row>
    <row r="59" spans="1:7" ht="14.25" customHeight="1" x14ac:dyDescent="0.3">
      <c r="A59" s="2" t="s">
        <v>398</v>
      </c>
      <c r="B59" s="2" t="s">
        <v>1009</v>
      </c>
      <c r="C59" s="2" t="s">
        <v>1314</v>
      </c>
      <c r="D59" s="2" t="s">
        <v>1137</v>
      </c>
      <c r="E59" s="2" t="s">
        <v>1315</v>
      </c>
      <c r="F59" s="2" t="s">
        <v>1188</v>
      </c>
      <c r="G59" s="2" t="s">
        <v>1130</v>
      </c>
    </row>
    <row r="60" spans="1:7" ht="14.25" customHeight="1" x14ac:dyDescent="0.3">
      <c r="A60" s="2" t="s">
        <v>409</v>
      </c>
      <c r="B60" s="2" t="s">
        <v>1047</v>
      </c>
      <c r="C60" s="2" t="s">
        <v>1316</v>
      </c>
      <c r="D60" s="2" t="s">
        <v>1317</v>
      </c>
      <c r="E60" s="2" t="s">
        <v>1318</v>
      </c>
      <c r="F60" s="2" t="s">
        <v>1319</v>
      </c>
      <c r="G60" s="2" t="s">
        <v>1118</v>
      </c>
    </row>
    <row r="61" spans="1:7" ht="14.25" customHeight="1" x14ac:dyDescent="0.3">
      <c r="A61" s="2" t="s">
        <v>412</v>
      </c>
      <c r="B61" s="2" t="s">
        <v>1077</v>
      </c>
      <c r="C61" s="2" t="s">
        <v>1320</v>
      </c>
      <c r="D61" s="2" t="s">
        <v>1321</v>
      </c>
      <c r="E61" s="2" t="s">
        <v>1322</v>
      </c>
      <c r="F61" s="2" t="s">
        <v>1151</v>
      </c>
      <c r="G61" s="2" t="s">
        <v>1102</v>
      </c>
    </row>
    <row r="62" spans="1:7" ht="14.25" customHeight="1" x14ac:dyDescent="0.3">
      <c r="A62" s="2" t="s">
        <v>427</v>
      </c>
      <c r="B62" s="2" t="s">
        <v>1061</v>
      </c>
      <c r="C62" s="2" t="s">
        <v>1323</v>
      </c>
      <c r="D62" s="2" t="s">
        <v>1324</v>
      </c>
      <c r="E62" s="2" t="s">
        <v>1325</v>
      </c>
      <c r="F62" s="2" t="s">
        <v>1216</v>
      </c>
      <c r="G62" s="2" t="s">
        <v>1102</v>
      </c>
    </row>
    <row r="63" spans="1:7" ht="14.25" customHeight="1" x14ac:dyDescent="0.3">
      <c r="A63" s="2" t="s">
        <v>434</v>
      </c>
      <c r="B63" s="2" t="s">
        <v>1074</v>
      </c>
      <c r="C63" s="2" t="s">
        <v>1326</v>
      </c>
      <c r="D63" s="2" t="s">
        <v>1327</v>
      </c>
      <c r="E63" s="2" t="s">
        <v>1328</v>
      </c>
      <c r="F63" s="2" t="s">
        <v>1270</v>
      </c>
      <c r="G63" s="2" t="s">
        <v>1130</v>
      </c>
    </row>
    <row r="64" spans="1:7" ht="14.25" customHeight="1" x14ac:dyDescent="0.3">
      <c r="A64" s="2" t="s">
        <v>451</v>
      </c>
      <c r="B64" s="2" t="s">
        <v>1087</v>
      </c>
      <c r="C64" s="2" t="s">
        <v>1329</v>
      </c>
      <c r="D64" s="2" t="s">
        <v>1330</v>
      </c>
      <c r="E64" s="2" t="s">
        <v>1331</v>
      </c>
      <c r="F64" s="2" t="s">
        <v>1109</v>
      </c>
      <c r="G64" s="2" t="s">
        <v>1110</v>
      </c>
    </row>
    <row r="65" spans="1:7" ht="14.25" customHeight="1" x14ac:dyDescent="0.3">
      <c r="A65" s="2" t="s">
        <v>456</v>
      </c>
      <c r="B65" s="2" t="s">
        <v>1041</v>
      </c>
      <c r="C65" s="2" t="s">
        <v>1332</v>
      </c>
      <c r="D65" s="2" t="s">
        <v>1333</v>
      </c>
      <c r="E65" s="2" t="s">
        <v>1334</v>
      </c>
      <c r="F65" s="2" t="s">
        <v>1335</v>
      </c>
      <c r="G65" s="2" t="s">
        <v>1110</v>
      </c>
    </row>
    <row r="66" spans="1:7" ht="14.25" customHeight="1" x14ac:dyDescent="0.3">
      <c r="A66" s="2" t="s">
        <v>459</v>
      </c>
      <c r="B66" s="2" t="s">
        <v>1040</v>
      </c>
      <c r="C66" s="2" t="s">
        <v>1336</v>
      </c>
      <c r="D66" s="2" t="s">
        <v>1337</v>
      </c>
      <c r="E66" s="2" t="s">
        <v>1338</v>
      </c>
      <c r="F66" s="2" t="s">
        <v>1168</v>
      </c>
      <c r="G66" s="2" t="s">
        <v>1111</v>
      </c>
    </row>
    <row r="67" spans="1:7" ht="14.25" customHeight="1" x14ac:dyDescent="0.3">
      <c r="A67" s="2" t="s">
        <v>464</v>
      </c>
      <c r="B67" s="2" t="s">
        <v>1050</v>
      </c>
      <c r="C67" s="2" t="s">
        <v>1339</v>
      </c>
      <c r="D67" s="2" t="s">
        <v>1340</v>
      </c>
      <c r="E67" s="2" t="s">
        <v>1341</v>
      </c>
      <c r="F67" s="2" t="s">
        <v>1342</v>
      </c>
      <c r="G67" s="2" t="s">
        <v>1102</v>
      </c>
    </row>
    <row r="68" spans="1:7" ht="14.25" customHeight="1" x14ac:dyDescent="0.3">
      <c r="A68" s="2" t="s">
        <v>467</v>
      </c>
      <c r="B68" s="2" t="s">
        <v>1088</v>
      </c>
      <c r="C68" s="2" t="s">
        <v>1343</v>
      </c>
      <c r="D68" s="2" t="s">
        <v>1344</v>
      </c>
      <c r="E68" s="2" t="s">
        <v>1345</v>
      </c>
      <c r="F68" s="2" t="s">
        <v>1143</v>
      </c>
      <c r="G68" s="2" t="s">
        <v>1117</v>
      </c>
    </row>
    <row r="69" spans="1:7" ht="14.25" customHeight="1" x14ac:dyDescent="0.3">
      <c r="A69" s="2" t="s">
        <v>482</v>
      </c>
      <c r="B69" s="2" t="s">
        <v>1090</v>
      </c>
      <c r="C69" s="2" t="s">
        <v>1346</v>
      </c>
      <c r="D69" s="2" t="s">
        <v>1347</v>
      </c>
      <c r="E69" s="2" t="s">
        <v>1348</v>
      </c>
      <c r="F69" s="2" t="s">
        <v>1313</v>
      </c>
      <c r="G69" s="2" t="s">
        <v>1129</v>
      </c>
    </row>
    <row r="70" spans="1:7" ht="14.25" customHeight="1" x14ac:dyDescent="0.3">
      <c r="A70" s="2" t="s">
        <v>487</v>
      </c>
      <c r="B70" s="2" t="s">
        <v>1011</v>
      </c>
      <c r="C70" s="2" t="s">
        <v>1349</v>
      </c>
      <c r="D70" s="2" t="s">
        <v>1350</v>
      </c>
      <c r="E70" s="2" t="s">
        <v>1351</v>
      </c>
      <c r="F70" s="2" t="s">
        <v>1352</v>
      </c>
      <c r="G70" s="2" t="s">
        <v>1102</v>
      </c>
    </row>
    <row r="71" spans="1:7" ht="14.25" customHeight="1" x14ac:dyDescent="0.3">
      <c r="A71" s="2" t="s">
        <v>494</v>
      </c>
      <c r="B71" s="2" t="s">
        <v>1055</v>
      </c>
      <c r="C71" s="2" t="s">
        <v>1353</v>
      </c>
      <c r="D71" s="2" t="s">
        <v>1354</v>
      </c>
      <c r="E71" s="2" t="s">
        <v>1355</v>
      </c>
      <c r="F71" s="2" t="s">
        <v>1139</v>
      </c>
      <c r="G71" s="2" t="s">
        <v>1130</v>
      </c>
    </row>
    <row r="72" spans="1:7" ht="14.25" customHeight="1" x14ac:dyDescent="0.3">
      <c r="A72" s="2" t="s">
        <v>511</v>
      </c>
      <c r="B72" s="2" t="s">
        <v>1086</v>
      </c>
      <c r="C72" s="2" t="s">
        <v>1356</v>
      </c>
      <c r="D72" s="2" t="s">
        <v>1357</v>
      </c>
      <c r="E72" s="2" t="s">
        <v>1358</v>
      </c>
      <c r="F72" s="2" t="s">
        <v>1359</v>
      </c>
      <c r="G72" s="2" t="s">
        <v>1102</v>
      </c>
    </row>
    <row r="73" spans="1:7" ht="14.25" customHeight="1" x14ac:dyDescent="0.3">
      <c r="A73" s="2" t="s">
        <v>514</v>
      </c>
      <c r="B73" s="2" t="s">
        <v>1082</v>
      </c>
      <c r="C73" s="2" t="s">
        <v>1360</v>
      </c>
      <c r="D73" s="2" t="s">
        <v>1361</v>
      </c>
      <c r="E73" s="2" t="s">
        <v>1362</v>
      </c>
      <c r="F73" s="2" t="s">
        <v>1168</v>
      </c>
      <c r="G73" s="2" t="s">
        <v>1111</v>
      </c>
    </row>
    <row r="74" spans="1:7" ht="14.25" customHeight="1" x14ac:dyDescent="0.3">
      <c r="A74" s="2" t="s">
        <v>525</v>
      </c>
      <c r="B74" s="2" t="s">
        <v>1067</v>
      </c>
      <c r="C74" s="2" t="s">
        <v>1363</v>
      </c>
      <c r="D74" s="2" t="s">
        <v>1364</v>
      </c>
      <c r="E74" s="2" t="s">
        <v>1365</v>
      </c>
      <c r="F74" s="2" t="s">
        <v>1366</v>
      </c>
      <c r="G74" s="2" t="s">
        <v>1118</v>
      </c>
    </row>
    <row r="75" spans="1:7" ht="14.25" customHeight="1" x14ac:dyDescent="0.3">
      <c r="A75" s="2" t="s">
        <v>534</v>
      </c>
      <c r="B75" s="2" t="s">
        <v>1078</v>
      </c>
      <c r="C75" s="2" t="s">
        <v>1367</v>
      </c>
      <c r="D75" s="2" t="s">
        <v>1368</v>
      </c>
      <c r="E75" s="2" t="s">
        <v>1369</v>
      </c>
      <c r="F75" s="2" t="s">
        <v>1370</v>
      </c>
      <c r="G75" s="2" t="s">
        <v>1124</v>
      </c>
    </row>
    <row r="76" spans="1:7" ht="14.25" customHeight="1" x14ac:dyDescent="0.3">
      <c r="A76" s="2" t="s">
        <v>539</v>
      </c>
      <c r="B76" s="2" t="s">
        <v>1068</v>
      </c>
      <c r="C76" s="2" t="s">
        <v>1371</v>
      </c>
      <c r="D76" s="2" t="s">
        <v>1372</v>
      </c>
      <c r="E76" s="2" t="s">
        <v>1373</v>
      </c>
      <c r="F76" s="2" t="s">
        <v>1319</v>
      </c>
      <c r="G76" s="2" t="s">
        <v>1118</v>
      </c>
    </row>
    <row r="77" spans="1:7" ht="14.25" customHeight="1" x14ac:dyDescent="0.3">
      <c r="A77" s="2" t="s">
        <v>554</v>
      </c>
      <c r="B77" s="2" t="s">
        <v>1046</v>
      </c>
      <c r="C77" s="2" t="s">
        <v>1374</v>
      </c>
      <c r="D77" s="2" t="s">
        <v>1357</v>
      </c>
      <c r="E77" s="2" t="s">
        <v>1375</v>
      </c>
      <c r="F77" s="2" t="s">
        <v>1147</v>
      </c>
      <c r="G77" s="2" t="s">
        <v>1130</v>
      </c>
    </row>
    <row r="78" spans="1:7" ht="14.25" customHeight="1" x14ac:dyDescent="0.3">
      <c r="A78" s="2" t="s">
        <v>561</v>
      </c>
      <c r="B78" s="2" t="s">
        <v>1031</v>
      </c>
      <c r="C78" s="2" t="s">
        <v>1376</v>
      </c>
      <c r="D78" s="2" t="s">
        <v>1377</v>
      </c>
      <c r="E78" s="2" t="s">
        <v>1378</v>
      </c>
      <c r="F78" s="2" t="s">
        <v>1176</v>
      </c>
      <c r="G78" s="2" t="s">
        <v>1111</v>
      </c>
    </row>
    <row r="79" spans="1:7" ht="14.25" customHeight="1" x14ac:dyDescent="0.3">
      <c r="A79" s="2" t="s">
        <v>564</v>
      </c>
      <c r="B79" s="2" t="s">
        <v>1075</v>
      </c>
      <c r="C79" s="2" t="s">
        <v>1379</v>
      </c>
      <c r="D79" s="2" t="s">
        <v>1380</v>
      </c>
      <c r="E79" s="2" t="s">
        <v>1381</v>
      </c>
      <c r="F79" s="2" t="s">
        <v>1382</v>
      </c>
      <c r="G79" s="2" t="s">
        <v>1129</v>
      </c>
    </row>
    <row r="80" spans="1:7" ht="14.25" customHeight="1" x14ac:dyDescent="0.3">
      <c r="A80" s="2" t="s">
        <v>577</v>
      </c>
      <c r="B80" s="2" t="s">
        <v>1383</v>
      </c>
      <c r="C80" s="2" t="s">
        <v>1384</v>
      </c>
      <c r="D80" s="2" t="s">
        <v>1385</v>
      </c>
      <c r="E80" s="2" t="s">
        <v>1386</v>
      </c>
      <c r="F80" s="2" t="s">
        <v>1184</v>
      </c>
      <c r="G80" s="2" t="s">
        <v>1124</v>
      </c>
    </row>
    <row r="81" spans="1:7" ht="14.25" customHeight="1" x14ac:dyDescent="0.3">
      <c r="A81" s="2" t="s">
        <v>582</v>
      </c>
      <c r="B81" s="2" t="s">
        <v>1029</v>
      </c>
      <c r="C81" s="2" t="s">
        <v>1387</v>
      </c>
      <c r="D81" s="2" t="s">
        <v>1388</v>
      </c>
      <c r="E81" s="2" t="s">
        <v>1389</v>
      </c>
      <c r="F81" s="2" t="s">
        <v>1128</v>
      </c>
      <c r="G81" s="2" t="s">
        <v>1129</v>
      </c>
    </row>
    <row r="82" spans="1:7" ht="14.25" customHeight="1" x14ac:dyDescent="0.3">
      <c r="A82" s="2" t="s">
        <v>587</v>
      </c>
      <c r="B82" s="2" t="s">
        <v>1019</v>
      </c>
      <c r="C82" s="2" t="s">
        <v>1390</v>
      </c>
      <c r="D82" s="2" t="s">
        <v>1391</v>
      </c>
      <c r="E82" s="2" t="s">
        <v>1392</v>
      </c>
      <c r="F82" s="2" t="s">
        <v>1155</v>
      </c>
      <c r="G82" s="2" t="s">
        <v>1130</v>
      </c>
    </row>
    <row r="83" spans="1:7" ht="14.25" customHeight="1" x14ac:dyDescent="0.3">
      <c r="A83" s="2" t="s">
        <v>600</v>
      </c>
      <c r="B83" s="2" t="s">
        <v>1017</v>
      </c>
      <c r="C83" s="2" t="s">
        <v>1393</v>
      </c>
      <c r="D83" s="2" t="s">
        <v>1394</v>
      </c>
      <c r="E83" s="2" t="s">
        <v>1395</v>
      </c>
      <c r="F83" s="2" t="s">
        <v>1396</v>
      </c>
      <c r="G83" s="2" t="s">
        <v>1118</v>
      </c>
    </row>
    <row r="84" spans="1:7" ht="14.25" customHeight="1" x14ac:dyDescent="0.3">
      <c r="A84" s="2" t="s">
        <v>607</v>
      </c>
      <c r="B84" s="2" t="s">
        <v>1065</v>
      </c>
      <c r="C84" s="2" t="s">
        <v>1397</v>
      </c>
      <c r="D84" s="2" t="s">
        <v>1398</v>
      </c>
      <c r="E84" s="2" t="s">
        <v>1399</v>
      </c>
      <c r="F84" s="2" t="s">
        <v>1400</v>
      </c>
      <c r="G84" s="2" t="s">
        <v>1117</v>
      </c>
    </row>
    <row r="85" spans="1:7" ht="14.25" customHeight="1" x14ac:dyDescent="0.3">
      <c r="A85" s="2" t="s">
        <v>615</v>
      </c>
      <c r="B85" s="2" t="s">
        <v>1062</v>
      </c>
      <c r="C85" s="2" t="s">
        <v>1401</v>
      </c>
      <c r="D85" s="2" t="s">
        <v>1402</v>
      </c>
      <c r="E85" s="2" t="s">
        <v>1403</v>
      </c>
      <c r="F85" s="2" t="s">
        <v>1319</v>
      </c>
      <c r="G85" s="2" t="s">
        <v>1118</v>
      </c>
    </row>
    <row r="86" spans="1:7" ht="14.25" customHeight="1" x14ac:dyDescent="0.3">
      <c r="A86" s="2" t="s">
        <v>623</v>
      </c>
      <c r="B86" s="2" t="s">
        <v>1005</v>
      </c>
      <c r="C86" s="2" t="s">
        <v>1404</v>
      </c>
      <c r="D86" s="2" t="s">
        <v>1405</v>
      </c>
      <c r="E86" s="2" t="s">
        <v>1406</v>
      </c>
      <c r="F86" s="2" t="s">
        <v>1407</v>
      </c>
      <c r="G86" s="2" t="s">
        <v>1118</v>
      </c>
    </row>
    <row r="87" spans="1:7" ht="14.25" customHeight="1" x14ac:dyDescent="0.3">
      <c r="A87" s="2" t="s">
        <v>627</v>
      </c>
      <c r="B87" s="2" t="s">
        <v>1027</v>
      </c>
      <c r="C87" s="2" t="s">
        <v>1408</v>
      </c>
      <c r="D87" s="2" t="s">
        <v>1409</v>
      </c>
      <c r="E87" s="2" t="s">
        <v>1410</v>
      </c>
      <c r="F87" s="2" t="s">
        <v>1396</v>
      </c>
      <c r="G87" s="2" t="s">
        <v>1102</v>
      </c>
    </row>
    <row r="88" spans="1:7" ht="14.25" customHeight="1" x14ac:dyDescent="0.3">
      <c r="A88" s="2" t="s">
        <v>670</v>
      </c>
      <c r="B88" s="2" t="s">
        <v>1035</v>
      </c>
      <c r="C88" s="2" t="s">
        <v>1411</v>
      </c>
      <c r="D88" s="2" t="s">
        <v>1412</v>
      </c>
      <c r="E88" s="2" t="s">
        <v>1413</v>
      </c>
      <c r="F88" s="2" t="s">
        <v>1396</v>
      </c>
      <c r="G88" s="2" t="s">
        <v>1129</v>
      </c>
    </row>
    <row r="89" spans="1:7" ht="14.25" customHeight="1" x14ac:dyDescent="0.3">
      <c r="A89" s="2" t="s">
        <v>697</v>
      </c>
      <c r="B89" s="2" t="s">
        <v>1007</v>
      </c>
      <c r="C89" s="2" t="s">
        <v>1414</v>
      </c>
      <c r="D89" s="2" t="s">
        <v>1415</v>
      </c>
      <c r="E89" s="2" t="s">
        <v>1416</v>
      </c>
      <c r="F89" s="2" t="s">
        <v>1396</v>
      </c>
      <c r="G89" s="2" t="s">
        <v>1129</v>
      </c>
    </row>
    <row r="90" spans="1:7" ht="14.25" customHeight="1" x14ac:dyDescent="0.3">
      <c r="A90" s="2" t="s">
        <v>750</v>
      </c>
      <c r="B90" s="2" t="s">
        <v>1073</v>
      </c>
      <c r="C90" s="2" t="s">
        <v>1417</v>
      </c>
      <c r="D90" s="2" t="s">
        <v>1418</v>
      </c>
      <c r="E90" s="2" t="s">
        <v>1419</v>
      </c>
      <c r="F90" s="2" t="s">
        <v>1270</v>
      </c>
      <c r="G90" s="2" t="s">
        <v>1130</v>
      </c>
    </row>
    <row r="91" spans="1:7" ht="14.25" customHeight="1" x14ac:dyDescent="0.3">
      <c r="A91" s="2" t="s">
        <v>787</v>
      </c>
      <c r="B91" s="2" t="s">
        <v>1057</v>
      </c>
      <c r="C91" s="2" t="s">
        <v>1420</v>
      </c>
      <c r="D91" s="2" t="s">
        <v>1421</v>
      </c>
      <c r="E91" s="2" t="s">
        <v>1422</v>
      </c>
      <c r="F91" s="2" t="s">
        <v>1257</v>
      </c>
      <c r="G91" s="2" t="s">
        <v>1129</v>
      </c>
    </row>
    <row r="92" spans="1:7" ht="14.25" customHeight="1" x14ac:dyDescent="0.3">
      <c r="A92" s="2" t="s">
        <v>837</v>
      </c>
      <c r="B92" s="2" t="s">
        <v>1012</v>
      </c>
      <c r="C92" s="2" t="s">
        <v>1423</v>
      </c>
      <c r="D92" s="2" t="s">
        <v>1424</v>
      </c>
      <c r="E92" s="2" t="s">
        <v>1425</v>
      </c>
      <c r="F92" s="2" t="s">
        <v>1257</v>
      </c>
      <c r="G92" s="2" t="s">
        <v>1129</v>
      </c>
    </row>
    <row r="93" spans="1:7" ht="14.25" customHeight="1" x14ac:dyDescent="0.3">
      <c r="A93" s="2" t="s">
        <v>862</v>
      </c>
      <c r="B93" s="2" t="s">
        <v>1032</v>
      </c>
      <c r="C93" s="2" t="s">
        <v>1426</v>
      </c>
      <c r="D93" s="2" t="s">
        <v>1427</v>
      </c>
      <c r="E93" s="2" t="s">
        <v>1428</v>
      </c>
      <c r="F93" s="2" t="s">
        <v>1359</v>
      </c>
      <c r="G93" s="2" t="s">
        <v>1102</v>
      </c>
    </row>
    <row r="94" spans="1:7" ht="14.25" customHeight="1" x14ac:dyDescent="0.3">
      <c r="A94" s="2" t="s">
        <v>898</v>
      </c>
      <c r="B94" s="2" t="s">
        <v>1066</v>
      </c>
      <c r="C94" s="2" t="s">
        <v>1429</v>
      </c>
      <c r="D94" s="2" t="s">
        <v>1430</v>
      </c>
      <c r="E94" s="2" t="s">
        <v>1431</v>
      </c>
      <c r="F94" s="2" t="s">
        <v>1220</v>
      </c>
      <c r="G94" s="2" t="s">
        <v>1124</v>
      </c>
    </row>
    <row r="95" spans="1:7" ht="14.25" customHeight="1" x14ac:dyDescent="0.3">
      <c r="A95" s="2" t="s">
        <v>957</v>
      </c>
      <c r="B95" s="2" t="s">
        <v>1037</v>
      </c>
      <c r="C95" s="2" t="s">
        <v>1432</v>
      </c>
      <c r="D95" s="2" t="s">
        <v>1433</v>
      </c>
      <c r="E95" s="2" t="s">
        <v>1434</v>
      </c>
      <c r="F95" s="2" t="s">
        <v>1296</v>
      </c>
      <c r="G95" s="2" t="s">
        <v>1117</v>
      </c>
    </row>
    <row r="96" spans="1:7" ht="14.25" customHeight="1" x14ac:dyDescent="0.3">
      <c r="A96" s="2" t="s">
        <v>982</v>
      </c>
      <c r="B96" s="2" t="s">
        <v>1083</v>
      </c>
      <c r="C96" s="2" t="s">
        <v>1435</v>
      </c>
      <c r="D96" s="2" t="s">
        <v>1436</v>
      </c>
      <c r="E96" s="2" t="s">
        <v>1437</v>
      </c>
      <c r="F96" s="2" t="s">
        <v>1216</v>
      </c>
      <c r="G96" s="2" t="s">
        <v>1129</v>
      </c>
    </row>
    <row r="97" spans="1:7" ht="14.25" customHeight="1" x14ac:dyDescent="0.3">
      <c r="A97" s="15"/>
      <c r="B97" s="15"/>
      <c r="C97" s="15"/>
      <c r="D97" s="15"/>
      <c r="E97" s="15"/>
      <c r="F97" s="15"/>
      <c r="G97" s="15"/>
    </row>
    <row r="98" spans="1:7" ht="14.25" customHeight="1" x14ac:dyDescent="0.3"/>
    <row r="99" spans="1:7" ht="14.25" customHeight="1" x14ac:dyDescent="0.3"/>
    <row r="100" spans="1:7" ht="14.25" customHeight="1" x14ac:dyDescent="0.3"/>
    <row r="101" spans="1:7" ht="14.25" customHeight="1" x14ac:dyDescent="0.3"/>
    <row r="102" spans="1:7" ht="14.25" customHeight="1" x14ac:dyDescent="0.3"/>
    <row r="103" spans="1:7" ht="14.25" customHeight="1" x14ac:dyDescent="0.3"/>
    <row r="104" spans="1:7" ht="14.25" customHeight="1" x14ac:dyDescent="0.3"/>
    <row r="105" spans="1:7" ht="14.25" customHeight="1" x14ac:dyDescent="0.3"/>
    <row r="106" spans="1:7" ht="14.25" customHeight="1" x14ac:dyDescent="0.3"/>
    <row r="107" spans="1:7" ht="14.25" customHeight="1" x14ac:dyDescent="0.3"/>
    <row r="108" spans="1:7" ht="14.25" customHeight="1" x14ac:dyDescent="0.3"/>
    <row r="109" spans="1:7" ht="14.25" customHeight="1" x14ac:dyDescent="0.3"/>
    <row r="110" spans="1:7" ht="14.25" customHeight="1" x14ac:dyDescent="0.3"/>
    <row r="111" spans="1:7" ht="14.25" customHeight="1" x14ac:dyDescent="0.3"/>
    <row r="112" spans="1:7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conditionalFormatting sqref="A1:A1048576">
    <cfRule type="duplicateValues" dxfId="4" priority="1"/>
  </conditionalFormatting>
  <pageMargins left="0.75" right="0.75" top="1" bottom="1" header="0" footer="0"/>
  <pageSetup orientation="landscape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000"/>
  <sheetViews>
    <sheetView tabSelected="1" workbookViewId="0">
      <pane ySplit="1" topLeftCell="A2" activePane="bottomLeft" state="frozen"/>
      <selection pane="bottomLeft" activeCell="O70" sqref="O70"/>
    </sheetView>
  </sheetViews>
  <sheetFormatPr defaultColWidth="14.44140625" defaultRowHeight="15" customHeight="1" x14ac:dyDescent="0.3"/>
  <cols>
    <col min="1" max="1" width="14.33203125" customWidth="1"/>
    <col min="2" max="2" width="35.6640625" bestFit="1" customWidth="1"/>
    <col min="3" max="3" width="17.5546875" bestFit="1" customWidth="1"/>
    <col min="4" max="4" width="20.44140625" bestFit="1" customWidth="1"/>
    <col min="5" max="5" width="16.5546875" customWidth="1"/>
    <col min="6" max="6" width="17" customWidth="1"/>
    <col min="7" max="7" width="24.88671875" bestFit="1" customWidth="1"/>
    <col min="8" max="8" width="21.5546875" bestFit="1" customWidth="1"/>
    <col min="9" max="9" width="18.109375" bestFit="1" customWidth="1"/>
    <col min="10" max="12" width="8.6640625" customWidth="1"/>
    <col min="13" max="13" width="18.33203125" customWidth="1"/>
    <col min="14" max="14" width="31.109375" bestFit="1" customWidth="1"/>
    <col min="15" max="15" width="27.6640625" customWidth="1"/>
    <col min="16" max="26" width="8.6640625" customWidth="1"/>
  </cols>
  <sheetData>
    <row r="1" spans="1:15" ht="14.25" customHeight="1" x14ac:dyDescent="0.3">
      <c r="A1" s="4" t="s">
        <v>1438</v>
      </c>
      <c r="B1" s="4" t="s">
        <v>1439</v>
      </c>
      <c r="C1" s="4" t="s">
        <v>1440</v>
      </c>
      <c r="D1" s="4" t="s">
        <v>1441</v>
      </c>
      <c r="E1" s="4" t="s">
        <v>1442</v>
      </c>
      <c r="F1" s="4" t="s">
        <v>1443</v>
      </c>
      <c r="G1" s="8" t="s">
        <v>1444</v>
      </c>
      <c r="H1" s="8" t="s">
        <v>1445</v>
      </c>
      <c r="I1" s="8" t="s">
        <v>1446</v>
      </c>
    </row>
    <row r="2" spans="1:15" ht="14.25" customHeight="1" x14ac:dyDescent="0.3">
      <c r="A2" s="2" t="s">
        <v>1447</v>
      </c>
      <c r="B2" s="2" t="s">
        <v>1448</v>
      </c>
      <c r="C2" s="2" t="s">
        <v>1449</v>
      </c>
      <c r="D2" s="2" t="s">
        <v>1252</v>
      </c>
      <c r="E2" s="2" t="s">
        <v>1184</v>
      </c>
      <c r="F2" s="2" t="s">
        <v>1124</v>
      </c>
      <c r="G2" s="15">
        <f>SUMIF(orders!B:B,A2,orders!F:F)</f>
        <v>0</v>
      </c>
      <c r="H2" s="15">
        <f>COUNTIF(orders!B:B,A2)</f>
        <v>0</v>
      </c>
      <c r="I2" s="15" t="str">
        <f t="shared" ref="I2:I65" si="0">IF(H2&gt;1,"Repeat Customer","One-Time Customer")</f>
        <v>One-Time Customer</v>
      </c>
    </row>
    <row r="3" spans="1:15" ht="14.25" customHeight="1" x14ac:dyDescent="0.3">
      <c r="A3" s="2" t="s">
        <v>1450</v>
      </c>
      <c r="B3" s="2" t="s">
        <v>1451</v>
      </c>
      <c r="C3" s="2" t="s">
        <v>1452</v>
      </c>
      <c r="D3" s="2" t="s">
        <v>1453</v>
      </c>
      <c r="E3" s="2" t="s">
        <v>1454</v>
      </c>
      <c r="F3" s="2" t="s">
        <v>1118</v>
      </c>
      <c r="G3" s="15">
        <f>SUMIF(orders!B:B,A3,orders!F:F)</f>
        <v>0</v>
      </c>
      <c r="H3" s="15">
        <f>COUNTIF(orders!B:B,A3)</f>
        <v>0</v>
      </c>
      <c r="I3" s="15" t="str">
        <f t="shared" si="0"/>
        <v>One-Time Customer</v>
      </c>
    </row>
    <row r="4" spans="1:15" ht="14.25" customHeight="1" x14ac:dyDescent="0.3">
      <c r="A4" s="2" t="s">
        <v>1455</v>
      </c>
      <c r="B4" s="2" t="s">
        <v>1456</v>
      </c>
      <c r="C4" s="2" t="s">
        <v>1457</v>
      </c>
      <c r="D4" s="2" t="s">
        <v>1458</v>
      </c>
      <c r="E4" s="2" t="s">
        <v>1359</v>
      </c>
      <c r="F4" s="2" t="s">
        <v>1102</v>
      </c>
      <c r="G4" s="15">
        <f>SUMIF(orders!B:B,A4,orders!F:F)</f>
        <v>430.15</v>
      </c>
      <c r="H4" s="15">
        <f>COUNTIF(orders!B:B,A4)</f>
        <v>3</v>
      </c>
      <c r="I4" s="15" t="str">
        <f t="shared" si="0"/>
        <v>Repeat Customer</v>
      </c>
      <c r="M4" s="9" t="s">
        <v>1103</v>
      </c>
      <c r="N4" t="s">
        <v>1459</v>
      </c>
      <c r="O4" s="14" t="s">
        <v>1460</v>
      </c>
    </row>
    <row r="5" spans="1:15" ht="14.25" customHeight="1" x14ac:dyDescent="0.3">
      <c r="A5" s="2" t="s">
        <v>1461</v>
      </c>
      <c r="B5" s="2" t="s">
        <v>1462</v>
      </c>
      <c r="C5" s="2" t="s">
        <v>1463</v>
      </c>
      <c r="D5" s="2" t="s">
        <v>1464</v>
      </c>
      <c r="E5" s="2" t="s">
        <v>1235</v>
      </c>
      <c r="F5" s="2" t="s">
        <v>1118</v>
      </c>
      <c r="G5" s="15">
        <f>SUMIF(orders!B:B,A5,orders!F:F)</f>
        <v>70.83</v>
      </c>
      <c r="H5" s="15">
        <f>COUNTIF(orders!B:B,A5)</f>
        <v>2</v>
      </c>
      <c r="I5" s="15" t="str">
        <f t="shared" si="0"/>
        <v>Repeat Customer</v>
      </c>
      <c r="M5" s="10" t="s">
        <v>1111</v>
      </c>
      <c r="N5">
        <v>4</v>
      </c>
    </row>
    <row r="6" spans="1:15" ht="14.25" customHeight="1" x14ac:dyDescent="0.3">
      <c r="A6" s="2" t="s">
        <v>1465</v>
      </c>
      <c r="B6" s="2" t="s">
        <v>1466</v>
      </c>
      <c r="C6" s="2" t="s">
        <v>1467</v>
      </c>
      <c r="D6" s="2" t="s">
        <v>1468</v>
      </c>
      <c r="E6" s="2" t="s">
        <v>1159</v>
      </c>
      <c r="F6" s="2" t="s">
        <v>1117</v>
      </c>
      <c r="G6" s="15">
        <f>SUMIF(orders!B:B,A6,orders!F:F)</f>
        <v>49.22</v>
      </c>
      <c r="H6" s="15">
        <f>COUNTIF(orders!B:B,A6)</f>
        <v>2</v>
      </c>
      <c r="I6" s="15" t="str">
        <f t="shared" si="0"/>
        <v>Repeat Customer</v>
      </c>
      <c r="M6" s="10" t="s">
        <v>1118</v>
      </c>
      <c r="N6">
        <v>141</v>
      </c>
      <c r="O6" t="s">
        <v>1469</v>
      </c>
    </row>
    <row r="7" spans="1:15" ht="14.25" customHeight="1" x14ac:dyDescent="0.3">
      <c r="A7" s="2" t="s">
        <v>1470</v>
      </c>
      <c r="B7" s="2" t="s">
        <v>1471</v>
      </c>
      <c r="C7" s="2" t="s">
        <v>1472</v>
      </c>
      <c r="D7" s="2" t="s">
        <v>1473</v>
      </c>
      <c r="E7" s="2" t="s">
        <v>1474</v>
      </c>
      <c r="F7" s="2" t="s">
        <v>1118</v>
      </c>
      <c r="G7" s="15">
        <f>SUMIF(orders!B:B,A7,orders!F:F)</f>
        <v>418.56999999999994</v>
      </c>
      <c r="H7" s="15">
        <f>COUNTIF(orders!B:B,A7)</f>
        <v>7</v>
      </c>
      <c r="I7" s="15" t="str">
        <f t="shared" si="0"/>
        <v>Repeat Customer</v>
      </c>
      <c r="M7" s="10" t="s">
        <v>1124</v>
      </c>
      <c r="N7">
        <v>5</v>
      </c>
    </row>
    <row r="8" spans="1:15" ht="14.25" customHeight="1" x14ac:dyDescent="0.3">
      <c r="A8" s="2" t="s">
        <v>1475</v>
      </c>
      <c r="B8" s="2" t="s">
        <v>1476</v>
      </c>
      <c r="C8" s="2" t="s">
        <v>1477</v>
      </c>
      <c r="D8" s="2" t="s">
        <v>1478</v>
      </c>
      <c r="E8" s="2" t="s">
        <v>1139</v>
      </c>
      <c r="F8" s="2" t="s">
        <v>1130</v>
      </c>
      <c r="G8" s="15">
        <f>SUMIF(orders!B:B,A8,orders!F:F)</f>
        <v>29.85</v>
      </c>
      <c r="H8" s="15">
        <f>COUNTIF(orders!B:B,A8)</f>
        <v>1</v>
      </c>
      <c r="I8" s="15" t="str">
        <f t="shared" si="0"/>
        <v>One-Time Customer</v>
      </c>
      <c r="M8" s="10" t="s">
        <v>1130</v>
      </c>
      <c r="N8">
        <v>96</v>
      </c>
    </row>
    <row r="9" spans="1:15" ht="14.25" customHeight="1" x14ac:dyDescent="0.3">
      <c r="A9" s="2" t="s">
        <v>1479</v>
      </c>
      <c r="B9" s="2" t="s">
        <v>1480</v>
      </c>
      <c r="C9" s="2" t="s">
        <v>1481</v>
      </c>
      <c r="D9" s="2" t="s">
        <v>1482</v>
      </c>
      <c r="E9" s="2" t="s">
        <v>1407</v>
      </c>
      <c r="F9" s="2" t="s">
        <v>1118</v>
      </c>
      <c r="G9" s="15">
        <f>SUMIF(orders!B:B,A9,orders!F:F)</f>
        <v>56.31</v>
      </c>
      <c r="H9" s="15">
        <f>COUNTIF(orders!B:B,A9)</f>
        <v>2</v>
      </c>
      <c r="I9" s="15" t="str">
        <f t="shared" si="0"/>
        <v>Repeat Customer</v>
      </c>
      <c r="M9" s="10" t="s">
        <v>1110</v>
      </c>
      <c r="N9">
        <v>26</v>
      </c>
    </row>
    <row r="10" spans="1:15" ht="14.25" customHeight="1" x14ac:dyDescent="0.3">
      <c r="A10" s="2" t="s">
        <v>1483</v>
      </c>
      <c r="B10" s="2" t="s">
        <v>1484</v>
      </c>
      <c r="C10" s="2" t="s">
        <v>1485</v>
      </c>
      <c r="D10" s="2" t="s">
        <v>1486</v>
      </c>
      <c r="E10" s="2" t="s">
        <v>1487</v>
      </c>
      <c r="F10" s="2" t="s">
        <v>1118</v>
      </c>
      <c r="G10" s="15">
        <f>SUMIF(orders!B:B,A10,orders!F:F)</f>
        <v>0</v>
      </c>
      <c r="H10" s="15">
        <f>COUNTIF(orders!B:B,A10)</f>
        <v>0</v>
      </c>
      <c r="I10" s="15" t="str">
        <f t="shared" si="0"/>
        <v>One-Time Customer</v>
      </c>
      <c r="M10" s="10" t="s">
        <v>1129</v>
      </c>
      <c r="N10">
        <v>14</v>
      </c>
    </row>
    <row r="11" spans="1:15" ht="14.25" customHeight="1" x14ac:dyDescent="0.3">
      <c r="A11" s="2" t="s">
        <v>1488</v>
      </c>
      <c r="B11" s="2" t="s">
        <v>1489</v>
      </c>
      <c r="C11" s="2" t="s">
        <v>1490</v>
      </c>
      <c r="D11" s="2" t="s">
        <v>1491</v>
      </c>
      <c r="E11" s="2" t="s">
        <v>1492</v>
      </c>
      <c r="F11" s="2" t="s">
        <v>1130</v>
      </c>
      <c r="G11" s="15">
        <f>SUMIF(orders!B:B,A11,orders!F:F)</f>
        <v>727.07999999999993</v>
      </c>
      <c r="H11" s="15">
        <f>COUNTIF(orders!B:B,A11)</f>
        <v>6</v>
      </c>
      <c r="I11" s="15" t="str">
        <f t="shared" si="0"/>
        <v>Repeat Customer</v>
      </c>
      <c r="M11" s="10" t="s">
        <v>1102</v>
      </c>
      <c r="N11">
        <v>109</v>
      </c>
    </row>
    <row r="12" spans="1:15" ht="14.25" customHeight="1" x14ac:dyDescent="0.3">
      <c r="A12" s="2" t="s">
        <v>1493</v>
      </c>
      <c r="B12" s="2" t="s">
        <v>1494</v>
      </c>
      <c r="C12" s="2" t="s">
        <v>1495</v>
      </c>
      <c r="D12" s="2" t="s">
        <v>1496</v>
      </c>
      <c r="E12" s="2" t="s">
        <v>1407</v>
      </c>
      <c r="F12" s="2" t="s">
        <v>1118</v>
      </c>
      <c r="G12" s="15">
        <f>SUMIF(orders!B:B,A12,orders!F:F)</f>
        <v>340.97</v>
      </c>
      <c r="H12" s="15">
        <f>COUNTIF(orders!B:B,A12)</f>
        <v>4</v>
      </c>
      <c r="I12" s="15" t="str">
        <f t="shared" si="0"/>
        <v>Repeat Customer</v>
      </c>
      <c r="M12" s="10" t="s">
        <v>1117</v>
      </c>
      <c r="N12">
        <v>46</v>
      </c>
    </row>
    <row r="13" spans="1:15" ht="14.25" customHeight="1" x14ac:dyDescent="0.3">
      <c r="A13" s="2" t="s">
        <v>1497</v>
      </c>
      <c r="B13" s="2" t="s">
        <v>1498</v>
      </c>
      <c r="C13" s="2" t="s">
        <v>1499</v>
      </c>
      <c r="D13" s="2" t="s">
        <v>1500</v>
      </c>
      <c r="E13" s="2" t="s">
        <v>1134</v>
      </c>
      <c r="F13" s="2" t="s">
        <v>1102</v>
      </c>
      <c r="G13" s="15">
        <f>SUMIF(orders!B:B,A13,orders!F:F)</f>
        <v>139.01999999999998</v>
      </c>
      <c r="H13" s="15">
        <f>COUNTIF(orders!B:B,A13)</f>
        <v>2</v>
      </c>
      <c r="I13" s="15" t="str">
        <f t="shared" si="0"/>
        <v>Repeat Customer</v>
      </c>
      <c r="M13" s="10" t="s">
        <v>1016</v>
      </c>
      <c r="N13">
        <v>441</v>
      </c>
    </row>
    <row r="14" spans="1:15" ht="14.25" customHeight="1" x14ac:dyDescent="0.3">
      <c r="A14" s="2" t="s">
        <v>1501</v>
      </c>
      <c r="B14" s="2" t="s">
        <v>1502</v>
      </c>
      <c r="C14" s="2" t="s">
        <v>1503</v>
      </c>
      <c r="D14" s="2" t="s">
        <v>1412</v>
      </c>
      <c r="E14" s="2" t="s">
        <v>1487</v>
      </c>
      <c r="F14" s="2" t="s">
        <v>1118</v>
      </c>
      <c r="G14" s="15">
        <f>SUMIF(orders!B:B,A14,orders!F:F)</f>
        <v>114.29</v>
      </c>
      <c r="H14" s="15">
        <f>COUNTIF(orders!B:B,A14)</f>
        <v>2</v>
      </c>
      <c r="I14" s="15" t="str">
        <f t="shared" si="0"/>
        <v>Repeat Customer</v>
      </c>
    </row>
    <row r="15" spans="1:15" ht="14.25" customHeight="1" x14ac:dyDescent="0.3">
      <c r="A15" s="2" t="s">
        <v>1504</v>
      </c>
      <c r="B15" s="2" t="s">
        <v>1505</v>
      </c>
      <c r="C15" s="2" t="s">
        <v>1506</v>
      </c>
      <c r="D15" s="2" t="s">
        <v>1507</v>
      </c>
      <c r="E15" s="2" t="s">
        <v>1474</v>
      </c>
      <c r="F15" s="2" t="s">
        <v>1118</v>
      </c>
      <c r="G15" s="15">
        <f>SUMIF(orders!B:B,A15,orders!F:F)</f>
        <v>145.38</v>
      </c>
      <c r="H15" s="15">
        <f>COUNTIF(orders!B:B,A15)</f>
        <v>2</v>
      </c>
      <c r="I15" s="15" t="str">
        <f t="shared" si="0"/>
        <v>Repeat Customer</v>
      </c>
    </row>
    <row r="16" spans="1:15" ht="14.25" customHeight="1" x14ac:dyDescent="0.3">
      <c r="A16" s="2" t="s">
        <v>1508</v>
      </c>
      <c r="B16" s="2" t="s">
        <v>1509</v>
      </c>
      <c r="C16" s="2" t="s">
        <v>1503</v>
      </c>
      <c r="D16" s="2" t="s">
        <v>1153</v>
      </c>
      <c r="E16" s="2" t="s">
        <v>1155</v>
      </c>
      <c r="F16" s="2" t="s">
        <v>1130</v>
      </c>
      <c r="G16" s="15">
        <f>SUMIF(orders!B:B,A16,orders!F:F)</f>
        <v>312.39</v>
      </c>
      <c r="H16" s="15">
        <f>COUNTIF(orders!B:B,A16)</f>
        <v>5</v>
      </c>
      <c r="I16" s="15" t="str">
        <f t="shared" si="0"/>
        <v>Repeat Customer</v>
      </c>
    </row>
    <row r="17" spans="1:15" ht="14.25" customHeight="1" x14ac:dyDescent="0.3">
      <c r="A17" s="2" t="s">
        <v>1510</v>
      </c>
      <c r="B17" s="2" t="s">
        <v>1511</v>
      </c>
      <c r="C17" s="2" t="s">
        <v>1512</v>
      </c>
      <c r="D17" s="2" t="s">
        <v>1513</v>
      </c>
      <c r="E17" s="2" t="s">
        <v>1514</v>
      </c>
      <c r="F17" s="2" t="s">
        <v>1130</v>
      </c>
      <c r="G17" s="15">
        <f>SUMIF(orders!B:B,A17,orders!F:F)</f>
        <v>46.28</v>
      </c>
      <c r="H17" s="15">
        <f>COUNTIF(orders!B:B,A17)</f>
        <v>1</v>
      </c>
      <c r="I17" s="15" t="str">
        <f t="shared" si="0"/>
        <v>One-Time Customer</v>
      </c>
    </row>
    <row r="18" spans="1:15" ht="14.25" customHeight="1" x14ac:dyDescent="0.3">
      <c r="A18" s="2" t="s">
        <v>1515</v>
      </c>
      <c r="B18" s="2" t="s">
        <v>1516</v>
      </c>
      <c r="C18" s="2" t="s">
        <v>1517</v>
      </c>
      <c r="D18" s="2" t="s">
        <v>1518</v>
      </c>
      <c r="E18" s="2" t="s">
        <v>1184</v>
      </c>
      <c r="F18" s="2" t="s">
        <v>1124</v>
      </c>
      <c r="G18" s="15">
        <f>SUMIF(orders!B:B,A18,orders!F:F)</f>
        <v>161.5</v>
      </c>
      <c r="H18" s="15">
        <f>COUNTIF(orders!B:B,A18)</f>
        <v>4</v>
      </c>
      <c r="I18" s="15" t="str">
        <f t="shared" si="0"/>
        <v>Repeat Customer</v>
      </c>
    </row>
    <row r="19" spans="1:15" ht="14.25" customHeight="1" x14ac:dyDescent="0.3">
      <c r="A19" s="2" t="s">
        <v>1519</v>
      </c>
      <c r="B19" s="2" t="s">
        <v>1520</v>
      </c>
      <c r="C19" s="2" t="s">
        <v>1521</v>
      </c>
      <c r="D19" s="2" t="s">
        <v>1522</v>
      </c>
      <c r="E19" s="2" t="s">
        <v>1216</v>
      </c>
      <c r="F19" s="2" t="s">
        <v>1110</v>
      </c>
      <c r="G19" s="15">
        <f>SUMIF(orders!B:B,A19,orders!F:F)</f>
        <v>112.68</v>
      </c>
      <c r="H19" s="15">
        <f>COUNTIF(orders!B:B,A19)</f>
        <v>3</v>
      </c>
      <c r="I19" s="15" t="str">
        <f t="shared" si="0"/>
        <v>Repeat Customer</v>
      </c>
    </row>
    <row r="20" spans="1:15" ht="14.25" customHeight="1" x14ac:dyDescent="0.3">
      <c r="A20" s="2" t="s">
        <v>1523</v>
      </c>
      <c r="B20" s="2" t="s">
        <v>1524</v>
      </c>
      <c r="C20" s="2" t="s">
        <v>1525</v>
      </c>
      <c r="D20" s="2" t="s">
        <v>1526</v>
      </c>
      <c r="E20" s="2" t="s">
        <v>1109</v>
      </c>
      <c r="F20" s="2" t="s">
        <v>1110</v>
      </c>
      <c r="G20" s="15">
        <f>SUMIF(orders!B:B,A20,orders!F:F)</f>
        <v>0</v>
      </c>
      <c r="H20" s="15">
        <f>COUNTIF(orders!B:B,A20)</f>
        <v>0</v>
      </c>
      <c r="I20" s="15" t="str">
        <f t="shared" si="0"/>
        <v>One-Time Customer</v>
      </c>
    </row>
    <row r="21" spans="1:15" ht="14.25" customHeight="1" x14ac:dyDescent="0.3">
      <c r="A21" s="2" t="s">
        <v>1527</v>
      </c>
      <c r="B21" s="2" t="s">
        <v>1528</v>
      </c>
      <c r="C21" s="2" t="s">
        <v>1529</v>
      </c>
      <c r="D21" s="2" t="s">
        <v>1491</v>
      </c>
      <c r="E21" s="2" t="s">
        <v>1205</v>
      </c>
      <c r="F21" s="2" t="s">
        <v>1102</v>
      </c>
      <c r="G21" s="15">
        <f>SUMIF(orders!B:B,A21,orders!F:F)</f>
        <v>0</v>
      </c>
      <c r="H21" s="15">
        <f>COUNTIF(orders!B:B,A21)</f>
        <v>0</v>
      </c>
      <c r="I21" s="15" t="str">
        <f t="shared" si="0"/>
        <v>One-Time Customer</v>
      </c>
    </row>
    <row r="22" spans="1:15" ht="14.25" customHeight="1" x14ac:dyDescent="0.3">
      <c r="A22" s="2" t="s">
        <v>1530</v>
      </c>
      <c r="B22" s="2" t="s">
        <v>1531</v>
      </c>
      <c r="C22" s="2" t="s">
        <v>1532</v>
      </c>
      <c r="D22" s="2" t="s">
        <v>1405</v>
      </c>
      <c r="E22" s="2" t="s">
        <v>1474</v>
      </c>
      <c r="F22" s="2" t="s">
        <v>1118</v>
      </c>
      <c r="G22" s="15">
        <f>SUMIF(orders!B:B,A22,orders!F:F)</f>
        <v>0</v>
      </c>
      <c r="H22" s="15">
        <f>COUNTIF(orders!B:B,A22)</f>
        <v>0</v>
      </c>
      <c r="I22" s="15" t="str">
        <f t="shared" si="0"/>
        <v>One-Time Customer</v>
      </c>
      <c r="M22" s="9" t="s">
        <v>1443</v>
      </c>
      <c r="N22" t="s">
        <v>1533</v>
      </c>
      <c r="O22" s="14" t="s">
        <v>1534</v>
      </c>
    </row>
    <row r="23" spans="1:15" ht="14.25" customHeight="1" x14ac:dyDescent="0.3">
      <c r="A23" s="2" t="s">
        <v>1535</v>
      </c>
      <c r="B23" s="2" t="s">
        <v>1536</v>
      </c>
      <c r="C23" s="2" t="s">
        <v>1131</v>
      </c>
      <c r="D23" s="2" t="s">
        <v>1518</v>
      </c>
      <c r="E23" s="2" t="s">
        <v>1155</v>
      </c>
      <c r="F23" s="2" t="s">
        <v>1130</v>
      </c>
      <c r="G23" s="15">
        <f>SUMIF(orders!B:B,A23,orders!F:F)</f>
        <v>304.61</v>
      </c>
      <c r="H23" s="15">
        <f>COUNTIF(orders!B:B,A23)</f>
        <v>2</v>
      </c>
      <c r="I23" s="15" t="str">
        <f t="shared" si="0"/>
        <v>Repeat Customer</v>
      </c>
      <c r="M23" t="s">
        <v>1111</v>
      </c>
      <c r="N23">
        <v>356.67</v>
      </c>
    </row>
    <row r="24" spans="1:15" ht="14.25" customHeight="1" x14ac:dyDescent="0.3">
      <c r="A24" s="2" t="s">
        <v>1537</v>
      </c>
      <c r="B24" s="2" t="s">
        <v>1538</v>
      </c>
      <c r="C24" s="2" t="s">
        <v>1539</v>
      </c>
      <c r="D24" s="2" t="s">
        <v>1526</v>
      </c>
      <c r="E24" s="2" t="s">
        <v>1296</v>
      </c>
      <c r="F24" s="2" t="s">
        <v>1117</v>
      </c>
      <c r="G24" s="15">
        <f>SUMIF(orders!B:B,A24,orders!F:F)</f>
        <v>45.709999999999994</v>
      </c>
      <c r="H24" s="15">
        <f>COUNTIF(orders!B:B,A24)</f>
        <v>1</v>
      </c>
      <c r="I24" s="15" t="str">
        <f t="shared" si="0"/>
        <v>One-Time Customer</v>
      </c>
      <c r="M24" t="s">
        <v>1118</v>
      </c>
      <c r="N24">
        <v>12338.550000000001</v>
      </c>
      <c r="O24" t="s">
        <v>1540</v>
      </c>
    </row>
    <row r="25" spans="1:15" ht="14.25" customHeight="1" x14ac:dyDescent="0.3">
      <c r="A25" s="2" t="s">
        <v>1541</v>
      </c>
      <c r="B25" s="2" t="s">
        <v>1542</v>
      </c>
      <c r="C25" s="2" t="s">
        <v>1543</v>
      </c>
      <c r="D25" s="2" t="s">
        <v>1544</v>
      </c>
      <c r="E25" s="2" t="s">
        <v>1151</v>
      </c>
      <c r="F25" s="2" t="s">
        <v>1102</v>
      </c>
      <c r="G25" s="15">
        <f>SUMIF(orders!B:B,A25,orders!F:F)</f>
        <v>26.37</v>
      </c>
      <c r="H25" s="15">
        <f>COUNTIF(orders!B:B,A25)</f>
        <v>1</v>
      </c>
      <c r="I25" s="15" t="str">
        <f t="shared" si="0"/>
        <v>One-Time Customer</v>
      </c>
      <c r="M25" t="s">
        <v>1124</v>
      </c>
      <c r="N25">
        <v>272.25</v>
      </c>
    </row>
    <row r="26" spans="1:15" ht="14.25" customHeight="1" x14ac:dyDescent="0.3">
      <c r="A26" s="2" t="s">
        <v>1545</v>
      </c>
      <c r="B26" s="2" t="s">
        <v>1546</v>
      </c>
      <c r="C26" s="2" t="s">
        <v>1397</v>
      </c>
      <c r="D26" s="2" t="s">
        <v>1547</v>
      </c>
      <c r="E26" s="2" t="s">
        <v>1407</v>
      </c>
      <c r="F26" s="2" t="s">
        <v>1118</v>
      </c>
      <c r="G26" s="15">
        <f>SUMIF(orders!B:B,A26,orders!F:F)</f>
        <v>129.4</v>
      </c>
      <c r="H26" s="15">
        <f>COUNTIF(orders!B:B,A26)</f>
        <v>4</v>
      </c>
      <c r="I26" s="15" t="str">
        <f t="shared" si="0"/>
        <v>Repeat Customer</v>
      </c>
      <c r="M26" t="s">
        <v>1130</v>
      </c>
      <c r="N26">
        <v>8255.8499999999985</v>
      </c>
    </row>
    <row r="27" spans="1:15" ht="14.25" customHeight="1" x14ac:dyDescent="0.3">
      <c r="A27" s="2" t="s">
        <v>1548</v>
      </c>
      <c r="B27" s="2" t="s">
        <v>1549</v>
      </c>
      <c r="C27" s="2" t="s">
        <v>1550</v>
      </c>
      <c r="D27" s="2" t="s">
        <v>1344</v>
      </c>
      <c r="E27" s="2" t="s">
        <v>1172</v>
      </c>
      <c r="F27" s="2" t="s">
        <v>1118</v>
      </c>
      <c r="G27" s="15">
        <f>SUMIF(orders!B:B,A27,orders!F:F)</f>
        <v>63.26</v>
      </c>
      <c r="H27" s="15">
        <f>COUNTIF(orders!B:B,A27)</f>
        <v>2</v>
      </c>
      <c r="I27" s="15" t="str">
        <f t="shared" si="0"/>
        <v>Repeat Customer</v>
      </c>
      <c r="M27" t="s">
        <v>1110</v>
      </c>
      <c r="N27">
        <v>1987.8300000000002</v>
      </c>
    </row>
    <row r="28" spans="1:15" ht="14.25" customHeight="1" x14ac:dyDescent="0.3">
      <c r="A28" s="2" t="s">
        <v>1551</v>
      </c>
      <c r="B28" s="2" t="s">
        <v>1552</v>
      </c>
      <c r="C28" s="2" t="s">
        <v>1553</v>
      </c>
      <c r="D28" s="2" t="s">
        <v>1554</v>
      </c>
      <c r="E28" s="2" t="s">
        <v>1555</v>
      </c>
      <c r="F28" s="2" t="s">
        <v>1118</v>
      </c>
      <c r="G28" s="15">
        <f>SUMIF(orders!B:B,A28,orders!F:F)</f>
        <v>194.69</v>
      </c>
      <c r="H28" s="15">
        <f>COUNTIF(orders!B:B,A28)</f>
        <v>2</v>
      </c>
      <c r="I28" s="15" t="str">
        <f t="shared" si="0"/>
        <v>Repeat Customer</v>
      </c>
      <c r="M28" t="s">
        <v>1129</v>
      </c>
      <c r="N28">
        <v>1161.99</v>
      </c>
    </row>
    <row r="29" spans="1:15" ht="14.25" customHeight="1" x14ac:dyDescent="0.3">
      <c r="A29" s="2" t="s">
        <v>1556</v>
      </c>
      <c r="B29" s="2" t="s">
        <v>1557</v>
      </c>
      <c r="C29" s="2" t="s">
        <v>1558</v>
      </c>
      <c r="D29" s="2" t="s">
        <v>1559</v>
      </c>
      <c r="E29" s="2" t="s">
        <v>1407</v>
      </c>
      <c r="F29" s="2" t="s">
        <v>1118</v>
      </c>
      <c r="G29" s="15">
        <f>SUMIF(orders!B:B,A29,orders!F:F)</f>
        <v>590.89</v>
      </c>
      <c r="H29" s="15">
        <f>COUNTIF(orders!B:B,A29)</f>
        <v>7</v>
      </c>
      <c r="I29" s="15" t="str">
        <f t="shared" si="0"/>
        <v>Repeat Customer</v>
      </c>
      <c r="M29" t="s">
        <v>1102</v>
      </c>
      <c r="N29">
        <v>9985.15</v>
      </c>
    </row>
    <row r="30" spans="1:15" ht="14.25" customHeight="1" x14ac:dyDescent="0.3">
      <c r="A30" s="2" t="s">
        <v>1560</v>
      </c>
      <c r="B30" s="2" t="s">
        <v>1561</v>
      </c>
      <c r="C30" s="2" t="s">
        <v>1562</v>
      </c>
      <c r="D30" s="2" t="s">
        <v>1464</v>
      </c>
      <c r="E30" s="2" t="s">
        <v>1198</v>
      </c>
      <c r="F30" s="2" t="s">
        <v>1117</v>
      </c>
      <c r="G30" s="15">
        <f>SUMIF(orders!B:B,A30,orders!F:F)</f>
        <v>217.01</v>
      </c>
      <c r="H30" s="15">
        <f>COUNTIF(orders!B:B,A30)</f>
        <v>3</v>
      </c>
      <c r="I30" s="15" t="str">
        <f t="shared" si="0"/>
        <v>Repeat Customer</v>
      </c>
      <c r="M30" t="s">
        <v>1117</v>
      </c>
      <c r="N30">
        <v>3465.2500000000005</v>
      </c>
    </row>
    <row r="31" spans="1:15" ht="14.25" customHeight="1" x14ac:dyDescent="0.3">
      <c r="A31" s="2" t="s">
        <v>1563</v>
      </c>
      <c r="B31" s="2" t="s">
        <v>1564</v>
      </c>
      <c r="C31" s="2" t="s">
        <v>1562</v>
      </c>
      <c r="D31" s="2" t="s">
        <v>1565</v>
      </c>
      <c r="E31" s="2" t="s">
        <v>1342</v>
      </c>
      <c r="F31" s="2" t="s">
        <v>1102</v>
      </c>
      <c r="G31" s="15">
        <f>SUMIF(orders!B:B,A31,orders!F:F)</f>
        <v>50.71</v>
      </c>
      <c r="H31" s="15">
        <f>COUNTIF(orders!B:B,A31)</f>
        <v>1</v>
      </c>
      <c r="I31" s="15" t="str">
        <f t="shared" si="0"/>
        <v>One-Time Customer</v>
      </c>
      <c r="M31" t="s">
        <v>1016</v>
      </c>
      <c r="N31">
        <v>37823.54</v>
      </c>
    </row>
    <row r="32" spans="1:15" ht="14.25" customHeight="1" x14ac:dyDescent="0.3">
      <c r="A32" s="2" t="s">
        <v>1566</v>
      </c>
      <c r="B32" s="2" t="s">
        <v>1567</v>
      </c>
      <c r="C32" s="2" t="s">
        <v>1405</v>
      </c>
      <c r="D32" s="2" t="s">
        <v>1547</v>
      </c>
      <c r="E32" s="2" t="s">
        <v>1407</v>
      </c>
      <c r="F32" s="2" t="s">
        <v>1118</v>
      </c>
      <c r="G32" s="15">
        <f>SUMIF(orders!B:B,A32,orders!F:F)</f>
        <v>270.59999999999997</v>
      </c>
      <c r="H32" s="15">
        <f>COUNTIF(orders!B:B,A32)</f>
        <v>4</v>
      </c>
      <c r="I32" s="15" t="str">
        <f t="shared" si="0"/>
        <v>Repeat Customer</v>
      </c>
    </row>
    <row r="33" spans="1:15" ht="14.25" customHeight="1" x14ac:dyDescent="0.3">
      <c r="A33" s="2" t="s">
        <v>1568</v>
      </c>
      <c r="B33" s="2" t="s">
        <v>1569</v>
      </c>
      <c r="C33" s="2" t="s">
        <v>1485</v>
      </c>
      <c r="D33" s="2" t="s">
        <v>1570</v>
      </c>
      <c r="E33" s="2" t="s">
        <v>1151</v>
      </c>
      <c r="F33" s="2" t="s">
        <v>1102</v>
      </c>
      <c r="G33" s="15">
        <f>SUMIF(orders!B:B,A33,orders!F:F)</f>
        <v>219.63</v>
      </c>
      <c r="H33" s="15">
        <f>COUNTIF(orders!B:B,A33)</f>
        <v>2</v>
      </c>
      <c r="I33" s="15" t="str">
        <f t="shared" si="0"/>
        <v>Repeat Customer</v>
      </c>
    </row>
    <row r="34" spans="1:15" ht="14.25" customHeight="1" x14ac:dyDescent="0.3">
      <c r="A34" s="2" t="s">
        <v>1571</v>
      </c>
      <c r="B34" s="2" t="s">
        <v>1572</v>
      </c>
      <c r="C34" s="2" t="s">
        <v>1573</v>
      </c>
      <c r="D34" s="2" t="s">
        <v>1574</v>
      </c>
      <c r="E34" s="2" t="s">
        <v>1575</v>
      </c>
      <c r="F34" s="2" t="s">
        <v>1118</v>
      </c>
      <c r="G34" s="15">
        <f>SUMIF(orders!B:B,A34,orders!F:F)</f>
        <v>190.95000000000002</v>
      </c>
      <c r="H34" s="15">
        <f>COUNTIF(orders!B:B,A34)</f>
        <v>3</v>
      </c>
      <c r="I34" s="15" t="str">
        <f t="shared" si="0"/>
        <v>Repeat Customer</v>
      </c>
    </row>
    <row r="35" spans="1:15" ht="14.25" customHeight="1" x14ac:dyDescent="0.3">
      <c r="A35" s="2" t="s">
        <v>1576</v>
      </c>
      <c r="B35" s="2" t="s">
        <v>1577</v>
      </c>
      <c r="C35" s="2" t="s">
        <v>1578</v>
      </c>
      <c r="D35" s="2" t="s">
        <v>1579</v>
      </c>
      <c r="E35" s="2" t="s">
        <v>1180</v>
      </c>
      <c r="F35" s="2" t="s">
        <v>1130</v>
      </c>
      <c r="G35" s="15">
        <f>SUMIF(orders!B:B,A35,orders!F:F)</f>
        <v>196.22</v>
      </c>
      <c r="H35" s="15">
        <f>COUNTIF(orders!B:B,A35)</f>
        <v>2</v>
      </c>
      <c r="I35" s="15" t="str">
        <f t="shared" si="0"/>
        <v>Repeat Customer</v>
      </c>
    </row>
    <row r="36" spans="1:15" ht="14.25" customHeight="1" x14ac:dyDescent="0.3">
      <c r="A36" s="2" t="s">
        <v>1580</v>
      </c>
      <c r="B36" s="2" t="s">
        <v>1581</v>
      </c>
      <c r="C36" s="2" t="s">
        <v>1582</v>
      </c>
      <c r="D36" s="2" t="s">
        <v>1583</v>
      </c>
      <c r="E36" s="2" t="s">
        <v>1155</v>
      </c>
      <c r="F36" s="2" t="s">
        <v>1130</v>
      </c>
      <c r="G36" s="15">
        <f>SUMIF(orders!B:B,A36,orders!F:F)</f>
        <v>58.42</v>
      </c>
      <c r="H36" s="15">
        <f>COUNTIF(orders!B:B,A36)</f>
        <v>1</v>
      </c>
      <c r="I36" s="15" t="str">
        <f t="shared" si="0"/>
        <v>One-Time Customer</v>
      </c>
    </row>
    <row r="37" spans="1:15" ht="14.25" customHeight="1" x14ac:dyDescent="0.3">
      <c r="A37" s="2" t="s">
        <v>1584</v>
      </c>
      <c r="B37" s="2" t="s">
        <v>1585</v>
      </c>
      <c r="C37" s="2" t="s">
        <v>1586</v>
      </c>
      <c r="D37" s="2" t="s">
        <v>1587</v>
      </c>
      <c r="E37" s="2" t="s">
        <v>1359</v>
      </c>
      <c r="F37" s="2" t="s">
        <v>1102</v>
      </c>
      <c r="G37" s="15">
        <f>SUMIF(orders!B:B,A37,orders!F:F)</f>
        <v>285.64</v>
      </c>
      <c r="H37" s="15">
        <f>COUNTIF(orders!B:B,A37)</f>
        <v>3</v>
      </c>
      <c r="I37" s="15" t="str">
        <f t="shared" si="0"/>
        <v>Repeat Customer</v>
      </c>
    </row>
    <row r="38" spans="1:15" ht="14.25" customHeight="1" x14ac:dyDescent="0.3">
      <c r="A38" s="2" t="s">
        <v>1588</v>
      </c>
      <c r="B38" s="2" t="s">
        <v>1589</v>
      </c>
      <c r="C38" s="2" t="s">
        <v>1590</v>
      </c>
      <c r="D38" s="2" t="s">
        <v>1591</v>
      </c>
      <c r="E38" s="2" t="s">
        <v>1592</v>
      </c>
      <c r="F38" s="2" t="s">
        <v>1102</v>
      </c>
      <c r="G38" s="15">
        <f>SUMIF(orders!B:B,A38,orders!F:F)</f>
        <v>343.40999999999997</v>
      </c>
      <c r="H38" s="15">
        <f>COUNTIF(orders!B:B,A38)</f>
        <v>2</v>
      </c>
      <c r="I38" s="15" t="str">
        <f t="shared" si="0"/>
        <v>Repeat Customer</v>
      </c>
    </row>
    <row r="39" spans="1:15" ht="14.25" customHeight="1" x14ac:dyDescent="0.3">
      <c r="A39" s="2" t="s">
        <v>1593</v>
      </c>
      <c r="B39" s="2" t="s">
        <v>1594</v>
      </c>
      <c r="C39" s="2" t="s">
        <v>1595</v>
      </c>
      <c r="D39" s="2" t="s">
        <v>1518</v>
      </c>
      <c r="E39" s="2" t="s">
        <v>1155</v>
      </c>
      <c r="F39" s="2" t="s">
        <v>1130</v>
      </c>
      <c r="G39" s="15">
        <f>SUMIF(orders!B:B,A39,orders!F:F)</f>
        <v>0</v>
      </c>
      <c r="H39" s="15">
        <f>COUNTIF(orders!B:B,A39)</f>
        <v>0</v>
      </c>
      <c r="I39" s="15" t="str">
        <f t="shared" si="0"/>
        <v>One-Time Customer</v>
      </c>
    </row>
    <row r="40" spans="1:15" ht="14.25" customHeight="1" x14ac:dyDescent="0.3">
      <c r="A40" s="2" t="s">
        <v>1596</v>
      </c>
      <c r="B40" s="2" t="s">
        <v>1597</v>
      </c>
      <c r="C40" s="2" t="s">
        <v>1598</v>
      </c>
      <c r="D40" s="2" t="s">
        <v>1491</v>
      </c>
      <c r="E40" s="2" t="s">
        <v>1180</v>
      </c>
      <c r="F40" s="2" t="s">
        <v>1130</v>
      </c>
      <c r="G40" s="15">
        <f>SUMIF(orders!B:B,A40,orders!F:F)</f>
        <v>0</v>
      </c>
      <c r="H40" s="15">
        <f>COUNTIF(orders!B:B,A40)</f>
        <v>0</v>
      </c>
      <c r="I40" s="15" t="str">
        <f t="shared" si="0"/>
        <v>One-Time Customer</v>
      </c>
      <c r="M40" s="9" t="s">
        <v>1103</v>
      </c>
      <c r="N40" t="s">
        <v>1533</v>
      </c>
      <c r="O40" s="14" t="s">
        <v>1599</v>
      </c>
    </row>
    <row r="41" spans="1:15" ht="14.25" customHeight="1" x14ac:dyDescent="0.3">
      <c r="A41" s="2" t="s">
        <v>1600</v>
      </c>
      <c r="B41" s="2" t="s">
        <v>1601</v>
      </c>
      <c r="C41" s="2" t="s">
        <v>1602</v>
      </c>
      <c r="D41" s="2" t="s">
        <v>1554</v>
      </c>
      <c r="E41" s="2" t="s">
        <v>1603</v>
      </c>
      <c r="F41" s="2" t="s">
        <v>1102</v>
      </c>
      <c r="G41" s="15">
        <f>SUMIF(orders!B:B,A41,orders!F:F)</f>
        <v>0</v>
      </c>
      <c r="H41" s="15">
        <f>COUNTIF(orders!B:B,A41)</f>
        <v>0</v>
      </c>
      <c r="I41" s="15" t="str">
        <f t="shared" si="0"/>
        <v>One-Time Customer</v>
      </c>
      <c r="M41" s="10" t="s">
        <v>1604</v>
      </c>
      <c r="N41">
        <v>5624.68</v>
      </c>
      <c r="O41" t="s">
        <v>1605</v>
      </c>
    </row>
    <row r="42" spans="1:15" ht="14.25" customHeight="1" x14ac:dyDescent="0.3">
      <c r="A42" s="2" t="s">
        <v>1606</v>
      </c>
      <c r="B42" s="2" t="s">
        <v>1607</v>
      </c>
      <c r="C42" s="2" t="s">
        <v>1608</v>
      </c>
      <c r="D42" s="2" t="s">
        <v>1559</v>
      </c>
      <c r="E42" s="2" t="s">
        <v>1603</v>
      </c>
      <c r="F42" s="2" t="s">
        <v>1102</v>
      </c>
      <c r="G42" s="15">
        <f>SUMIF(orders!B:B,A42,orders!F:F)</f>
        <v>197.69000000000003</v>
      </c>
      <c r="H42" s="15">
        <f>COUNTIF(orders!B:B,A42)</f>
        <v>3</v>
      </c>
      <c r="I42" s="15" t="str">
        <f t="shared" si="0"/>
        <v>Repeat Customer</v>
      </c>
      <c r="M42" s="10" t="s">
        <v>1609</v>
      </c>
      <c r="N42">
        <v>32198.86000000003</v>
      </c>
      <c r="O42" t="s">
        <v>1610</v>
      </c>
    </row>
    <row r="43" spans="1:15" ht="14.25" customHeight="1" x14ac:dyDescent="0.3">
      <c r="A43" s="2" t="s">
        <v>1611</v>
      </c>
      <c r="B43" s="2" t="s">
        <v>1612</v>
      </c>
      <c r="C43" s="2" t="s">
        <v>1613</v>
      </c>
      <c r="D43" s="2" t="s">
        <v>1614</v>
      </c>
      <c r="E43" s="2" t="s">
        <v>1342</v>
      </c>
      <c r="F43" s="2" t="s">
        <v>1102</v>
      </c>
      <c r="G43" s="15">
        <f>SUMIF(orders!B:B,A43,orders!F:F)</f>
        <v>421.15000000000003</v>
      </c>
      <c r="H43" s="15">
        <f>COUNTIF(orders!B:B,A43)</f>
        <v>3</v>
      </c>
      <c r="I43" s="15" t="str">
        <f t="shared" si="0"/>
        <v>Repeat Customer</v>
      </c>
      <c r="M43" s="10" t="s">
        <v>1092</v>
      </c>
    </row>
    <row r="44" spans="1:15" ht="14.25" customHeight="1" x14ac:dyDescent="0.3">
      <c r="A44" s="2" t="s">
        <v>1615</v>
      </c>
      <c r="B44" s="2" t="s">
        <v>1616</v>
      </c>
      <c r="C44" s="2" t="s">
        <v>1617</v>
      </c>
      <c r="D44" s="2" t="s">
        <v>1618</v>
      </c>
      <c r="E44" s="2" t="s">
        <v>1454</v>
      </c>
      <c r="F44" s="2" t="s">
        <v>1118</v>
      </c>
      <c r="G44" s="15">
        <f>SUMIF(orders!B:B,A44,orders!F:F)</f>
        <v>0</v>
      </c>
      <c r="H44" s="15">
        <f>COUNTIF(orders!B:B,A44)</f>
        <v>0</v>
      </c>
      <c r="I44" s="15" t="str">
        <f t="shared" si="0"/>
        <v>One-Time Customer</v>
      </c>
      <c r="M44" s="10" t="s">
        <v>1016</v>
      </c>
      <c r="N44">
        <v>37823.54000000003</v>
      </c>
    </row>
    <row r="45" spans="1:15" ht="14.25" customHeight="1" x14ac:dyDescent="0.3">
      <c r="A45" s="2" t="s">
        <v>1619</v>
      </c>
      <c r="B45" s="2" t="s">
        <v>1620</v>
      </c>
      <c r="C45" s="2" t="s">
        <v>1621</v>
      </c>
      <c r="D45" s="2" t="s">
        <v>1579</v>
      </c>
      <c r="E45" s="2" t="s">
        <v>1474</v>
      </c>
      <c r="F45" s="2" t="s">
        <v>1118</v>
      </c>
      <c r="G45" s="15">
        <f>SUMIF(orders!B:B,A45,orders!F:F)</f>
        <v>86.27</v>
      </c>
      <c r="H45" s="15">
        <f>COUNTIF(orders!B:B,A45)</f>
        <v>1</v>
      </c>
      <c r="I45" s="15" t="str">
        <f t="shared" si="0"/>
        <v>One-Time Customer</v>
      </c>
    </row>
    <row r="46" spans="1:15" ht="14.25" customHeight="1" x14ac:dyDescent="0.3">
      <c r="A46" s="2" t="s">
        <v>1622</v>
      </c>
      <c r="B46" s="2" t="s">
        <v>1623</v>
      </c>
      <c r="C46" s="2" t="s">
        <v>1503</v>
      </c>
      <c r="D46" s="2" t="s">
        <v>1153</v>
      </c>
      <c r="E46" s="2" t="s">
        <v>1555</v>
      </c>
      <c r="F46" s="2" t="s">
        <v>1118</v>
      </c>
      <c r="G46" s="15">
        <f>SUMIF(orders!B:B,A46,orders!F:F)</f>
        <v>61.94</v>
      </c>
      <c r="H46" s="15">
        <f>COUNTIF(orders!B:B,A46)</f>
        <v>3</v>
      </c>
      <c r="I46" s="15" t="str">
        <f t="shared" si="0"/>
        <v>Repeat Customer</v>
      </c>
      <c r="M46" s="9" t="s">
        <v>1103</v>
      </c>
      <c r="N46" t="s">
        <v>1459</v>
      </c>
    </row>
    <row r="47" spans="1:15" ht="14.25" customHeight="1" x14ac:dyDescent="0.3">
      <c r="A47" s="2" t="s">
        <v>1624</v>
      </c>
      <c r="B47" s="2" t="s">
        <v>1625</v>
      </c>
      <c r="C47" s="2" t="s">
        <v>1626</v>
      </c>
      <c r="D47" s="2" t="s">
        <v>1627</v>
      </c>
      <c r="E47" s="2" t="s">
        <v>1155</v>
      </c>
      <c r="F47" s="2" t="s">
        <v>1130</v>
      </c>
      <c r="G47" s="15">
        <f>SUMIF(orders!B:B,A47,orders!F:F)</f>
        <v>20.420000000000002</v>
      </c>
      <c r="H47" s="15">
        <f>COUNTIF(orders!B:B,A47)</f>
        <v>1</v>
      </c>
      <c r="I47" s="15" t="str">
        <f t="shared" si="0"/>
        <v>One-Time Customer</v>
      </c>
      <c r="M47" s="10" t="s">
        <v>1604</v>
      </c>
      <c r="N47">
        <v>300</v>
      </c>
    </row>
    <row r="48" spans="1:15" ht="14.25" customHeight="1" x14ac:dyDescent="0.3">
      <c r="A48" s="2" t="s">
        <v>1628</v>
      </c>
      <c r="B48" s="2" t="s">
        <v>1629</v>
      </c>
      <c r="C48" s="2" t="s">
        <v>1503</v>
      </c>
      <c r="D48" s="2" t="s">
        <v>1453</v>
      </c>
      <c r="E48" s="2" t="s">
        <v>1109</v>
      </c>
      <c r="F48" s="2" t="s">
        <v>1110</v>
      </c>
      <c r="G48" s="15">
        <f>SUMIF(orders!B:B,A48,orders!F:F)</f>
        <v>0</v>
      </c>
      <c r="H48" s="15">
        <f>COUNTIF(orders!B:B,A48)</f>
        <v>0</v>
      </c>
      <c r="I48" s="15" t="str">
        <f t="shared" si="0"/>
        <v>One-Time Customer</v>
      </c>
      <c r="M48" s="10" t="s">
        <v>1609</v>
      </c>
      <c r="N48">
        <v>141</v>
      </c>
    </row>
    <row r="49" spans="1:14" ht="14.25" customHeight="1" x14ac:dyDescent="0.3">
      <c r="A49" s="2" t="s">
        <v>1630</v>
      </c>
      <c r="B49" s="2" t="s">
        <v>1631</v>
      </c>
      <c r="C49" s="2" t="s">
        <v>1632</v>
      </c>
      <c r="D49" s="2" t="s">
        <v>1522</v>
      </c>
      <c r="E49" s="2" t="s">
        <v>1407</v>
      </c>
      <c r="F49" s="2" t="s">
        <v>1118</v>
      </c>
      <c r="G49" s="15">
        <f>SUMIF(orders!B:B,A49,orders!F:F)</f>
        <v>233.44</v>
      </c>
      <c r="H49" s="15">
        <f>COUNTIF(orders!B:B,A49)</f>
        <v>3</v>
      </c>
      <c r="I49" s="15" t="str">
        <f t="shared" si="0"/>
        <v>Repeat Customer</v>
      </c>
      <c r="M49" s="10" t="s">
        <v>1092</v>
      </c>
    </row>
    <row r="50" spans="1:14" ht="14.25" customHeight="1" x14ac:dyDescent="0.3">
      <c r="A50" s="2" t="s">
        <v>1633</v>
      </c>
      <c r="B50" s="2" t="s">
        <v>1634</v>
      </c>
      <c r="C50" s="2" t="s">
        <v>1635</v>
      </c>
      <c r="D50" s="2" t="s">
        <v>1252</v>
      </c>
      <c r="E50" s="2" t="s">
        <v>1313</v>
      </c>
      <c r="F50" s="2" t="s">
        <v>1129</v>
      </c>
      <c r="G50" s="15">
        <f>SUMIF(orders!B:B,A50,orders!F:F)</f>
        <v>87.32</v>
      </c>
      <c r="H50" s="15">
        <f>COUNTIF(orders!B:B,A50)</f>
        <v>2</v>
      </c>
      <c r="I50" s="15" t="str">
        <f t="shared" si="0"/>
        <v>Repeat Customer</v>
      </c>
      <c r="M50" s="10" t="s">
        <v>1016</v>
      </c>
      <c r="N50">
        <v>441</v>
      </c>
    </row>
    <row r="51" spans="1:14" ht="14.25" customHeight="1" x14ac:dyDescent="0.3">
      <c r="A51" s="2" t="s">
        <v>1636</v>
      </c>
      <c r="B51" s="2" t="s">
        <v>1637</v>
      </c>
      <c r="C51" s="2" t="s">
        <v>1522</v>
      </c>
      <c r="D51" s="2" t="s">
        <v>1638</v>
      </c>
      <c r="E51" s="2" t="s">
        <v>1603</v>
      </c>
      <c r="F51" s="2" t="s">
        <v>1102</v>
      </c>
      <c r="G51" s="15">
        <f>SUMIF(orders!B:B,A51,orders!F:F)</f>
        <v>188.99</v>
      </c>
      <c r="H51" s="15">
        <f>COUNTIF(orders!B:B,A51)</f>
        <v>2</v>
      </c>
      <c r="I51" s="15" t="str">
        <f t="shared" si="0"/>
        <v>Repeat Customer</v>
      </c>
    </row>
    <row r="52" spans="1:14" ht="14.25" customHeight="1" x14ac:dyDescent="0.3">
      <c r="A52" s="2" t="s">
        <v>1639</v>
      </c>
      <c r="B52" s="2" t="s">
        <v>1640</v>
      </c>
      <c r="C52" s="2" t="s">
        <v>1632</v>
      </c>
      <c r="D52" s="2" t="s">
        <v>1641</v>
      </c>
      <c r="E52" s="2" t="s">
        <v>1454</v>
      </c>
      <c r="F52" s="2" t="s">
        <v>1118</v>
      </c>
      <c r="G52" s="15">
        <f>SUMIF(orders!B:B,A52,orders!F:F)</f>
        <v>0</v>
      </c>
      <c r="H52" s="15">
        <f>COUNTIF(orders!B:B,A52)</f>
        <v>0</v>
      </c>
      <c r="I52" s="15" t="str">
        <f t="shared" si="0"/>
        <v>One-Time Customer</v>
      </c>
    </row>
    <row r="53" spans="1:14" ht="14.25" customHeight="1" x14ac:dyDescent="0.3">
      <c r="A53" s="2" t="s">
        <v>1642</v>
      </c>
      <c r="B53" s="2" t="s">
        <v>1643</v>
      </c>
      <c r="C53" s="2" t="s">
        <v>1644</v>
      </c>
      <c r="D53" s="2" t="s">
        <v>1513</v>
      </c>
      <c r="E53" s="2" t="s">
        <v>1645</v>
      </c>
      <c r="F53" s="2" t="s">
        <v>1129</v>
      </c>
      <c r="G53" s="15">
        <f>SUMIF(orders!B:B,A53,orders!F:F)</f>
        <v>149.52000000000001</v>
      </c>
      <c r="H53" s="15">
        <f>COUNTIF(orders!B:B,A53)</f>
        <v>3</v>
      </c>
      <c r="I53" s="15" t="str">
        <f t="shared" si="0"/>
        <v>Repeat Customer</v>
      </c>
      <c r="M53" s="9" t="s">
        <v>1103</v>
      </c>
      <c r="N53" t="s">
        <v>1646</v>
      </c>
    </row>
    <row r="54" spans="1:14" ht="14.25" customHeight="1" x14ac:dyDescent="0.3">
      <c r="A54" s="2" t="s">
        <v>1647</v>
      </c>
      <c r="B54" s="2" t="s">
        <v>1648</v>
      </c>
      <c r="C54" s="2" t="s">
        <v>1649</v>
      </c>
      <c r="D54" s="2" t="s">
        <v>1518</v>
      </c>
      <c r="E54" s="2" t="s">
        <v>1155</v>
      </c>
      <c r="F54" s="2" t="s">
        <v>1130</v>
      </c>
      <c r="G54" s="15">
        <f>SUMIF(orders!B:B,A54,orders!F:F)</f>
        <v>42.49</v>
      </c>
      <c r="H54" s="15">
        <f>COUNTIF(orders!B:B,A54)</f>
        <v>2</v>
      </c>
      <c r="I54" s="15" t="str">
        <f t="shared" si="0"/>
        <v>Repeat Customer</v>
      </c>
      <c r="M54" s="10" t="s">
        <v>1111</v>
      </c>
      <c r="N54">
        <v>89.167500000000004</v>
      </c>
    </row>
    <row r="55" spans="1:14" ht="14.25" customHeight="1" x14ac:dyDescent="0.3">
      <c r="A55" s="2" t="s">
        <v>1650</v>
      </c>
      <c r="B55" s="2" t="s">
        <v>1651</v>
      </c>
      <c r="C55" s="2" t="s">
        <v>1652</v>
      </c>
      <c r="D55" s="2" t="s">
        <v>1653</v>
      </c>
      <c r="E55" s="2" t="s">
        <v>1654</v>
      </c>
      <c r="F55" s="2" t="s">
        <v>1110</v>
      </c>
      <c r="G55" s="15">
        <f>SUMIF(orders!B:B,A55,orders!F:F)</f>
        <v>34.620000000000005</v>
      </c>
      <c r="H55" s="15">
        <f>COUNTIF(orders!B:B,A55)</f>
        <v>2</v>
      </c>
      <c r="I55" s="15" t="str">
        <f t="shared" si="0"/>
        <v>Repeat Customer</v>
      </c>
      <c r="M55" s="10" t="s">
        <v>1118</v>
      </c>
      <c r="N55">
        <v>87.50744680851065</v>
      </c>
    </row>
    <row r="56" spans="1:14" ht="14.25" customHeight="1" x14ac:dyDescent="0.3">
      <c r="A56" s="2" t="s">
        <v>1655</v>
      </c>
      <c r="B56" s="2" t="s">
        <v>1656</v>
      </c>
      <c r="C56" s="2" t="s">
        <v>1457</v>
      </c>
      <c r="D56" s="2" t="s">
        <v>1657</v>
      </c>
      <c r="E56" s="2" t="s">
        <v>1658</v>
      </c>
      <c r="F56" s="2" t="s">
        <v>1117</v>
      </c>
      <c r="G56" s="15">
        <f>SUMIF(orders!B:B,A56,orders!F:F)</f>
        <v>14.5</v>
      </c>
      <c r="H56" s="15">
        <f>COUNTIF(orders!B:B,A56)</f>
        <v>1</v>
      </c>
      <c r="I56" s="15" t="str">
        <f t="shared" si="0"/>
        <v>One-Time Customer</v>
      </c>
      <c r="M56" s="10" t="s">
        <v>1124</v>
      </c>
      <c r="N56">
        <v>54.45</v>
      </c>
    </row>
    <row r="57" spans="1:14" ht="14.25" customHeight="1" x14ac:dyDescent="0.3">
      <c r="A57" s="2" t="s">
        <v>1659</v>
      </c>
      <c r="B57" s="2" t="s">
        <v>1660</v>
      </c>
      <c r="C57" s="2" t="s">
        <v>1661</v>
      </c>
      <c r="D57" s="2" t="s">
        <v>1500</v>
      </c>
      <c r="E57" s="2" t="s">
        <v>1487</v>
      </c>
      <c r="F57" s="2" t="s">
        <v>1118</v>
      </c>
      <c r="G57" s="15">
        <f>SUMIF(orders!B:B,A57,orders!F:F)</f>
        <v>122.16</v>
      </c>
      <c r="H57" s="15">
        <f>COUNTIF(orders!B:B,A57)</f>
        <v>1</v>
      </c>
      <c r="I57" s="15" t="str">
        <f t="shared" si="0"/>
        <v>One-Time Customer</v>
      </c>
      <c r="M57" s="10" t="s">
        <v>1130</v>
      </c>
      <c r="N57">
        <v>85.99843749999998</v>
      </c>
    </row>
    <row r="58" spans="1:14" ht="14.25" customHeight="1" x14ac:dyDescent="0.3">
      <c r="A58" s="2" t="s">
        <v>1662</v>
      </c>
      <c r="B58" s="2" t="s">
        <v>1663</v>
      </c>
      <c r="C58" s="2" t="s">
        <v>1131</v>
      </c>
      <c r="D58" s="2" t="s">
        <v>1657</v>
      </c>
      <c r="E58" s="2" t="s">
        <v>1155</v>
      </c>
      <c r="F58" s="2" t="s">
        <v>1130</v>
      </c>
      <c r="G58" s="15">
        <f>SUMIF(orders!B:B,A58,orders!F:F)</f>
        <v>0</v>
      </c>
      <c r="H58" s="15">
        <f>COUNTIF(orders!B:B,A58)</f>
        <v>0</v>
      </c>
      <c r="I58" s="15" t="str">
        <f t="shared" si="0"/>
        <v>One-Time Customer</v>
      </c>
      <c r="M58" s="10" t="s">
        <v>1110</v>
      </c>
      <c r="N58">
        <v>76.455000000000013</v>
      </c>
    </row>
    <row r="59" spans="1:14" ht="14.25" customHeight="1" x14ac:dyDescent="0.3">
      <c r="A59" s="2" t="s">
        <v>1664</v>
      </c>
      <c r="B59" s="2" t="s">
        <v>1665</v>
      </c>
      <c r="C59" s="2" t="s">
        <v>1506</v>
      </c>
      <c r="D59" s="2" t="s">
        <v>1666</v>
      </c>
      <c r="E59" s="2" t="s">
        <v>1205</v>
      </c>
      <c r="F59" s="2" t="s">
        <v>1102</v>
      </c>
      <c r="G59" s="15">
        <f>SUMIF(orders!B:B,A59,orders!F:F)</f>
        <v>86.6</v>
      </c>
      <c r="H59" s="15">
        <f>COUNTIF(orders!B:B,A59)</f>
        <v>2</v>
      </c>
      <c r="I59" s="15" t="str">
        <f t="shared" si="0"/>
        <v>Repeat Customer</v>
      </c>
      <c r="M59" s="10" t="s">
        <v>1129</v>
      </c>
      <c r="N59">
        <v>82.999285714285719</v>
      </c>
    </row>
    <row r="60" spans="1:14" ht="14.25" customHeight="1" x14ac:dyDescent="0.3">
      <c r="A60" s="2" t="s">
        <v>1667</v>
      </c>
      <c r="B60" s="2" t="s">
        <v>1668</v>
      </c>
      <c r="C60" s="2" t="s">
        <v>1669</v>
      </c>
      <c r="D60" s="2" t="s">
        <v>1670</v>
      </c>
      <c r="E60" s="2" t="s">
        <v>1319</v>
      </c>
      <c r="F60" s="2" t="s">
        <v>1118</v>
      </c>
      <c r="G60" s="15">
        <f>SUMIF(orders!B:B,A60,orders!F:F)</f>
        <v>285.82000000000005</v>
      </c>
      <c r="H60" s="15">
        <f>COUNTIF(orders!B:B,A60)</f>
        <v>2</v>
      </c>
      <c r="I60" s="15" t="str">
        <f t="shared" si="0"/>
        <v>Repeat Customer</v>
      </c>
      <c r="M60" s="10" t="s">
        <v>1102</v>
      </c>
      <c r="N60">
        <v>91.606880733944948</v>
      </c>
    </row>
    <row r="61" spans="1:14" ht="14.25" customHeight="1" x14ac:dyDescent="0.3">
      <c r="A61" s="2" t="s">
        <v>1671</v>
      </c>
      <c r="B61" s="2" t="s">
        <v>1672</v>
      </c>
      <c r="C61" s="2" t="s">
        <v>1673</v>
      </c>
      <c r="D61" s="2" t="s">
        <v>1357</v>
      </c>
      <c r="E61" s="2" t="s">
        <v>1139</v>
      </c>
      <c r="F61" s="2" t="s">
        <v>1130</v>
      </c>
      <c r="G61" s="15">
        <f>SUMIF(orders!B:B,A61,orders!F:F)</f>
        <v>437.69</v>
      </c>
      <c r="H61" s="15">
        <f>COUNTIF(orders!B:B,A61)</f>
        <v>3</v>
      </c>
      <c r="I61" s="15" t="str">
        <f t="shared" si="0"/>
        <v>Repeat Customer</v>
      </c>
      <c r="M61" s="10" t="s">
        <v>1117</v>
      </c>
      <c r="N61">
        <v>75.331521739130451</v>
      </c>
    </row>
    <row r="62" spans="1:14" ht="14.25" customHeight="1" x14ac:dyDescent="0.3">
      <c r="A62" s="2" t="s">
        <v>1674</v>
      </c>
      <c r="B62" s="2" t="s">
        <v>1675</v>
      </c>
      <c r="C62" s="2" t="s">
        <v>1676</v>
      </c>
      <c r="D62" s="2" t="s">
        <v>1677</v>
      </c>
      <c r="E62" s="2" t="s">
        <v>1151</v>
      </c>
      <c r="F62" s="2" t="s">
        <v>1102</v>
      </c>
      <c r="G62" s="15">
        <f>SUMIF(orders!B:B,A62,orders!F:F)</f>
        <v>59.269999999999996</v>
      </c>
      <c r="H62" s="15">
        <f>COUNTIF(orders!B:B,A62)</f>
        <v>2</v>
      </c>
      <c r="I62" s="15" t="str">
        <f t="shared" si="0"/>
        <v>Repeat Customer</v>
      </c>
      <c r="M62" s="10" t="s">
        <v>1092</v>
      </c>
    </row>
    <row r="63" spans="1:14" ht="14.25" customHeight="1" x14ac:dyDescent="0.3">
      <c r="A63" s="2" t="s">
        <v>1678</v>
      </c>
      <c r="B63" s="2" t="s">
        <v>1679</v>
      </c>
      <c r="C63" s="2" t="s">
        <v>1202</v>
      </c>
      <c r="D63" s="2" t="s">
        <v>1473</v>
      </c>
      <c r="E63" s="2" t="s">
        <v>1407</v>
      </c>
      <c r="F63" s="2" t="s">
        <v>1118</v>
      </c>
      <c r="G63" s="15">
        <f>SUMIF(orders!B:B,A63,orders!F:F)</f>
        <v>0</v>
      </c>
      <c r="H63" s="15">
        <f>COUNTIF(orders!B:B,A63)</f>
        <v>0</v>
      </c>
      <c r="I63" s="15" t="str">
        <f t="shared" si="0"/>
        <v>One-Time Customer</v>
      </c>
      <c r="M63" s="10" t="s">
        <v>1016</v>
      </c>
      <c r="N63">
        <v>85.767664399092951</v>
      </c>
    </row>
    <row r="64" spans="1:14" ht="14.25" customHeight="1" x14ac:dyDescent="0.3">
      <c r="A64" s="2" t="s">
        <v>1680</v>
      </c>
      <c r="B64" s="2" t="s">
        <v>1681</v>
      </c>
      <c r="C64" s="2" t="s">
        <v>1682</v>
      </c>
      <c r="D64" s="2" t="s">
        <v>1683</v>
      </c>
      <c r="E64" s="2" t="s">
        <v>1407</v>
      </c>
      <c r="F64" s="2" t="s">
        <v>1118</v>
      </c>
      <c r="G64" s="15">
        <f>SUMIF(orders!B:B,A64,orders!F:F)</f>
        <v>71.62</v>
      </c>
      <c r="H64" s="15">
        <f>COUNTIF(orders!B:B,A64)</f>
        <v>2</v>
      </c>
      <c r="I64" s="15" t="str">
        <f t="shared" si="0"/>
        <v>Repeat Customer</v>
      </c>
    </row>
    <row r="65" spans="1:13" ht="14.25" customHeight="1" x14ac:dyDescent="0.3">
      <c r="A65" s="2" t="s">
        <v>1684</v>
      </c>
      <c r="B65" s="2" t="s">
        <v>1685</v>
      </c>
      <c r="C65" s="2" t="s">
        <v>1686</v>
      </c>
      <c r="D65" s="2" t="s">
        <v>1491</v>
      </c>
      <c r="E65" s="2" t="s">
        <v>1296</v>
      </c>
      <c r="F65" s="2" t="s">
        <v>1117</v>
      </c>
      <c r="G65" s="15">
        <f>SUMIF(orders!B:B,A65,orders!F:F)</f>
        <v>960.97</v>
      </c>
      <c r="H65" s="15">
        <f>COUNTIF(orders!B:B,A65)</f>
        <v>11</v>
      </c>
      <c r="I65" s="15" t="str">
        <f t="shared" si="0"/>
        <v>Repeat Customer</v>
      </c>
    </row>
    <row r="66" spans="1:13" ht="14.25" customHeight="1" x14ac:dyDescent="0.3">
      <c r="A66" s="2" t="s">
        <v>1687</v>
      </c>
      <c r="B66" s="2" t="s">
        <v>1688</v>
      </c>
      <c r="C66" s="2" t="s">
        <v>1689</v>
      </c>
      <c r="D66" s="2" t="s">
        <v>1690</v>
      </c>
      <c r="E66" s="2" t="s">
        <v>1159</v>
      </c>
      <c r="F66" s="2" t="s">
        <v>1117</v>
      </c>
      <c r="G66" s="15">
        <f>SUMIF(orders!B:B,A66,orders!F:F)</f>
        <v>652.21</v>
      </c>
      <c r="H66" s="15">
        <f>COUNTIF(orders!B:B,A66)</f>
        <v>7</v>
      </c>
      <c r="I66" s="15" t="str">
        <f t="shared" ref="I66:I129" si="1">IF(H66&gt;1,"Repeat Customer","One-Time Customer")</f>
        <v>Repeat Customer</v>
      </c>
    </row>
    <row r="67" spans="1:13" ht="14.25" customHeight="1" x14ac:dyDescent="0.3">
      <c r="A67" s="2" t="s">
        <v>1691</v>
      </c>
      <c r="B67" s="2" t="s">
        <v>1692</v>
      </c>
      <c r="C67" s="2" t="s">
        <v>1693</v>
      </c>
      <c r="D67" s="2" t="s">
        <v>1694</v>
      </c>
      <c r="E67" s="2" t="s">
        <v>1116</v>
      </c>
      <c r="F67" s="2" t="s">
        <v>1117</v>
      </c>
      <c r="G67" s="15">
        <f>SUMIF(orders!B:B,A67,orders!F:F)</f>
        <v>151.10000000000002</v>
      </c>
      <c r="H67" s="15">
        <f>COUNTIF(orders!B:B,A67)</f>
        <v>2</v>
      </c>
      <c r="I67" s="15" t="str">
        <f t="shared" si="1"/>
        <v>Repeat Customer</v>
      </c>
      <c r="M67" t="s">
        <v>1695</v>
      </c>
    </row>
    <row r="68" spans="1:13" ht="14.25" customHeight="1" x14ac:dyDescent="0.3">
      <c r="A68" s="2" t="s">
        <v>1696</v>
      </c>
      <c r="B68" s="2" t="s">
        <v>1697</v>
      </c>
      <c r="C68" s="2" t="s">
        <v>1131</v>
      </c>
      <c r="D68" s="2" t="s">
        <v>1698</v>
      </c>
      <c r="E68" s="2" t="s">
        <v>1147</v>
      </c>
      <c r="F68" s="2" t="s">
        <v>1130</v>
      </c>
      <c r="G68" s="15">
        <f>SUMIF(orders!B:B,A68,orders!F:F)</f>
        <v>0</v>
      </c>
      <c r="H68" s="15">
        <f>COUNTIF(orders!B:B,A68)</f>
        <v>0</v>
      </c>
      <c r="I68" s="15" t="str">
        <f t="shared" si="1"/>
        <v>One-Time Customer</v>
      </c>
    </row>
    <row r="69" spans="1:13" ht="14.25" customHeight="1" x14ac:dyDescent="0.3">
      <c r="A69" s="2" t="s">
        <v>1699</v>
      </c>
      <c r="B69" s="2" t="s">
        <v>1700</v>
      </c>
      <c r="C69" s="2" t="s">
        <v>1686</v>
      </c>
      <c r="D69" s="2" t="s">
        <v>1357</v>
      </c>
      <c r="E69" s="2" t="s">
        <v>1151</v>
      </c>
      <c r="F69" s="2" t="s">
        <v>1102</v>
      </c>
      <c r="G69" s="15">
        <f>SUMIF(orders!B:B,A69,orders!F:F)</f>
        <v>0</v>
      </c>
      <c r="H69" s="15">
        <f>COUNTIF(orders!B:B,A69)</f>
        <v>0</v>
      </c>
      <c r="I69" s="15" t="str">
        <f t="shared" si="1"/>
        <v>One-Time Customer</v>
      </c>
    </row>
    <row r="70" spans="1:13" ht="14.25" customHeight="1" x14ac:dyDescent="0.3">
      <c r="A70" s="2" t="s">
        <v>1701</v>
      </c>
      <c r="B70" s="2" t="s">
        <v>1702</v>
      </c>
      <c r="C70" s="2" t="s">
        <v>1613</v>
      </c>
      <c r="D70" s="2" t="s">
        <v>1554</v>
      </c>
      <c r="E70" s="2" t="s">
        <v>1109</v>
      </c>
      <c r="F70" s="2" t="s">
        <v>1110</v>
      </c>
      <c r="G70" s="15">
        <f>SUMIF(orders!B:B,A70,orders!F:F)</f>
        <v>0</v>
      </c>
      <c r="H70" s="15">
        <f>COUNTIF(orders!B:B,A70)</f>
        <v>0</v>
      </c>
      <c r="I70" s="15" t="str">
        <f t="shared" si="1"/>
        <v>One-Time Customer</v>
      </c>
      <c r="M70" s="11" t="s">
        <v>1703</v>
      </c>
    </row>
    <row r="71" spans="1:13" ht="14.25" customHeight="1" x14ac:dyDescent="0.3">
      <c r="A71" s="2" t="s">
        <v>1704</v>
      </c>
      <c r="B71" s="2" t="s">
        <v>1705</v>
      </c>
      <c r="C71" s="2" t="s">
        <v>1669</v>
      </c>
      <c r="D71" s="2" t="s">
        <v>1500</v>
      </c>
      <c r="E71" s="2" t="s">
        <v>1151</v>
      </c>
      <c r="F71" s="2" t="s">
        <v>1102</v>
      </c>
      <c r="G71" s="15">
        <f>SUMIF(orders!B:B,A71,orders!F:F)</f>
        <v>202.91</v>
      </c>
      <c r="H71" s="15">
        <f>COUNTIF(orders!B:B,A71)</f>
        <v>2</v>
      </c>
      <c r="I71" s="15" t="str">
        <f t="shared" si="1"/>
        <v>Repeat Customer</v>
      </c>
      <c r="M71" s="11" t="s">
        <v>1706</v>
      </c>
    </row>
    <row r="72" spans="1:13" ht="14.25" customHeight="1" x14ac:dyDescent="0.3">
      <c r="A72" s="2" t="s">
        <v>1707</v>
      </c>
      <c r="B72" s="2" t="s">
        <v>1708</v>
      </c>
      <c r="C72" s="2" t="s">
        <v>1217</v>
      </c>
      <c r="D72" s="2" t="s">
        <v>1709</v>
      </c>
      <c r="E72" s="2" t="s">
        <v>1514</v>
      </c>
      <c r="F72" s="2" t="s">
        <v>1130</v>
      </c>
      <c r="G72" s="15">
        <f>SUMIF(orders!B:B,A72,orders!F:F)</f>
        <v>0</v>
      </c>
      <c r="H72" s="15">
        <f>COUNTIF(orders!B:B,A72)</f>
        <v>0</v>
      </c>
      <c r="I72" s="15" t="str">
        <f t="shared" si="1"/>
        <v>One-Time Customer</v>
      </c>
    </row>
    <row r="73" spans="1:13" ht="14.25" customHeight="1" x14ac:dyDescent="0.3">
      <c r="A73" s="2" t="s">
        <v>1710</v>
      </c>
      <c r="B73" s="2" t="s">
        <v>1711</v>
      </c>
      <c r="C73" s="2" t="s">
        <v>1397</v>
      </c>
      <c r="D73" s="2" t="s">
        <v>1712</v>
      </c>
      <c r="E73" s="2" t="s">
        <v>1407</v>
      </c>
      <c r="F73" s="2" t="s">
        <v>1118</v>
      </c>
      <c r="G73" s="15">
        <f>SUMIF(orders!B:B,A73,orders!F:F)</f>
        <v>0</v>
      </c>
      <c r="H73" s="15">
        <f>COUNTIF(orders!B:B,A73)</f>
        <v>0</v>
      </c>
      <c r="I73" s="15" t="str">
        <f t="shared" si="1"/>
        <v>One-Time Customer</v>
      </c>
    </row>
    <row r="74" spans="1:13" ht="14.25" customHeight="1" x14ac:dyDescent="0.3">
      <c r="A74" s="2" t="s">
        <v>1713</v>
      </c>
      <c r="B74" s="2" t="s">
        <v>1714</v>
      </c>
      <c r="C74" s="2" t="s">
        <v>1715</v>
      </c>
      <c r="D74" s="2" t="s">
        <v>1500</v>
      </c>
      <c r="E74" s="2" t="s">
        <v>1492</v>
      </c>
      <c r="F74" s="2" t="s">
        <v>1130</v>
      </c>
      <c r="G74" s="15">
        <f>SUMIF(orders!B:B,A74,orders!F:F)</f>
        <v>0</v>
      </c>
      <c r="H74" s="15">
        <f>COUNTIF(orders!B:B,A74)</f>
        <v>0</v>
      </c>
      <c r="I74" s="15" t="str">
        <f t="shared" si="1"/>
        <v>One-Time Customer</v>
      </c>
    </row>
    <row r="75" spans="1:13" ht="14.25" customHeight="1" x14ac:dyDescent="0.3">
      <c r="A75" s="2" t="s">
        <v>1716</v>
      </c>
      <c r="B75" s="2" t="s">
        <v>1717</v>
      </c>
      <c r="C75" s="2" t="s">
        <v>1558</v>
      </c>
      <c r="D75" s="2" t="s">
        <v>1513</v>
      </c>
      <c r="E75" s="2" t="s">
        <v>1718</v>
      </c>
      <c r="F75" s="2" t="s">
        <v>1102</v>
      </c>
      <c r="G75" s="15">
        <f>SUMIF(orders!B:B,A75,orders!F:F)</f>
        <v>174.34</v>
      </c>
      <c r="H75" s="15">
        <f>COUNTIF(orders!B:B,A75)</f>
        <v>3</v>
      </c>
      <c r="I75" s="15" t="str">
        <f t="shared" si="1"/>
        <v>Repeat Customer</v>
      </c>
    </row>
    <row r="76" spans="1:13" ht="14.25" customHeight="1" x14ac:dyDescent="0.3">
      <c r="A76" s="2" t="s">
        <v>1719</v>
      </c>
      <c r="B76" s="2" t="s">
        <v>1720</v>
      </c>
      <c r="C76" s="2" t="s">
        <v>1721</v>
      </c>
      <c r="D76" s="2" t="s">
        <v>1344</v>
      </c>
      <c r="E76" s="2" t="s">
        <v>1718</v>
      </c>
      <c r="F76" s="2" t="s">
        <v>1102</v>
      </c>
      <c r="G76" s="15">
        <f>SUMIF(orders!B:B,A76,orders!F:F)</f>
        <v>0</v>
      </c>
      <c r="H76" s="15">
        <f>COUNTIF(orders!B:B,A76)</f>
        <v>0</v>
      </c>
      <c r="I76" s="15" t="str">
        <f t="shared" si="1"/>
        <v>One-Time Customer</v>
      </c>
    </row>
    <row r="77" spans="1:13" ht="14.25" customHeight="1" x14ac:dyDescent="0.3">
      <c r="A77" s="2" t="s">
        <v>1722</v>
      </c>
      <c r="B77" s="2" t="s">
        <v>1723</v>
      </c>
      <c r="C77" s="2" t="s">
        <v>1724</v>
      </c>
      <c r="D77" s="2" t="s">
        <v>1491</v>
      </c>
      <c r="E77" s="2" t="s">
        <v>1151</v>
      </c>
      <c r="F77" s="2" t="s">
        <v>1102</v>
      </c>
      <c r="G77" s="15">
        <f>SUMIF(orders!B:B,A77,orders!F:F)</f>
        <v>62.019999999999996</v>
      </c>
      <c r="H77" s="15">
        <f>COUNTIF(orders!B:B,A77)</f>
        <v>2</v>
      </c>
      <c r="I77" s="15" t="str">
        <f t="shared" si="1"/>
        <v>Repeat Customer</v>
      </c>
    </row>
    <row r="78" spans="1:13" ht="14.25" customHeight="1" x14ac:dyDescent="0.3">
      <c r="A78" s="2" t="s">
        <v>1725</v>
      </c>
      <c r="B78" s="2" t="s">
        <v>1726</v>
      </c>
      <c r="C78" s="2" t="s">
        <v>1727</v>
      </c>
      <c r="D78" s="2" t="s">
        <v>1694</v>
      </c>
      <c r="E78" s="2" t="s">
        <v>1728</v>
      </c>
      <c r="F78" s="2" t="s">
        <v>1102</v>
      </c>
      <c r="G78" s="15">
        <f>SUMIF(orders!B:B,A78,orders!F:F)</f>
        <v>0</v>
      </c>
      <c r="H78" s="15">
        <f>COUNTIF(orders!B:B,A78)</f>
        <v>0</v>
      </c>
      <c r="I78" s="15" t="str">
        <f t="shared" si="1"/>
        <v>One-Time Customer</v>
      </c>
    </row>
    <row r="79" spans="1:13" ht="14.25" customHeight="1" x14ac:dyDescent="0.3">
      <c r="A79" s="2" t="s">
        <v>1729</v>
      </c>
      <c r="B79" s="2" t="s">
        <v>1730</v>
      </c>
      <c r="C79" s="2" t="s">
        <v>1449</v>
      </c>
      <c r="D79" s="2" t="s">
        <v>1670</v>
      </c>
      <c r="E79" s="2" t="s">
        <v>1270</v>
      </c>
      <c r="F79" s="2" t="s">
        <v>1130</v>
      </c>
      <c r="G79" s="15">
        <f>SUMIF(orders!B:B,A79,orders!F:F)</f>
        <v>0</v>
      </c>
      <c r="H79" s="15">
        <f>COUNTIF(orders!B:B,A79)</f>
        <v>0</v>
      </c>
      <c r="I79" s="15" t="str">
        <f t="shared" si="1"/>
        <v>One-Time Customer</v>
      </c>
    </row>
    <row r="80" spans="1:13" ht="14.25" customHeight="1" x14ac:dyDescent="0.3">
      <c r="A80" s="2" t="s">
        <v>1731</v>
      </c>
      <c r="B80" s="2" t="s">
        <v>1732</v>
      </c>
      <c r="C80" s="2" t="s">
        <v>1733</v>
      </c>
      <c r="D80" s="2" t="s">
        <v>1554</v>
      </c>
      <c r="E80" s="2" t="s">
        <v>1359</v>
      </c>
      <c r="F80" s="2" t="s">
        <v>1102</v>
      </c>
      <c r="G80" s="15">
        <f>SUMIF(orders!B:B,A80,orders!F:F)</f>
        <v>143.62</v>
      </c>
      <c r="H80" s="15">
        <f>COUNTIF(orders!B:B,A80)</f>
        <v>2</v>
      </c>
      <c r="I80" s="15" t="str">
        <f t="shared" si="1"/>
        <v>Repeat Customer</v>
      </c>
    </row>
    <row r="81" spans="1:9" ht="14.25" customHeight="1" x14ac:dyDescent="0.3">
      <c r="A81" s="2" t="s">
        <v>1734</v>
      </c>
      <c r="B81" s="2" t="s">
        <v>1735</v>
      </c>
      <c r="C81" s="2" t="s">
        <v>1736</v>
      </c>
      <c r="D81" s="2" t="s">
        <v>1453</v>
      </c>
      <c r="E81" s="2" t="s">
        <v>1151</v>
      </c>
      <c r="F81" s="2" t="s">
        <v>1102</v>
      </c>
      <c r="G81" s="15">
        <f>SUMIF(orders!B:B,A81,orders!F:F)</f>
        <v>231.88</v>
      </c>
      <c r="H81" s="15">
        <f>COUNTIF(orders!B:B,A81)</f>
        <v>3</v>
      </c>
      <c r="I81" s="15" t="str">
        <f t="shared" si="1"/>
        <v>Repeat Customer</v>
      </c>
    </row>
    <row r="82" spans="1:9" ht="14.25" customHeight="1" x14ac:dyDescent="0.3">
      <c r="A82" s="2" t="s">
        <v>1737</v>
      </c>
      <c r="B82" s="2" t="s">
        <v>1738</v>
      </c>
      <c r="C82" s="2" t="s">
        <v>1503</v>
      </c>
      <c r="D82" s="2" t="s">
        <v>1739</v>
      </c>
      <c r="E82" s="2" t="s">
        <v>1147</v>
      </c>
      <c r="F82" s="2" t="s">
        <v>1130</v>
      </c>
      <c r="G82" s="15">
        <f>SUMIF(orders!B:B,A82,orders!F:F)</f>
        <v>255.49</v>
      </c>
      <c r="H82" s="15">
        <f>COUNTIF(orders!B:B,A82)</f>
        <v>3</v>
      </c>
      <c r="I82" s="15" t="str">
        <f t="shared" si="1"/>
        <v>Repeat Customer</v>
      </c>
    </row>
    <row r="83" spans="1:9" ht="14.25" customHeight="1" x14ac:dyDescent="0.3">
      <c r="A83" s="2" t="s">
        <v>1740</v>
      </c>
      <c r="B83" s="2" t="s">
        <v>1741</v>
      </c>
      <c r="C83" s="2" t="s">
        <v>1499</v>
      </c>
      <c r="D83" s="2" t="s">
        <v>1742</v>
      </c>
      <c r="E83" s="2" t="s">
        <v>1257</v>
      </c>
      <c r="F83" s="2" t="s">
        <v>1129</v>
      </c>
      <c r="G83" s="15">
        <f>SUMIF(orders!B:B,A83,orders!F:F)</f>
        <v>66.02</v>
      </c>
      <c r="H83" s="15">
        <f>COUNTIF(orders!B:B,A83)</f>
        <v>2</v>
      </c>
      <c r="I83" s="15" t="str">
        <f t="shared" si="1"/>
        <v>Repeat Customer</v>
      </c>
    </row>
    <row r="84" spans="1:9" ht="14.25" customHeight="1" x14ac:dyDescent="0.3">
      <c r="A84" s="2" t="s">
        <v>1743</v>
      </c>
      <c r="B84" s="2" t="s">
        <v>1744</v>
      </c>
      <c r="C84" s="2" t="s">
        <v>1539</v>
      </c>
      <c r="D84" s="2" t="s">
        <v>1657</v>
      </c>
      <c r="E84" s="2" t="s">
        <v>1487</v>
      </c>
      <c r="F84" s="2" t="s">
        <v>1118</v>
      </c>
      <c r="G84" s="15">
        <f>SUMIF(orders!B:B,A84,orders!F:F)</f>
        <v>290.49</v>
      </c>
      <c r="H84" s="15">
        <f>COUNTIF(orders!B:B,A84)</f>
        <v>2</v>
      </c>
      <c r="I84" s="15" t="str">
        <f t="shared" si="1"/>
        <v>Repeat Customer</v>
      </c>
    </row>
    <row r="85" spans="1:9" ht="14.25" customHeight="1" x14ac:dyDescent="0.3">
      <c r="A85" s="2" t="s">
        <v>1745</v>
      </c>
      <c r="B85" s="2" t="s">
        <v>1746</v>
      </c>
      <c r="C85" s="2" t="s">
        <v>1747</v>
      </c>
      <c r="D85" s="2" t="s">
        <v>1709</v>
      </c>
      <c r="E85" s="2" t="s">
        <v>1474</v>
      </c>
      <c r="F85" s="2" t="s">
        <v>1118</v>
      </c>
      <c r="G85" s="15">
        <f>SUMIF(orders!B:B,A85,orders!F:F)</f>
        <v>142.26</v>
      </c>
      <c r="H85" s="15">
        <f>COUNTIF(orders!B:B,A85)</f>
        <v>2</v>
      </c>
      <c r="I85" s="15" t="str">
        <f t="shared" si="1"/>
        <v>Repeat Customer</v>
      </c>
    </row>
    <row r="86" spans="1:9" ht="14.25" customHeight="1" x14ac:dyDescent="0.3">
      <c r="A86" s="2" t="s">
        <v>1748</v>
      </c>
      <c r="B86" s="2" t="s">
        <v>1749</v>
      </c>
      <c r="C86" s="2" t="s">
        <v>1669</v>
      </c>
      <c r="D86" s="2" t="s">
        <v>1750</v>
      </c>
      <c r="E86" s="2" t="s">
        <v>1151</v>
      </c>
      <c r="F86" s="2" t="s">
        <v>1102</v>
      </c>
      <c r="G86" s="15">
        <f>SUMIF(orders!B:B,A86,orders!F:F)</f>
        <v>0</v>
      </c>
      <c r="H86" s="15">
        <f>COUNTIF(orders!B:B,A86)</f>
        <v>0</v>
      </c>
      <c r="I86" s="15" t="str">
        <f t="shared" si="1"/>
        <v>One-Time Customer</v>
      </c>
    </row>
    <row r="87" spans="1:9" ht="14.25" customHeight="1" x14ac:dyDescent="0.3">
      <c r="A87" s="2" t="s">
        <v>1751</v>
      </c>
      <c r="B87" s="2" t="s">
        <v>1752</v>
      </c>
      <c r="C87" s="2" t="s">
        <v>1481</v>
      </c>
      <c r="D87" s="2" t="s">
        <v>1298</v>
      </c>
      <c r="E87" s="2" t="s">
        <v>1407</v>
      </c>
      <c r="F87" s="2" t="s">
        <v>1118</v>
      </c>
      <c r="G87" s="15">
        <f>SUMIF(orders!B:B,A87,orders!F:F)</f>
        <v>50.3</v>
      </c>
      <c r="H87" s="15">
        <f>COUNTIF(orders!B:B,A87)</f>
        <v>1</v>
      </c>
      <c r="I87" s="15" t="str">
        <f t="shared" si="1"/>
        <v>One-Time Customer</v>
      </c>
    </row>
    <row r="88" spans="1:9" ht="14.25" customHeight="1" x14ac:dyDescent="0.3">
      <c r="A88" s="2" t="s">
        <v>1753</v>
      </c>
      <c r="B88" s="2" t="s">
        <v>1754</v>
      </c>
      <c r="C88" s="2" t="s">
        <v>1755</v>
      </c>
      <c r="D88" s="2" t="s">
        <v>1709</v>
      </c>
      <c r="E88" s="2" t="s">
        <v>1407</v>
      </c>
      <c r="F88" s="2" t="s">
        <v>1118</v>
      </c>
      <c r="G88" s="15">
        <f>SUMIF(orders!B:B,A88,orders!F:F)</f>
        <v>183.06</v>
      </c>
      <c r="H88" s="15">
        <f>COUNTIF(orders!B:B,A88)</f>
        <v>2</v>
      </c>
      <c r="I88" s="15" t="str">
        <f t="shared" si="1"/>
        <v>Repeat Customer</v>
      </c>
    </row>
    <row r="89" spans="1:9" ht="14.25" customHeight="1" x14ac:dyDescent="0.3">
      <c r="A89" s="2" t="s">
        <v>1756</v>
      </c>
      <c r="B89" s="2" t="s">
        <v>1757</v>
      </c>
      <c r="C89" s="2" t="s">
        <v>1758</v>
      </c>
      <c r="D89" s="2" t="s">
        <v>1759</v>
      </c>
      <c r="E89" s="2" t="s">
        <v>1760</v>
      </c>
      <c r="F89" s="2" t="s">
        <v>1117</v>
      </c>
      <c r="G89" s="15">
        <f>SUMIF(orders!B:B,A89,orders!F:F)</f>
        <v>0</v>
      </c>
      <c r="H89" s="15">
        <f>COUNTIF(orders!B:B,A89)</f>
        <v>0</v>
      </c>
      <c r="I89" s="15" t="str">
        <f t="shared" si="1"/>
        <v>One-Time Customer</v>
      </c>
    </row>
    <row r="90" spans="1:9" ht="14.25" customHeight="1" x14ac:dyDescent="0.3">
      <c r="A90" s="2" t="s">
        <v>1761</v>
      </c>
      <c r="B90" s="2" t="s">
        <v>1762</v>
      </c>
      <c r="C90" s="2" t="s">
        <v>1755</v>
      </c>
      <c r="D90" s="2" t="s">
        <v>1763</v>
      </c>
      <c r="E90" s="2" t="s">
        <v>1172</v>
      </c>
      <c r="F90" s="2" t="s">
        <v>1118</v>
      </c>
      <c r="G90" s="15">
        <f>SUMIF(orders!B:B,A90,orders!F:F)</f>
        <v>460.91999999999996</v>
      </c>
      <c r="H90" s="15">
        <f>COUNTIF(orders!B:B,A90)</f>
        <v>8</v>
      </c>
      <c r="I90" s="15" t="str">
        <f t="shared" si="1"/>
        <v>Repeat Customer</v>
      </c>
    </row>
    <row r="91" spans="1:9" ht="14.25" customHeight="1" x14ac:dyDescent="0.3">
      <c r="A91" s="2" t="s">
        <v>1764</v>
      </c>
      <c r="B91" s="2" t="s">
        <v>1765</v>
      </c>
      <c r="C91" s="2" t="s">
        <v>1766</v>
      </c>
      <c r="D91" s="2" t="s">
        <v>1357</v>
      </c>
      <c r="E91" s="2" t="s">
        <v>1407</v>
      </c>
      <c r="F91" s="2" t="s">
        <v>1118</v>
      </c>
      <c r="G91" s="15">
        <f>SUMIF(orders!B:B,A91,orders!F:F)</f>
        <v>20.92</v>
      </c>
      <c r="H91" s="15">
        <f>COUNTIF(orders!B:B,A91)</f>
        <v>1</v>
      </c>
      <c r="I91" s="15" t="str">
        <f t="shared" si="1"/>
        <v>One-Time Customer</v>
      </c>
    </row>
    <row r="92" spans="1:9" ht="14.25" customHeight="1" x14ac:dyDescent="0.3">
      <c r="A92" s="2" t="s">
        <v>1767</v>
      </c>
      <c r="B92" s="2" t="s">
        <v>1768</v>
      </c>
      <c r="C92" s="2" t="s">
        <v>1472</v>
      </c>
      <c r="D92" s="2" t="s">
        <v>1712</v>
      </c>
      <c r="E92" s="2" t="s">
        <v>1172</v>
      </c>
      <c r="F92" s="2" t="s">
        <v>1118</v>
      </c>
      <c r="G92" s="15">
        <f>SUMIF(orders!B:B,A92,orders!F:F)</f>
        <v>0</v>
      </c>
      <c r="H92" s="15">
        <f>COUNTIF(orders!B:B,A92)</f>
        <v>0</v>
      </c>
      <c r="I92" s="15" t="str">
        <f t="shared" si="1"/>
        <v>One-Time Customer</v>
      </c>
    </row>
    <row r="93" spans="1:9" ht="14.25" customHeight="1" x14ac:dyDescent="0.3">
      <c r="A93" s="2" t="s">
        <v>1769</v>
      </c>
      <c r="B93" s="2" t="s">
        <v>1770</v>
      </c>
      <c r="C93" s="2" t="s">
        <v>1727</v>
      </c>
      <c r="D93" s="2" t="s">
        <v>1771</v>
      </c>
      <c r="E93" s="2" t="s">
        <v>1514</v>
      </c>
      <c r="F93" s="2" t="s">
        <v>1130</v>
      </c>
      <c r="G93" s="15">
        <f>SUMIF(orders!B:B,A93,orders!F:F)</f>
        <v>0</v>
      </c>
      <c r="H93" s="15">
        <f>COUNTIF(orders!B:B,A93)</f>
        <v>0</v>
      </c>
      <c r="I93" s="15" t="str">
        <f t="shared" si="1"/>
        <v>One-Time Customer</v>
      </c>
    </row>
    <row r="94" spans="1:9" ht="14.25" customHeight="1" x14ac:dyDescent="0.3">
      <c r="A94" s="2" t="s">
        <v>1772</v>
      </c>
      <c r="B94" s="2" t="s">
        <v>1773</v>
      </c>
      <c r="C94" s="2" t="s">
        <v>1314</v>
      </c>
      <c r="D94" s="2" t="s">
        <v>1683</v>
      </c>
      <c r="E94" s="2" t="s">
        <v>1296</v>
      </c>
      <c r="F94" s="2" t="s">
        <v>1117</v>
      </c>
      <c r="G94" s="15">
        <f>SUMIF(orders!B:B,A94,orders!F:F)</f>
        <v>79.5</v>
      </c>
      <c r="H94" s="15">
        <f>COUNTIF(orders!B:B,A94)</f>
        <v>2</v>
      </c>
      <c r="I94" s="15" t="str">
        <f t="shared" si="1"/>
        <v>Repeat Customer</v>
      </c>
    </row>
    <row r="95" spans="1:9" ht="14.25" customHeight="1" x14ac:dyDescent="0.3">
      <c r="A95" s="2" t="s">
        <v>1774</v>
      </c>
      <c r="B95" s="2" t="s">
        <v>1775</v>
      </c>
      <c r="C95" s="2" t="s">
        <v>1669</v>
      </c>
      <c r="D95" s="2" t="s">
        <v>1570</v>
      </c>
      <c r="E95" s="2" t="s">
        <v>1270</v>
      </c>
      <c r="F95" s="2" t="s">
        <v>1130</v>
      </c>
      <c r="G95" s="15">
        <f>SUMIF(orders!B:B,A95,orders!F:F)</f>
        <v>172.39</v>
      </c>
      <c r="H95" s="15">
        <f>COUNTIF(orders!B:B,A95)</f>
        <v>2</v>
      </c>
      <c r="I95" s="15" t="str">
        <f t="shared" si="1"/>
        <v>Repeat Customer</v>
      </c>
    </row>
    <row r="96" spans="1:9" ht="14.25" customHeight="1" x14ac:dyDescent="0.3">
      <c r="A96" s="2" t="s">
        <v>1776</v>
      </c>
      <c r="B96" s="2" t="s">
        <v>1777</v>
      </c>
      <c r="C96" s="2" t="s">
        <v>1778</v>
      </c>
      <c r="D96" s="2" t="s">
        <v>1709</v>
      </c>
      <c r="E96" s="2" t="s">
        <v>1359</v>
      </c>
      <c r="F96" s="2" t="s">
        <v>1102</v>
      </c>
      <c r="G96" s="15">
        <f>SUMIF(orders!B:B,A96,orders!F:F)</f>
        <v>12.95</v>
      </c>
      <c r="H96" s="15">
        <f>COUNTIF(orders!B:B,A96)</f>
        <v>1</v>
      </c>
      <c r="I96" s="15" t="str">
        <f t="shared" si="1"/>
        <v>One-Time Customer</v>
      </c>
    </row>
    <row r="97" spans="1:9" ht="14.25" customHeight="1" x14ac:dyDescent="0.3">
      <c r="A97" s="2" t="s">
        <v>1779</v>
      </c>
      <c r="B97" s="2" t="s">
        <v>1780</v>
      </c>
      <c r="C97" s="2" t="s">
        <v>1781</v>
      </c>
      <c r="D97" s="2" t="s">
        <v>1782</v>
      </c>
      <c r="E97" s="2" t="s">
        <v>1296</v>
      </c>
      <c r="F97" s="2" t="s">
        <v>1117</v>
      </c>
      <c r="G97" s="15">
        <f>SUMIF(orders!B:B,A97,orders!F:F)</f>
        <v>113.4</v>
      </c>
      <c r="H97" s="15">
        <f>COUNTIF(orders!B:B,A97)</f>
        <v>1</v>
      </c>
      <c r="I97" s="15" t="str">
        <f t="shared" si="1"/>
        <v>One-Time Customer</v>
      </c>
    </row>
    <row r="98" spans="1:9" ht="14.25" customHeight="1" x14ac:dyDescent="0.3">
      <c r="A98" s="2" t="s">
        <v>1783</v>
      </c>
      <c r="B98" s="2" t="s">
        <v>1784</v>
      </c>
      <c r="C98" s="2" t="s">
        <v>1755</v>
      </c>
      <c r="D98" s="2" t="s">
        <v>1785</v>
      </c>
      <c r="E98" s="2" t="s">
        <v>1180</v>
      </c>
      <c r="F98" s="2" t="s">
        <v>1130</v>
      </c>
      <c r="G98" s="15">
        <f>SUMIF(orders!B:B,A98,orders!F:F)</f>
        <v>81.39</v>
      </c>
      <c r="H98" s="15">
        <f>COUNTIF(orders!B:B,A98)</f>
        <v>2</v>
      </c>
      <c r="I98" s="15" t="str">
        <f t="shared" si="1"/>
        <v>Repeat Customer</v>
      </c>
    </row>
    <row r="99" spans="1:9" ht="14.25" customHeight="1" x14ac:dyDescent="0.3">
      <c r="A99" s="2" t="s">
        <v>1786</v>
      </c>
      <c r="B99" s="2" t="s">
        <v>1787</v>
      </c>
      <c r="C99" s="2" t="s">
        <v>1788</v>
      </c>
      <c r="D99" s="2" t="s">
        <v>1759</v>
      </c>
      <c r="E99" s="2" t="s">
        <v>1359</v>
      </c>
      <c r="F99" s="2" t="s">
        <v>1102</v>
      </c>
      <c r="G99" s="15">
        <f>SUMIF(orders!B:B,A99,orders!F:F)</f>
        <v>0</v>
      </c>
      <c r="H99" s="15">
        <f>COUNTIF(orders!B:B,A99)</f>
        <v>0</v>
      </c>
      <c r="I99" s="15" t="str">
        <f t="shared" si="1"/>
        <v>One-Time Customer</v>
      </c>
    </row>
    <row r="100" spans="1:9" ht="14.25" customHeight="1" x14ac:dyDescent="0.3">
      <c r="A100" s="2" t="s">
        <v>1789</v>
      </c>
      <c r="B100" s="2" t="s">
        <v>1790</v>
      </c>
      <c r="C100" s="2" t="s">
        <v>1721</v>
      </c>
      <c r="D100" s="2" t="s">
        <v>1618</v>
      </c>
      <c r="E100" s="2" t="s">
        <v>1139</v>
      </c>
      <c r="F100" s="2" t="s">
        <v>1130</v>
      </c>
      <c r="G100" s="15">
        <f>SUMIF(orders!B:B,A100,orders!F:F)</f>
        <v>140.54</v>
      </c>
      <c r="H100" s="15">
        <f>COUNTIF(orders!B:B,A100)</f>
        <v>2</v>
      </c>
      <c r="I100" s="15" t="str">
        <f t="shared" si="1"/>
        <v>Repeat Customer</v>
      </c>
    </row>
    <row r="101" spans="1:9" ht="14.25" customHeight="1" x14ac:dyDescent="0.3">
      <c r="A101" s="2" t="s">
        <v>1791</v>
      </c>
      <c r="B101" s="2" t="s">
        <v>1792</v>
      </c>
      <c r="C101" s="2" t="s">
        <v>1485</v>
      </c>
      <c r="D101" s="2" t="s">
        <v>1771</v>
      </c>
      <c r="E101" s="2" t="s">
        <v>1407</v>
      </c>
      <c r="F101" s="2" t="s">
        <v>1118</v>
      </c>
      <c r="G101" s="15">
        <f>SUMIF(orders!B:B,A101,orders!F:F)</f>
        <v>219.66000000000003</v>
      </c>
      <c r="H101" s="15">
        <f>COUNTIF(orders!B:B,A101)</f>
        <v>2</v>
      </c>
      <c r="I101" s="15" t="str">
        <f t="shared" si="1"/>
        <v>Repeat Customer</v>
      </c>
    </row>
    <row r="102" spans="1:9" ht="14.25" customHeight="1" x14ac:dyDescent="0.3">
      <c r="A102" s="2" t="s">
        <v>1793</v>
      </c>
      <c r="B102" s="2" t="s">
        <v>1794</v>
      </c>
      <c r="C102" s="2" t="s">
        <v>1598</v>
      </c>
      <c r="D102" s="2" t="s">
        <v>1785</v>
      </c>
      <c r="E102" s="2" t="s">
        <v>1474</v>
      </c>
      <c r="F102" s="2" t="s">
        <v>1118</v>
      </c>
      <c r="G102" s="15">
        <f>SUMIF(orders!B:B,A102,orders!F:F)</f>
        <v>145.57</v>
      </c>
      <c r="H102" s="15">
        <f>COUNTIF(orders!B:B,A102)</f>
        <v>2</v>
      </c>
      <c r="I102" s="15" t="str">
        <f t="shared" si="1"/>
        <v>Repeat Customer</v>
      </c>
    </row>
    <row r="103" spans="1:9" ht="14.25" customHeight="1" x14ac:dyDescent="0.3">
      <c r="A103" s="2" t="s">
        <v>1795</v>
      </c>
      <c r="B103" s="2" t="s">
        <v>1796</v>
      </c>
      <c r="C103" s="2" t="s">
        <v>1797</v>
      </c>
      <c r="D103" s="2" t="s">
        <v>1798</v>
      </c>
      <c r="E103" s="2" t="s">
        <v>1172</v>
      </c>
      <c r="F103" s="2" t="s">
        <v>1118</v>
      </c>
      <c r="G103" s="15">
        <f>SUMIF(orders!B:B,A103,orders!F:F)</f>
        <v>0</v>
      </c>
      <c r="H103" s="15">
        <f>COUNTIF(orders!B:B,A103)</f>
        <v>0</v>
      </c>
      <c r="I103" s="15" t="str">
        <f t="shared" si="1"/>
        <v>One-Time Customer</v>
      </c>
    </row>
    <row r="104" spans="1:9" ht="14.25" customHeight="1" x14ac:dyDescent="0.3">
      <c r="A104" s="2" t="s">
        <v>1799</v>
      </c>
      <c r="B104" s="2" t="s">
        <v>1800</v>
      </c>
      <c r="C104" s="2" t="s">
        <v>1801</v>
      </c>
      <c r="D104" s="2" t="s">
        <v>1357</v>
      </c>
      <c r="E104" s="2" t="s">
        <v>1155</v>
      </c>
      <c r="F104" s="2" t="s">
        <v>1130</v>
      </c>
      <c r="G104" s="15">
        <f>SUMIF(orders!B:B,A104,orders!F:F)</f>
        <v>74.2</v>
      </c>
      <c r="H104" s="15">
        <f>COUNTIF(orders!B:B,A104)</f>
        <v>1</v>
      </c>
      <c r="I104" s="15" t="str">
        <f t="shared" si="1"/>
        <v>One-Time Customer</v>
      </c>
    </row>
    <row r="105" spans="1:9" ht="14.25" customHeight="1" x14ac:dyDescent="0.3">
      <c r="A105" s="2" t="s">
        <v>1802</v>
      </c>
      <c r="B105" s="2" t="s">
        <v>1803</v>
      </c>
      <c r="C105" s="2" t="s">
        <v>1503</v>
      </c>
      <c r="D105" s="2" t="s">
        <v>1742</v>
      </c>
      <c r="E105" s="2" t="s">
        <v>1172</v>
      </c>
      <c r="F105" s="2" t="s">
        <v>1118</v>
      </c>
      <c r="G105" s="15">
        <f>SUMIF(orders!B:B,A105,orders!F:F)</f>
        <v>0</v>
      </c>
      <c r="H105" s="15">
        <f>COUNTIF(orders!B:B,A105)</f>
        <v>0</v>
      </c>
      <c r="I105" s="15" t="str">
        <f t="shared" si="1"/>
        <v>One-Time Customer</v>
      </c>
    </row>
    <row r="106" spans="1:9" ht="14.25" customHeight="1" x14ac:dyDescent="0.3">
      <c r="A106" s="2" t="s">
        <v>1804</v>
      </c>
      <c r="B106" s="2" t="s">
        <v>1805</v>
      </c>
      <c r="C106" s="2" t="s">
        <v>1529</v>
      </c>
      <c r="D106" s="2" t="s">
        <v>1153</v>
      </c>
      <c r="E106" s="2" t="s">
        <v>1172</v>
      </c>
      <c r="F106" s="2" t="s">
        <v>1118</v>
      </c>
      <c r="G106" s="15">
        <f>SUMIF(orders!B:B,A106,orders!F:F)</f>
        <v>14.86</v>
      </c>
      <c r="H106" s="15">
        <f>COUNTIF(orders!B:B,A106)</f>
        <v>1</v>
      </c>
      <c r="I106" s="15" t="str">
        <f t="shared" si="1"/>
        <v>One-Time Customer</v>
      </c>
    </row>
    <row r="107" spans="1:9" ht="14.25" customHeight="1" x14ac:dyDescent="0.3">
      <c r="A107" s="2" t="s">
        <v>1806</v>
      </c>
      <c r="B107" s="2" t="s">
        <v>1807</v>
      </c>
      <c r="C107" s="2" t="s">
        <v>1808</v>
      </c>
      <c r="D107" s="2" t="s">
        <v>1357</v>
      </c>
      <c r="E107" s="2" t="s">
        <v>1172</v>
      </c>
      <c r="F107" s="2" t="s">
        <v>1118</v>
      </c>
      <c r="G107" s="15">
        <f>SUMIF(orders!B:B,A107,orders!F:F)</f>
        <v>0</v>
      </c>
      <c r="H107" s="15">
        <f>COUNTIF(orders!B:B,A107)</f>
        <v>0</v>
      </c>
      <c r="I107" s="15" t="str">
        <f t="shared" si="1"/>
        <v>One-Time Customer</v>
      </c>
    </row>
    <row r="108" spans="1:9" ht="14.25" customHeight="1" x14ac:dyDescent="0.3">
      <c r="A108" s="2" t="s">
        <v>1809</v>
      </c>
      <c r="B108" s="2" t="s">
        <v>1810</v>
      </c>
      <c r="C108" s="2" t="s">
        <v>1669</v>
      </c>
      <c r="D108" s="2" t="s">
        <v>1464</v>
      </c>
      <c r="E108" s="2" t="s">
        <v>1109</v>
      </c>
      <c r="F108" s="2" t="s">
        <v>1110</v>
      </c>
      <c r="G108" s="15">
        <f>SUMIF(orders!B:B,A108,orders!F:F)</f>
        <v>0</v>
      </c>
      <c r="H108" s="15">
        <f>COUNTIF(orders!B:B,A108)</f>
        <v>0</v>
      </c>
      <c r="I108" s="15" t="str">
        <f t="shared" si="1"/>
        <v>One-Time Customer</v>
      </c>
    </row>
    <row r="109" spans="1:9" ht="14.25" customHeight="1" x14ac:dyDescent="0.3">
      <c r="A109" s="2" t="s">
        <v>1811</v>
      </c>
      <c r="B109" s="2" t="s">
        <v>1812</v>
      </c>
      <c r="C109" s="2" t="s">
        <v>1632</v>
      </c>
      <c r="D109" s="2" t="s">
        <v>1813</v>
      </c>
      <c r="E109" s="2" t="s">
        <v>1264</v>
      </c>
      <c r="F109" s="2" t="s">
        <v>1117</v>
      </c>
      <c r="G109" s="15">
        <f>SUMIF(orders!B:B,A109,orders!F:F)</f>
        <v>33.24</v>
      </c>
      <c r="H109" s="15">
        <f>COUNTIF(orders!B:B,A109)</f>
        <v>1</v>
      </c>
      <c r="I109" s="15" t="str">
        <f t="shared" si="1"/>
        <v>One-Time Customer</v>
      </c>
    </row>
    <row r="110" spans="1:9" ht="14.25" customHeight="1" x14ac:dyDescent="0.3">
      <c r="A110" s="2" t="s">
        <v>1814</v>
      </c>
      <c r="B110" s="2" t="s">
        <v>1815</v>
      </c>
      <c r="C110" s="2" t="s">
        <v>1816</v>
      </c>
      <c r="D110" s="2" t="s">
        <v>1579</v>
      </c>
      <c r="E110" s="2" t="s">
        <v>1151</v>
      </c>
      <c r="F110" s="2" t="s">
        <v>1102</v>
      </c>
      <c r="G110" s="15">
        <f>SUMIF(orders!B:B,A110,orders!F:F)</f>
        <v>166.94</v>
      </c>
      <c r="H110" s="15">
        <f>COUNTIF(orders!B:B,A110)</f>
        <v>3</v>
      </c>
      <c r="I110" s="15" t="str">
        <f t="shared" si="1"/>
        <v>Repeat Customer</v>
      </c>
    </row>
    <row r="111" spans="1:9" ht="14.25" customHeight="1" x14ac:dyDescent="0.3">
      <c r="A111" s="2" t="s">
        <v>1817</v>
      </c>
      <c r="B111" s="2" t="s">
        <v>1818</v>
      </c>
      <c r="C111" s="2" t="s">
        <v>1819</v>
      </c>
      <c r="D111" s="2" t="s">
        <v>1298</v>
      </c>
      <c r="E111" s="2" t="s">
        <v>1820</v>
      </c>
      <c r="F111" s="2" t="s">
        <v>1117</v>
      </c>
      <c r="G111" s="15">
        <f>SUMIF(orders!B:B,A111,orders!F:F)</f>
        <v>0</v>
      </c>
      <c r="H111" s="15">
        <f>COUNTIF(orders!B:B,A111)</f>
        <v>0</v>
      </c>
      <c r="I111" s="15" t="str">
        <f t="shared" si="1"/>
        <v>One-Time Customer</v>
      </c>
    </row>
    <row r="112" spans="1:9" ht="14.25" customHeight="1" x14ac:dyDescent="0.3">
      <c r="A112" s="2" t="s">
        <v>1821</v>
      </c>
      <c r="B112" s="2" t="s">
        <v>1822</v>
      </c>
      <c r="C112" s="2" t="s">
        <v>1472</v>
      </c>
      <c r="D112" s="2" t="s">
        <v>1357</v>
      </c>
      <c r="E112" s="2" t="s">
        <v>1342</v>
      </c>
      <c r="F112" s="2" t="s">
        <v>1102</v>
      </c>
      <c r="G112" s="15">
        <f>SUMIF(orders!B:B,A112,orders!F:F)</f>
        <v>0</v>
      </c>
      <c r="H112" s="15">
        <f>COUNTIF(orders!B:B,A112)</f>
        <v>0</v>
      </c>
      <c r="I112" s="15" t="str">
        <f t="shared" si="1"/>
        <v>One-Time Customer</v>
      </c>
    </row>
    <row r="113" spans="1:9" ht="14.25" customHeight="1" x14ac:dyDescent="0.3">
      <c r="A113" s="2" t="s">
        <v>1823</v>
      </c>
      <c r="B113" s="2" t="s">
        <v>1824</v>
      </c>
      <c r="C113" s="2" t="s">
        <v>1825</v>
      </c>
      <c r="D113" s="2" t="s">
        <v>1826</v>
      </c>
      <c r="E113" s="2" t="s">
        <v>1492</v>
      </c>
      <c r="F113" s="2" t="s">
        <v>1130</v>
      </c>
      <c r="G113" s="15">
        <f>SUMIF(orders!B:B,A113,orders!F:F)</f>
        <v>0</v>
      </c>
      <c r="H113" s="15">
        <f>COUNTIF(orders!B:B,A113)</f>
        <v>0</v>
      </c>
      <c r="I113" s="15" t="str">
        <f t="shared" si="1"/>
        <v>One-Time Customer</v>
      </c>
    </row>
    <row r="114" spans="1:9" ht="14.25" customHeight="1" x14ac:dyDescent="0.3">
      <c r="A114" s="2" t="s">
        <v>1827</v>
      </c>
      <c r="B114" s="2" t="s">
        <v>1828</v>
      </c>
      <c r="C114" s="2" t="s">
        <v>1397</v>
      </c>
      <c r="D114" s="2" t="s">
        <v>1547</v>
      </c>
      <c r="E114" s="2" t="s">
        <v>1575</v>
      </c>
      <c r="F114" s="2" t="s">
        <v>1118</v>
      </c>
      <c r="G114" s="15">
        <f>SUMIF(orders!B:B,A114,orders!F:F)</f>
        <v>0</v>
      </c>
      <c r="H114" s="15">
        <f>COUNTIF(orders!B:B,A114)</f>
        <v>0</v>
      </c>
      <c r="I114" s="15" t="str">
        <f t="shared" si="1"/>
        <v>One-Time Customer</v>
      </c>
    </row>
    <row r="115" spans="1:9" ht="14.25" customHeight="1" x14ac:dyDescent="0.3">
      <c r="A115" s="2" t="s">
        <v>1829</v>
      </c>
      <c r="B115" s="2" t="s">
        <v>1830</v>
      </c>
      <c r="C115" s="2" t="s">
        <v>1831</v>
      </c>
      <c r="D115" s="2" t="s">
        <v>1832</v>
      </c>
      <c r="E115" s="2" t="s">
        <v>1454</v>
      </c>
      <c r="F115" s="2" t="s">
        <v>1118</v>
      </c>
      <c r="G115" s="15">
        <f>SUMIF(orders!B:B,A115,orders!F:F)</f>
        <v>72.150000000000006</v>
      </c>
      <c r="H115" s="15">
        <f>COUNTIF(orders!B:B,A115)</f>
        <v>1</v>
      </c>
      <c r="I115" s="15" t="str">
        <f t="shared" si="1"/>
        <v>One-Time Customer</v>
      </c>
    </row>
    <row r="116" spans="1:9" ht="14.25" customHeight="1" x14ac:dyDescent="0.3">
      <c r="A116" s="2" t="s">
        <v>1833</v>
      </c>
      <c r="B116" s="2" t="s">
        <v>1834</v>
      </c>
      <c r="C116" s="2" t="s">
        <v>1314</v>
      </c>
      <c r="D116" s="2" t="s">
        <v>1759</v>
      </c>
      <c r="E116" s="2" t="s">
        <v>1270</v>
      </c>
      <c r="F116" s="2" t="s">
        <v>1130</v>
      </c>
      <c r="G116" s="15">
        <f>SUMIF(orders!B:B,A116,orders!F:F)</f>
        <v>37.809999999999995</v>
      </c>
      <c r="H116" s="15">
        <f>COUNTIF(orders!B:B,A116)</f>
        <v>1</v>
      </c>
      <c r="I116" s="15" t="str">
        <f t="shared" si="1"/>
        <v>One-Time Customer</v>
      </c>
    </row>
    <row r="117" spans="1:9" ht="14.25" customHeight="1" x14ac:dyDescent="0.3">
      <c r="A117" s="2" t="s">
        <v>1835</v>
      </c>
      <c r="B117" s="2" t="s">
        <v>1836</v>
      </c>
      <c r="C117" s="2" t="s">
        <v>1733</v>
      </c>
      <c r="D117" s="2" t="s">
        <v>1837</v>
      </c>
      <c r="E117" s="2" t="s">
        <v>1603</v>
      </c>
      <c r="F117" s="2" t="s">
        <v>1102</v>
      </c>
      <c r="G117" s="15">
        <f>SUMIF(orders!B:B,A117,orders!F:F)</f>
        <v>0</v>
      </c>
      <c r="H117" s="15">
        <f>COUNTIF(orders!B:B,A117)</f>
        <v>0</v>
      </c>
      <c r="I117" s="15" t="str">
        <f t="shared" si="1"/>
        <v>One-Time Customer</v>
      </c>
    </row>
    <row r="118" spans="1:9" ht="14.25" customHeight="1" x14ac:dyDescent="0.3">
      <c r="A118" s="2" t="s">
        <v>1838</v>
      </c>
      <c r="B118" s="2" t="s">
        <v>1839</v>
      </c>
      <c r="C118" s="2" t="s">
        <v>1840</v>
      </c>
      <c r="D118" s="2" t="s">
        <v>1491</v>
      </c>
      <c r="E118" s="2" t="s">
        <v>1155</v>
      </c>
      <c r="F118" s="2" t="s">
        <v>1130</v>
      </c>
      <c r="G118" s="15">
        <f>SUMIF(orders!B:B,A118,orders!F:F)</f>
        <v>163.29</v>
      </c>
      <c r="H118" s="15">
        <f>COUNTIF(orders!B:B,A118)</f>
        <v>3</v>
      </c>
      <c r="I118" s="15" t="str">
        <f t="shared" si="1"/>
        <v>Repeat Customer</v>
      </c>
    </row>
    <row r="119" spans="1:9" ht="14.25" customHeight="1" x14ac:dyDescent="0.3">
      <c r="A119" s="2" t="s">
        <v>1841</v>
      </c>
      <c r="B119" s="2" t="s">
        <v>1842</v>
      </c>
      <c r="C119" s="2" t="s">
        <v>1843</v>
      </c>
      <c r="D119" s="2" t="s">
        <v>1844</v>
      </c>
      <c r="E119" s="2" t="s">
        <v>1728</v>
      </c>
      <c r="F119" s="2" t="s">
        <v>1102</v>
      </c>
      <c r="G119" s="15">
        <f>SUMIF(orders!B:B,A119,orders!F:F)</f>
        <v>0</v>
      </c>
      <c r="H119" s="15">
        <f>COUNTIF(orders!B:B,A119)</f>
        <v>0</v>
      </c>
      <c r="I119" s="15" t="str">
        <f t="shared" si="1"/>
        <v>One-Time Customer</v>
      </c>
    </row>
    <row r="120" spans="1:9" ht="14.25" customHeight="1" x14ac:dyDescent="0.3">
      <c r="A120" s="2" t="s">
        <v>1845</v>
      </c>
      <c r="B120" s="2" t="s">
        <v>1846</v>
      </c>
      <c r="C120" s="2" t="s">
        <v>1778</v>
      </c>
      <c r="D120" s="2" t="s">
        <v>1298</v>
      </c>
      <c r="E120" s="2" t="s">
        <v>1407</v>
      </c>
      <c r="F120" s="2" t="s">
        <v>1118</v>
      </c>
      <c r="G120" s="15">
        <f>SUMIF(orders!B:B,A120,orders!F:F)</f>
        <v>293.11</v>
      </c>
      <c r="H120" s="15">
        <f>COUNTIF(orders!B:B,A120)</f>
        <v>3</v>
      </c>
      <c r="I120" s="15" t="str">
        <f t="shared" si="1"/>
        <v>Repeat Customer</v>
      </c>
    </row>
    <row r="121" spans="1:9" ht="14.25" customHeight="1" x14ac:dyDescent="0.3">
      <c r="A121" s="2" t="s">
        <v>1847</v>
      </c>
      <c r="B121" s="2" t="s">
        <v>1848</v>
      </c>
      <c r="C121" s="2" t="s">
        <v>1849</v>
      </c>
      <c r="D121" s="2" t="s">
        <v>1850</v>
      </c>
      <c r="E121" s="2" t="s">
        <v>1407</v>
      </c>
      <c r="F121" s="2" t="s">
        <v>1118</v>
      </c>
      <c r="G121" s="15">
        <f>SUMIF(orders!B:B,A121,orders!F:F)</f>
        <v>75.87</v>
      </c>
      <c r="H121" s="15">
        <f>COUNTIF(orders!B:B,A121)</f>
        <v>2</v>
      </c>
      <c r="I121" s="15" t="str">
        <f t="shared" si="1"/>
        <v>Repeat Customer</v>
      </c>
    </row>
    <row r="122" spans="1:9" ht="14.25" customHeight="1" x14ac:dyDescent="0.3">
      <c r="A122" s="2" t="s">
        <v>1851</v>
      </c>
      <c r="B122" s="2" t="s">
        <v>1852</v>
      </c>
      <c r="C122" s="2" t="s">
        <v>1506</v>
      </c>
      <c r="D122" s="2" t="s">
        <v>1759</v>
      </c>
      <c r="E122" s="2" t="s">
        <v>1454</v>
      </c>
      <c r="F122" s="2" t="s">
        <v>1118</v>
      </c>
      <c r="G122" s="15">
        <f>SUMIF(orders!B:B,A122,orders!F:F)</f>
        <v>119.27</v>
      </c>
      <c r="H122" s="15">
        <f>COUNTIF(orders!B:B,A122)</f>
        <v>1</v>
      </c>
      <c r="I122" s="15" t="str">
        <f t="shared" si="1"/>
        <v>One-Time Customer</v>
      </c>
    </row>
    <row r="123" spans="1:9" ht="14.25" customHeight="1" x14ac:dyDescent="0.3">
      <c r="A123" s="2" t="s">
        <v>1853</v>
      </c>
      <c r="B123" s="2" t="s">
        <v>1854</v>
      </c>
      <c r="C123" s="2" t="s">
        <v>1855</v>
      </c>
      <c r="D123" s="2" t="s">
        <v>1832</v>
      </c>
      <c r="E123" s="2" t="s">
        <v>1319</v>
      </c>
      <c r="F123" s="2" t="s">
        <v>1118</v>
      </c>
      <c r="G123" s="15">
        <f>SUMIF(orders!B:B,A123,orders!F:F)</f>
        <v>0</v>
      </c>
      <c r="H123" s="15">
        <f>COUNTIF(orders!B:B,A123)</f>
        <v>0</v>
      </c>
      <c r="I123" s="15" t="str">
        <f t="shared" si="1"/>
        <v>One-Time Customer</v>
      </c>
    </row>
    <row r="124" spans="1:9" ht="14.25" customHeight="1" x14ac:dyDescent="0.3">
      <c r="A124" s="2" t="s">
        <v>1856</v>
      </c>
      <c r="B124" s="2" t="s">
        <v>1857</v>
      </c>
      <c r="C124" s="2" t="s">
        <v>1858</v>
      </c>
      <c r="D124" s="2" t="s">
        <v>1739</v>
      </c>
      <c r="E124" s="2" t="s">
        <v>1859</v>
      </c>
      <c r="F124" s="2" t="s">
        <v>1130</v>
      </c>
      <c r="G124" s="15">
        <f>SUMIF(orders!B:B,A124,orders!F:F)</f>
        <v>121.32999999999998</v>
      </c>
      <c r="H124" s="15">
        <f>COUNTIF(orders!B:B,A124)</f>
        <v>2</v>
      </c>
      <c r="I124" s="15" t="str">
        <f t="shared" si="1"/>
        <v>Repeat Customer</v>
      </c>
    </row>
    <row r="125" spans="1:9" ht="14.25" customHeight="1" x14ac:dyDescent="0.3">
      <c r="A125" s="2" t="s">
        <v>1860</v>
      </c>
      <c r="B125" s="2" t="s">
        <v>1861</v>
      </c>
      <c r="C125" s="2" t="s">
        <v>1862</v>
      </c>
      <c r="D125" s="2" t="s">
        <v>1863</v>
      </c>
      <c r="E125" s="2" t="s">
        <v>1454</v>
      </c>
      <c r="F125" s="2" t="s">
        <v>1118</v>
      </c>
      <c r="G125" s="15">
        <f>SUMIF(orders!B:B,A125,orders!F:F)</f>
        <v>46.84</v>
      </c>
      <c r="H125" s="15">
        <f>COUNTIF(orders!B:B,A125)</f>
        <v>1</v>
      </c>
      <c r="I125" s="15" t="str">
        <f t="shared" si="1"/>
        <v>One-Time Customer</v>
      </c>
    </row>
    <row r="126" spans="1:9" ht="14.25" customHeight="1" x14ac:dyDescent="0.3">
      <c r="A126" s="2" t="s">
        <v>1864</v>
      </c>
      <c r="B126" s="2" t="s">
        <v>1865</v>
      </c>
      <c r="C126" s="2" t="s">
        <v>1472</v>
      </c>
      <c r="D126" s="2" t="s">
        <v>1252</v>
      </c>
      <c r="E126" s="2" t="s">
        <v>1235</v>
      </c>
      <c r="F126" s="2" t="s">
        <v>1118</v>
      </c>
      <c r="G126" s="15">
        <f>SUMIF(orders!B:B,A126,orders!F:F)</f>
        <v>49.540000000000006</v>
      </c>
      <c r="H126" s="15">
        <f>COUNTIF(orders!B:B,A126)</f>
        <v>1</v>
      </c>
      <c r="I126" s="15" t="str">
        <f t="shared" si="1"/>
        <v>One-Time Customer</v>
      </c>
    </row>
    <row r="127" spans="1:9" ht="14.25" customHeight="1" x14ac:dyDescent="0.3">
      <c r="A127" s="2" t="s">
        <v>1866</v>
      </c>
      <c r="B127" s="2" t="s">
        <v>1867</v>
      </c>
      <c r="C127" s="2" t="s">
        <v>1788</v>
      </c>
      <c r="D127" s="2" t="s">
        <v>1618</v>
      </c>
      <c r="E127" s="2" t="s">
        <v>1198</v>
      </c>
      <c r="F127" s="2" t="s">
        <v>1117</v>
      </c>
      <c r="G127" s="15">
        <f>SUMIF(orders!B:B,A127,orders!F:F)</f>
        <v>53.75</v>
      </c>
      <c r="H127" s="15">
        <f>COUNTIF(orders!B:B,A127)</f>
        <v>1</v>
      </c>
      <c r="I127" s="15" t="str">
        <f t="shared" si="1"/>
        <v>One-Time Customer</v>
      </c>
    </row>
    <row r="128" spans="1:9" ht="14.25" customHeight="1" x14ac:dyDescent="0.3">
      <c r="A128" s="2" t="s">
        <v>1868</v>
      </c>
      <c r="B128" s="2" t="s">
        <v>1869</v>
      </c>
      <c r="C128" s="2" t="s">
        <v>1766</v>
      </c>
      <c r="D128" s="2" t="s">
        <v>1554</v>
      </c>
      <c r="E128" s="2" t="s">
        <v>1454</v>
      </c>
      <c r="F128" s="2" t="s">
        <v>1118</v>
      </c>
      <c r="G128" s="15">
        <f>SUMIF(orders!B:B,A128,orders!F:F)</f>
        <v>0</v>
      </c>
      <c r="H128" s="15">
        <f>COUNTIF(orders!B:B,A128)</f>
        <v>0</v>
      </c>
      <c r="I128" s="15" t="str">
        <f t="shared" si="1"/>
        <v>One-Time Customer</v>
      </c>
    </row>
    <row r="129" spans="1:9" ht="14.25" customHeight="1" x14ac:dyDescent="0.3">
      <c r="A129" s="2" t="s">
        <v>1870</v>
      </c>
      <c r="B129" s="2" t="s">
        <v>1871</v>
      </c>
      <c r="C129" s="2" t="s">
        <v>1778</v>
      </c>
      <c r="D129" s="2" t="s">
        <v>1153</v>
      </c>
      <c r="E129" s="2" t="s">
        <v>1407</v>
      </c>
      <c r="F129" s="2" t="s">
        <v>1118</v>
      </c>
      <c r="G129" s="15">
        <f>SUMIF(orders!B:B,A129,orders!F:F)</f>
        <v>0</v>
      </c>
      <c r="H129" s="15">
        <f>COUNTIF(orders!B:B,A129)</f>
        <v>0</v>
      </c>
      <c r="I129" s="15" t="str">
        <f t="shared" si="1"/>
        <v>One-Time Customer</v>
      </c>
    </row>
    <row r="130" spans="1:9" ht="14.25" customHeight="1" x14ac:dyDescent="0.3">
      <c r="A130" s="2" t="s">
        <v>1872</v>
      </c>
      <c r="B130" s="2" t="s">
        <v>1873</v>
      </c>
      <c r="C130" s="2" t="s">
        <v>1562</v>
      </c>
      <c r="D130" s="2" t="s">
        <v>1618</v>
      </c>
      <c r="E130" s="2" t="s">
        <v>1155</v>
      </c>
      <c r="F130" s="2" t="s">
        <v>1130</v>
      </c>
      <c r="G130" s="15">
        <f>SUMIF(orders!B:B,A130,orders!F:F)</f>
        <v>0</v>
      </c>
      <c r="H130" s="15">
        <f>COUNTIF(orders!B:B,A130)</f>
        <v>0</v>
      </c>
      <c r="I130" s="15" t="str">
        <f t="shared" ref="I130:I193" si="2">IF(H130&gt;1,"Repeat Customer","One-Time Customer")</f>
        <v>One-Time Customer</v>
      </c>
    </row>
    <row r="131" spans="1:9" ht="14.25" customHeight="1" x14ac:dyDescent="0.3">
      <c r="A131" s="2" t="s">
        <v>1874</v>
      </c>
      <c r="B131" s="2" t="s">
        <v>1875</v>
      </c>
      <c r="C131" s="2" t="s">
        <v>1314</v>
      </c>
      <c r="D131" s="2" t="s">
        <v>1491</v>
      </c>
      <c r="E131" s="2" t="s">
        <v>1658</v>
      </c>
      <c r="F131" s="2" t="s">
        <v>1117</v>
      </c>
      <c r="G131" s="15">
        <f>SUMIF(orders!B:B,A131,orders!F:F)</f>
        <v>172.66</v>
      </c>
      <c r="H131" s="15">
        <f>COUNTIF(orders!B:B,A131)</f>
        <v>2</v>
      </c>
      <c r="I131" s="15" t="str">
        <f t="shared" si="2"/>
        <v>Repeat Customer</v>
      </c>
    </row>
    <row r="132" spans="1:9" ht="14.25" customHeight="1" x14ac:dyDescent="0.3">
      <c r="A132" s="2" t="s">
        <v>1876</v>
      </c>
      <c r="B132" s="2" t="s">
        <v>1877</v>
      </c>
      <c r="C132" s="2" t="s">
        <v>1878</v>
      </c>
      <c r="D132" s="2" t="s">
        <v>1879</v>
      </c>
      <c r="E132" s="2" t="s">
        <v>1492</v>
      </c>
      <c r="F132" s="2" t="s">
        <v>1130</v>
      </c>
      <c r="G132" s="15">
        <f>SUMIF(orders!B:B,A132,orders!F:F)</f>
        <v>288.12</v>
      </c>
      <c r="H132" s="15">
        <f>COUNTIF(orders!B:B,A132)</f>
        <v>2</v>
      </c>
      <c r="I132" s="15" t="str">
        <f t="shared" si="2"/>
        <v>Repeat Customer</v>
      </c>
    </row>
    <row r="133" spans="1:9" ht="14.25" customHeight="1" x14ac:dyDescent="0.3">
      <c r="A133" s="2" t="s">
        <v>1880</v>
      </c>
      <c r="B133" s="2" t="s">
        <v>1881</v>
      </c>
      <c r="C133" s="2" t="s">
        <v>1882</v>
      </c>
      <c r="D133" s="2" t="s">
        <v>1547</v>
      </c>
      <c r="E133" s="2" t="s">
        <v>1109</v>
      </c>
      <c r="F133" s="2" t="s">
        <v>1110</v>
      </c>
      <c r="G133" s="15">
        <f>SUMIF(orders!B:B,A133,orders!F:F)</f>
        <v>920.59000000000015</v>
      </c>
      <c r="H133" s="15">
        <f>COUNTIF(orders!B:B,A133)</f>
        <v>11</v>
      </c>
      <c r="I133" s="15" t="str">
        <f t="shared" si="2"/>
        <v>Repeat Customer</v>
      </c>
    </row>
    <row r="134" spans="1:9" ht="14.25" customHeight="1" x14ac:dyDescent="0.3">
      <c r="A134" s="2" t="s">
        <v>1883</v>
      </c>
      <c r="B134" s="2" t="s">
        <v>1884</v>
      </c>
      <c r="C134" s="2" t="s">
        <v>1457</v>
      </c>
      <c r="D134" s="2" t="s">
        <v>1570</v>
      </c>
      <c r="E134" s="2" t="s">
        <v>1728</v>
      </c>
      <c r="F134" s="2" t="s">
        <v>1102</v>
      </c>
      <c r="G134" s="15">
        <f>SUMIF(orders!B:B,A134,orders!F:F)</f>
        <v>631.37</v>
      </c>
      <c r="H134" s="15">
        <f>COUNTIF(orders!B:B,A134)</f>
        <v>7</v>
      </c>
      <c r="I134" s="15" t="str">
        <f t="shared" si="2"/>
        <v>Repeat Customer</v>
      </c>
    </row>
    <row r="135" spans="1:9" ht="14.25" customHeight="1" x14ac:dyDescent="0.3">
      <c r="A135" s="2" t="s">
        <v>1885</v>
      </c>
      <c r="B135" s="2" t="s">
        <v>1886</v>
      </c>
      <c r="C135" s="2" t="s">
        <v>1202</v>
      </c>
      <c r="D135" s="2" t="s">
        <v>1759</v>
      </c>
      <c r="E135" s="2" t="s">
        <v>1270</v>
      </c>
      <c r="F135" s="2" t="s">
        <v>1130</v>
      </c>
      <c r="G135" s="15">
        <f>SUMIF(orders!B:B,A135,orders!F:F)</f>
        <v>0</v>
      </c>
      <c r="H135" s="15">
        <f>COUNTIF(orders!B:B,A135)</f>
        <v>0</v>
      </c>
      <c r="I135" s="15" t="str">
        <f t="shared" si="2"/>
        <v>One-Time Customer</v>
      </c>
    </row>
    <row r="136" spans="1:9" ht="14.25" customHeight="1" x14ac:dyDescent="0.3">
      <c r="A136" s="2" t="s">
        <v>1887</v>
      </c>
      <c r="B136" s="2" t="s">
        <v>1888</v>
      </c>
      <c r="C136" s="2" t="s">
        <v>1733</v>
      </c>
      <c r="D136" s="2" t="s">
        <v>1683</v>
      </c>
      <c r="E136" s="2" t="s">
        <v>1474</v>
      </c>
      <c r="F136" s="2" t="s">
        <v>1118</v>
      </c>
      <c r="G136" s="15">
        <f>SUMIF(orders!B:B,A136,orders!F:F)</f>
        <v>0</v>
      </c>
      <c r="H136" s="15">
        <f>COUNTIF(orders!B:B,A136)</f>
        <v>0</v>
      </c>
      <c r="I136" s="15" t="str">
        <f t="shared" si="2"/>
        <v>One-Time Customer</v>
      </c>
    </row>
    <row r="137" spans="1:9" ht="14.25" customHeight="1" x14ac:dyDescent="0.3">
      <c r="A137" s="2" t="s">
        <v>1889</v>
      </c>
      <c r="B137" s="2" t="s">
        <v>1890</v>
      </c>
      <c r="C137" s="2" t="s">
        <v>1891</v>
      </c>
      <c r="D137" s="2" t="s">
        <v>1844</v>
      </c>
      <c r="E137" s="2" t="s">
        <v>1407</v>
      </c>
      <c r="F137" s="2" t="s">
        <v>1118</v>
      </c>
      <c r="G137" s="15">
        <f>SUMIF(orders!B:B,A137,orders!F:F)</f>
        <v>0</v>
      </c>
      <c r="H137" s="15">
        <f>COUNTIF(orders!B:B,A137)</f>
        <v>0</v>
      </c>
      <c r="I137" s="15" t="str">
        <f t="shared" si="2"/>
        <v>One-Time Customer</v>
      </c>
    </row>
    <row r="138" spans="1:9" ht="14.25" customHeight="1" x14ac:dyDescent="0.3">
      <c r="A138" s="2" t="s">
        <v>1892</v>
      </c>
      <c r="B138" s="2" t="s">
        <v>1893</v>
      </c>
      <c r="C138" s="2" t="s">
        <v>1562</v>
      </c>
      <c r="D138" s="2" t="s">
        <v>1837</v>
      </c>
      <c r="E138" s="2" t="s">
        <v>1407</v>
      </c>
      <c r="F138" s="2" t="s">
        <v>1118</v>
      </c>
      <c r="G138" s="15">
        <f>SUMIF(orders!B:B,A138,orders!F:F)</f>
        <v>134.65</v>
      </c>
      <c r="H138" s="15">
        <f>COUNTIF(orders!B:B,A138)</f>
        <v>2</v>
      </c>
      <c r="I138" s="15" t="str">
        <f t="shared" si="2"/>
        <v>Repeat Customer</v>
      </c>
    </row>
    <row r="139" spans="1:9" ht="14.25" customHeight="1" x14ac:dyDescent="0.3">
      <c r="A139" s="2" t="s">
        <v>1894</v>
      </c>
      <c r="B139" s="2" t="s">
        <v>1895</v>
      </c>
      <c r="C139" s="2" t="s">
        <v>1736</v>
      </c>
      <c r="D139" s="2" t="s">
        <v>1837</v>
      </c>
      <c r="E139" s="2" t="s">
        <v>1128</v>
      </c>
      <c r="F139" s="2" t="s">
        <v>1129</v>
      </c>
      <c r="G139" s="15">
        <f>SUMIF(orders!B:B,A139,orders!F:F)</f>
        <v>160.75</v>
      </c>
      <c r="H139" s="15">
        <f>COUNTIF(orders!B:B,A139)</f>
        <v>2</v>
      </c>
      <c r="I139" s="15" t="str">
        <f t="shared" si="2"/>
        <v>Repeat Customer</v>
      </c>
    </row>
    <row r="140" spans="1:9" ht="14.25" customHeight="1" x14ac:dyDescent="0.3">
      <c r="A140" s="2" t="s">
        <v>1896</v>
      </c>
      <c r="B140" s="2" t="s">
        <v>1897</v>
      </c>
      <c r="C140" s="2" t="s">
        <v>1898</v>
      </c>
      <c r="D140" s="2" t="s">
        <v>1899</v>
      </c>
      <c r="E140" s="2" t="s">
        <v>1134</v>
      </c>
      <c r="F140" s="2" t="s">
        <v>1102</v>
      </c>
      <c r="G140" s="15">
        <f>SUMIF(orders!B:B,A140,orders!F:F)</f>
        <v>315.22000000000003</v>
      </c>
      <c r="H140" s="15">
        <f>COUNTIF(orders!B:B,A140)</f>
        <v>2</v>
      </c>
      <c r="I140" s="15" t="str">
        <f t="shared" si="2"/>
        <v>Repeat Customer</v>
      </c>
    </row>
    <row r="141" spans="1:9" ht="14.25" customHeight="1" x14ac:dyDescent="0.3">
      <c r="A141" s="2" t="s">
        <v>1900</v>
      </c>
      <c r="B141" s="2" t="s">
        <v>1901</v>
      </c>
      <c r="C141" s="2" t="s">
        <v>1608</v>
      </c>
      <c r="D141" s="2" t="s">
        <v>1657</v>
      </c>
      <c r="E141" s="2" t="s">
        <v>1109</v>
      </c>
      <c r="F141" s="2" t="s">
        <v>1110</v>
      </c>
      <c r="G141" s="15">
        <f>SUMIF(orders!B:B,A141,orders!F:F)</f>
        <v>0</v>
      </c>
      <c r="H141" s="15">
        <f>COUNTIF(orders!B:B,A141)</f>
        <v>0</v>
      </c>
      <c r="I141" s="15" t="str">
        <f t="shared" si="2"/>
        <v>One-Time Customer</v>
      </c>
    </row>
    <row r="142" spans="1:9" ht="14.25" customHeight="1" x14ac:dyDescent="0.3">
      <c r="A142" s="2" t="s">
        <v>1902</v>
      </c>
      <c r="B142" s="2" t="s">
        <v>1903</v>
      </c>
      <c r="C142" s="2" t="s">
        <v>1904</v>
      </c>
      <c r="D142" s="2" t="s">
        <v>1587</v>
      </c>
      <c r="E142" s="2" t="s">
        <v>1172</v>
      </c>
      <c r="F142" s="2" t="s">
        <v>1118</v>
      </c>
      <c r="G142" s="15">
        <f>SUMIF(orders!B:B,A142,orders!F:F)</f>
        <v>168.67000000000002</v>
      </c>
      <c r="H142" s="15">
        <f>COUNTIF(orders!B:B,A142)</f>
        <v>3</v>
      </c>
      <c r="I142" s="15" t="str">
        <f t="shared" si="2"/>
        <v>Repeat Customer</v>
      </c>
    </row>
    <row r="143" spans="1:9" ht="14.25" customHeight="1" x14ac:dyDescent="0.3">
      <c r="A143" s="2" t="s">
        <v>1905</v>
      </c>
      <c r="B143" s="2" t="s">
        <v>1906</v>
      </c>
      <c r="C143" s="2" t="s">
        <v>1907</v>
      </c>
      <c r="D143" s="2" t="s">
        <v>1153</v>
      </c>
      <c r="E143" s="2" t="s">
        <v>1342</v>
      </c>
      <c r="F143" s="2" t="s">
        <v>1102</v>
      </c>
      <c r="G143" s="15">
        <f>SUMIF(orders!B:B,A143,orders!F:F)</f>
        <v>154.30000000000001</v>
      </c>
      <c r="H143" s="15">
        <f>COUNTIF(orders!B:B,A143)</f>
        <v>2</v>
      </c>
      <c r="I143" s="15" t="str">
        <f t="shared" si="2"/>
        <v>Repeat Customer</v>
      </c>
    </row>
    <row r="144" spans="1:9" ht="14.25" customHeight="1" x14ac:dyDescent="0.3">
      <c r="A144" s="2" t="s">
        <v>1908</v>
      </c>
      <c r="B144" s="2" t="s">
        <v>1909</v>
      </c>
      <c r="C144" s="2" t="s">
        <v>1910</v>
      </c>
      <c r="D144" s="2" t="s">
        <v>1911</v>
      </c>
      <c r="E144" s="2" t="s">
        <v>1139</v>
      </c>
      <c r="F144" s="2" t="s">
        <v>1130</v>
      </c>
      <c r="G144" s="15">
        <f>SUMIF(orders!B:B,A144,orders!F:F)</f>
        <v>163.13</v>
      </c>
      <c r="H144" s="15">
        <f>COUNTIF(orders!B:B,A144)</f>
        <v>1</v>
      </c>
      <c r="I144" s="15" t="str">
        <f t="shared" si="2"/>
        <v>One-Time Customer</v>
      </c>
    </row>
    <row r="145" spans="1:9" ht="14.25" customHeight="1" x14ac:dyDescent="0.3">
      <c r="A145" s="2" t="s">
        <v>1912</v>
      </c>
      <c r="B145" s="2" t="s">
        <v>1913</v>
      </c>
      <c r="C145" s="2" t="s">
        <v>1613</v>
      </c>
      <c r="D145" s="2" t="s">
        <v>1771</v>
      </c>
      <c r="E145" s="2" t="s">
        <v>1155</v>
      </c>
      <c r="F145" s="2" t="s">
        <v>1130</v>
      </c>
      <c r="G145" s="15">
        <f>SUMIF(orders!B:B,A145,orders!F:F)</f>
        <v>0</v>
      </c>
      <c r="H145" s="15">
        <f>COUNTIF(orders!B:B,A145)</f>
        <v>0</v>
      </c>
      <c r="I145" s="15" t="str">
        <f t="shared" si="2"/>
        <v>One-Time Customer</v>
      </c>
    </row>
    <row r="146" spans="1:9" ht="14.25" customHeight="1" x14ac:dyDescent="0.3">
      <c r="A146" s="2" t="s">
        <v>1914</v>
      </c>
      <c r="B146" s="2" t="s">
        <v>1915</v>
      </c>
      <c r="C146" s="2" t="s">
        <v>1916</v>
      </c>
      <c r="D146" s="2" t="s">
        <v>1468</v>
      </c>
      <c r="E146" s="2" t="s">
        <v>1407</v>
      </c>
      <c r="F146" s="2" t="s">
        <v>1118</v>
      </c>
      <c r="G146" s="15">
        <f>SUMIF(orders!B:B,A146,orders!F:F)</f>
        <v>0</v>
      </c>
      <c r="H146" s="15">
        <f>COUNTIF(orders!B:B,A146)</f>
        <v>0</v>
      </c>
      <c r="I146" s="15" t="str">
        <f t="shared" si="2"/>
        <v>One-Time Customer</v>
      </c>
    </row>
    <row r="147" spans="1:9" ht="14.25" customHeight="1" x14ac:dyDescent="0.3">
      <c r="A147" s="2" t="s">
        <v>1917</v>
      </c>
      <c r="B147" s="2" t="s">
        <v>1918</v>
      </c>
      <c r="C147" s="2" t="s">
        <v>1910</v>
      </c>
      <c r="D147" s="2" t="s">
        <v>1919</v>
      </c>
      <c r="E147" s="2" t="s">
        <v>1382</v>
      </c>
      <c r="F147" s="2" t="s">
        <v>1129</v>
      </c>
      <c r="G147" s="15">
        <f>SUMIF(orders!B:B,A147,orders!F:F)</f>
        <v>0</v>
      </c>
      <c r="H147" s="15">
        <f>COUNTIF(orders!B:B,A147)</f>
        <v>0</v>
      </c>
      <c r="I147" s="15" t="str">
        <f t="shared" si="2"/>
        <v>One-Time Customer</v>
      </c>
    </row>
    <row r="148" spans="1:9" ht="14.25" customHeight="1" x14ac:dyDescent="0.3">
      <c r="A148" s="2" t="s">
        <v>1920</v>
      </c>
      <c r="B148" s="2" t="s">
        <v>1921</v>
      </c>
      <c r="C148" s="2" t="s">
        <v>1858</v>
      </c>
      <c r="D148" s="2" t="s">
        <v>1922</v>
      </c>
      <c r="E148" s="2" t="s">
        <v>1514</v>
      </c>
      <c r="F148" s="2" t="s">
        <v>1130</v>
      </c>
      <c r="G148" s="15">
        <f>SUMIF(orders!B:B,A148,orders!F:F)</f>
        <v>156.32999999999998</v>
      </c>
      <c r="H148" s="15">
        <f>COUNTIF(orders!B:B,A148)</f>
        <v>2</v>
      </c>
      <c r="I148" s="15" t="str">
        <f t="shared" si="2"/>
        <v>Repeat Customer</v>
      </c>
    </row>
    <row r="149" spans="1:9" ht="14.25" customHeight="1" x14ac:dyDescent="0.3">
      <c r="A149" s="2" t="s">
        <v>1923</v>
      </c>
      <c r="B149" s="2" t="s">
        <v>1924</v>
      </c>
      <c r="C149" s="2" t="s">
        <v>1578</v>
      </c>
      <c r="D149" s="2" t="s">
        <v>1522</v>
      </c>
      <c r="E149" s="2" t="s">
        <v>1198</v>
      </c>
      <c r="F149" s="2" t="s">
        <v>1117</v>
      </c>
      <c r="G149" s="15">
        <f>SUMIF(orders!B:B,A149,orders!F:F)</f>
        <v>0</v>
      </c>
      <c r="H149" s="15">
        <f>COUNTIF(orders!B:B,A149)</f>
        <v>0</v>
      </c>
      <c r="I149" s="15" t="str">
        <f t="shared" si="2"/>
        <v>One-Time Customer</v>
      </c>
    </row>
    <row r="150" spans="1:9" ht="14.25" customHeight="1" x14ac:dyDescent="0.3">
      <c r="A150" s="2" t="s">
        <v>1925</v>
      </c>
      <c r="B150" s="2" t="s">
        <v>1926</v>
      </c>
      <c r="C150" s="2" t="s">
        <v>1927</v>
      </c>
      <c r="D150" s="2" t="s">
        <v>1712</v>
      </c>
      <c r="E150" s="2" t="s">
        <v>1658</v>
      </c>
      <c r="F150" s="2" t="s">
        <v>1117</v>
      </c>
      <c r="G150" s="15">
        <f>SUMIF(orders!B:B,A150,orders!F:F)</f>
        <v>0</v>
      </c>
      <c r="H150" s="15">
        <f>COUNTIF(orders!B:B,A150)</f>
        <v>0</v>
      </c>
      <c r="I150" s="15" t="str">
        <f t="shared" si="2"/>
        <v>One-Time Customer</v>
      </c>
    </row>
    <row r="151" spans="1:9" ht="14.25" customHeight="1" x14ac:dyDescent="0.3">
      <c r="A151" s="2" t="s">
        <v>1928</v>
      </c>
      <c r="B151" s="2" t="s">
        <v>1929</v>
      </c>
      <c r="C151" s="2" t="s">
        <v>1930</v>
      </c>
      <c r="D151" s="2" t="s">
        <v>1458</v>
      </c>
      <c r="E151" s="2" t="s">
        <v>1514</v>
      </c>
      <c r="F151" s="2" t="s">
        <v>1130</v>
      </c>
      <c r="G151" s="15">
        <f>SUMIF(orders!B:B,A151,orders!F:F)</f>
        <v>0</v>
      </c>
      <c r="H151" s="15">
        <f>COUNTIF(orders!B:B,A151)</f>
        <v>0</v>
      </c>
      <c r="I151" s="15" t="str">
        <f t="shared" si="2"/>
        <v>One-Time Customer</v>
      </c>
    </row>
    <row r="152" spans="1:9" ht="14.25" customHeight="1" x14ac:dyDescent="0.3">
      <c r="A152" s="2" t="s">
        <v>1931</v>
      </c>
      <c r="B152" s="2" t="s">
        <v>1932</v>
      </c>
      <c r="C152" s="2" t="s">
        <v>1933</v>
      </c>
      <c r="D152" s="2" t="s">
        <v>1670</v>
      </c>
      <c r="E152" s="2" t="s">
        <v>1934</v>
      </c>
      <c r="F152" s="2" t="s">
        <v>1130</v>
      </c>
      <c r="G152" s="15">
        <f>SUMIF(orders!B:B,A152,orders!F:F)</f>
        <v>106.70000000000002</v>
      </c>
      <c r="H152" s="15">
        <f>COUNTIF(orders!B:B,A152)</f>
        <v>1</v>
      </c>
      <c r="I152" s="15" t="str">
        <f t="shared" si="2"/>
        <v>One-Time Customer</v>
      </c>
    </row>
    <row r="153" spans="1:9" ht="14.25" customHeight="1" x14ac:dyDescent="0.3">
      <c r="A153" s="2" t="s">
        <v>1935</v>
      </c>
      <c r="B153" s="2" t="s">
        <v>1936</v>
      </c>
      <c r="C153" s="2" t="s">
        <v>1937</v>
      </c>
      <c r="D153" s="2" t="s">
        <v>1559</v>
      </c>
      <c r="E153" s="2" t="s">
        <v>1151</v>
      </c>
      <c r="F153" s="2" t="s">
        <v>1102</v>
      </c>
      <c r="G153" s="15">
        <f>SUMIF(orders!B:B,A153,orders!F:F)</f>
        <v>40.549999999999997</v>
      </c>
      <c r="H153" s="15">
        <f>COUNTIF(orders!B:B,A153)</f>
        <v>1</v>
      </c>
      <c r="I153" s="15" t="str">
        <f t="shared" si="2"/>
        <v>One-Time Customer</v>
      </c>
    </row>
    <row r="154" spans="1:9" ht="14.25" customHeight="1" x14ac:dyDescent="0.3">
      <c r="A154" s="2" t="s">
        <v>1938</v>
      </c>
      <c r="B154" s="2" t="s">
        <v>1939</v>
      </c>
      <c r="C154" s="2" t="s">
        <v>1940</v>
      </c>
      <c r="D154" s="2" t="s">
        <v>1653</v>
      </c>
      <c r="E154" s="2" t="s">
        <v>1180</v>
      </c>
      <c r="F154" s="2" t="s">
        <v>1130</v>
      </c>
      <c r="G154" s="15">
        <f>SUMIF(orders!B:B,A154,orders!F:F)</f>
        <v>476.09000000000003</v>
      </c>
      <c r="H154" s="15">
        <f>COUNTIF(orders!B:B,A154)</f>
        <v>4</v>
      </c>
      <c r="I154" s="15" t="str">
        <f t="shared" si="2"/>
        <v>Repeat Customer</v>
      </c>
    </row>
    <row r="155" spans="1:9" ht="14.25" customHeight="1" x14ac:dyDescent="0.3">
      <c r="A155" s="2" t="s">
        <v>1941</v>
      </c>
      <c r="B155" s="2" t="s">
        <v>1942</v>
      </c>
      <c r="C155" s="2" t="s">
        <v>1862</v>
      </c>
      <c r="D155" s="2" t="s">
        <v>1252</v>
      </c>
      <c r="E155" s="2" t="s">
        <v>1407</v>
      </c>
      <c r="F155" s="2" t="s">
        <v>1118</v>
      </c>
      <c r="G155" s="15">
        <f>SUMIF(orders!B:B,A155,orders!F:F)</f>
        <v>32.01</v>
      </c>
      <c r="H155" s="15">
        <f>COUNTIF(orders!B:B,A155)</f>
        <v>1</v>
      </c>
      <c r="I155" s="15" t="str">
        <f t="shared" si="2"/>
        <v>One-Time Customer</v>
      </c>
    </row>
    <row r="156" spans="1:9" ht="14.25" customHeight="1" x14ac:dyDescent="0.3">
      <c r="A156" s="2" t="s">
        <v>1943</v>
      </c>
      <c r="B156" s="2" t="s">
        <v>1944</v>
      </c>
      <c r="C156" s="2" t="s">
        <v>1503</v>
      </c>
      <c r="D156" s="2" t="s">
        <v>1712</v>
      </c>
      <c r="E156" s="2" t="s">
        <v>1407</v>
      </c>
      <c r="F156" s="2" t="s">
        <v>1118</v>
      </c>
      <c r="G156" s="15">
        <f>SUMIF(orders!B:B,A156,orders!F:F)</f>
        <v>514.72</v>
      </c>
      <c r="H156" s="15">
        <f>COUNTIF(orders!B:B,A156)</f>
        <v>7</v>
      </c>
      <c r="I156" s="15" t="str">
        <f t="shared" si="2"/>
        <v>Repeat Customer</v>
      </c>
    </row>
    <row r="157" spans="1:9" ht="14.25" customHeight="1" x14ac:dyDescent="0.3">
      <c r="A157" s="2" t="s">
        <v>1945</v>
      </c>
      <c r="B157" s="2" t="s">
        <v>1946</v>
      </c>
      <c r="C157" s="2" t="s">
        <v>1558</v>
      </c>
      <c r="D157" s="2" t="s">
        <v>1947</v>
      </c>
      <c r="E157" s="2" t="s">
        <v>1172</v>
      </c>
      <c r="F157" s="2" t="s">
        <v>1118</v>
      </c>
      <c r="G157" s="15">
        <f>SUMIF(orders!B:B,A157,orders!F:F)</f>
        <v>88.36</v>
      </c>
      <c r="H157" s="15">
        <f>COUNTIF(orders!B:B,A157)</f>
        <v>1</v>
      </c>
      <c r="I157" s="15" t="str">
        <f t="shared" si="2"/>
        <v>One-Time Customer</v>
      </c>
    </row>
    <row r="158" spans="1:9" ht="14.25" customHeight="1" x14ac:dyDescent="0.3">
      <c r="A158" s="2" t="s">
        <v>1948</v>
      </c>
      <c r="B158" s="2" t="s">
        <v>1949</v>
      </c>
      <c r="C158" s="2" t="s">
        <v>1457</v>
      </c>
      <c r="D158" s="2" t="s">
        <v>1526</v>
      </c>
      <c r="E158" s="2" t="s">
        <v>1151</v>
      </c>
      <c r="F158" s="2" t="s">
        <v>1102</v>
      </c>
      <c r="G158" s="15">
        <f>SUMIF(orders!B:B,A158,orders!F:F)</f>
        <v>50.85</v>
      </c>
      <c r="H158" s="15">
        <f>COUNTIF(orders!B:B,A158)</f>
        <v>1</v>
      </c>
      <c r="I158" s="15" t="str">
        <f t="shared" si="2"/>
        <v>One-Time Customer</v>
      </c>
    </row>
    <row r="159" spans="1:9" ht="14.25" customHeight="1" x14ac:dyDescent="0.3">
      <c r="A159" s="2" t="s">
        <v>1950</v>
      </c>
      <c r="B159" s="2" t="s">
        <v>1951</v>
      </c>
      <c r="C159" s="2" t="s">
        <v>1952</v>
      </c>
      <c r="D159" s="2" t="s">
        <v>1565</v>
      </c>
      <c r="E159" s="2" t="s">
        <v>1342</v>
      </c>
      <c r="F159" s="2" t="s">
        <v>1102</v>
      </c>
      <c r="G159" s="15">
        <f>SUMIF(orders!B:B,A159,orders!F:F)</f>
        <v>200.48</v>
      </c>
      <c r="H159" s="15">
        <f>COUNTIF(orders!B:B,A159)</f>
        <v>2</v>
      </c>
      <c r="I159" s="15" t="str">
        <f t="shared" si="2"/>
        <v>Repeat Customer</v>
      </c>
    </row>
    <row r="160" spans="1:9" ht="14.25" customHeight="1" x14ac:dyDescent="0.3">
      <c r="A160" s="2" t="s">
        <v>1953</v>
      </c>
      <c r="B160" s="2" t="s">
        <v>1954</v>
      </c>
      <c r="C160" s="2" t="s">
        <v>1955</v>
      </c>
      <c r="D160" s="2" t="s">
        <v>1500</v>
      </c>
      <c r="E160" s="2" t="s">
        <v>1139</v>
      </c>
      <c r="F160" s="2" t="s">
        <v>1130</v>
      </c>
      <c r="G160" s="15">
        <f>SUMIF(orders!B:B,A160,orders!F:F)</f>
        <v>58.55</v>
      </c>
      <c r="H160" s="15">
        <f>COUNTIF(orders!B:B,A160)</f>
        <v>1</v>
      </c>
      <c r="I160" s="15" t="str">
        <f t="shared" si="2"/>
        <v>One-Time Customer</v>
      </c>
    </row>
    <row r="161" spans="1:9" ht="14.25" customHeight="1" x14ac:dyDescent="0.3">
      <c r="A161" s="2" t="s">
        <v>1956</v>
      </c>
      <c r="B161" s="2" t="s">
        <v>1957</v>
      </c>
      <c r="C161" s="2" t="s">
        <v>1788</v>
      </c>
      <c r="D161" s="2" t="s">
        <v>1298</v>
      </c>
      <c r="E161" s="2" t="s">
        <v>1359</v>
      </c>
      <c r="F161" s="2" t="s">
        <v>1102</v>
      </c>
      <c r="G161" s="15">
        <f>SUMIF(orders!B:B,A161,orders!F:F)</f>
        <v>101.47999999999999</v>
      </c>
      <c r="H161" s="15">
        <f>COUNTIF(orders!B:B,A161)</f>
        <v>1</v>
      </c>
      <c r="I161" s="15" t="str">
        <f t="shared" si="2"/>
        <v>One-Time Customer</v>
      </c>
    </row>
    <row r="162" spans="1:9" ht="14.25" customHeight="1" x14ac:dyDescent="0.3">
      <c r="A162" s="2" t="s">
        <v>1958</v>
      </c>
      <c r="B162" s="2" t="s">
        <v>1959</v>
      </c>
      <c r="C162" s="2" t="s">
        <v>1960</v>
      </c>
      <c r="D162" s="2" t="s">
        <v>1879</v>
      </c>
      <c r="E162" s="2" t="s">
        <v>1155</v>
      </c>
      <c r="F162" s="2" t="s">
        <v>1130</v>
      </c>
      <c r="G162" s="15">
        <f>SUMIF(orders!B:B,A162,orders!F:F)</f>
        <v>451.23999999999995</v>
      </c>
      <c r="H162" s="15">
        <f>COUNTIF(orders!B:B,A162)</f>
        <v>5</v>
      </c>
      <c r="I162" s="15" t="str">
        <f t="shared" si="2"/>
        <v>Repeat Customer</v>
      </c>
    </row>
    <row r="163" spans="1:9" ht="14.25" customHeight="1" x14ac:dyDescent="0.3">
      <c r="A163" s="2" t="s">
        <v>1961</v>
      </c>
      <c r="B163" s="2" t="s">
        <v>1962</v>
      </c>
      <c r="C163" s="2" t="s">
        <v>1882</v>
      </c>
      <c r="D163" s="2" t="s">
        <v>1513</v>
      </c>
      <c r="E163" s="2" t="s">
        <v>1180</v>
      </c>
      <c r="F163" s="2" t="s">
        <v>1130</v>
      </c>
      <c r="G163" s="15">
        <f>SUMIF(orders!B:B,A163,orders!F:F)</f>
        <v>0</v>
      </c>
      <c r="H163" s="15">
        <f>COUNTIF(orders!B:B,A163)</f>
        <v>0</v>
      </c>
      <c r="I163" s="15" t="str">
        <f t="shared" si="2"/>
        <v>One-Time Customer</v>
      </c>
    </row>
    <row r="164" spans="1:9" ht="14.25" customHeight="1" x14ac:dyDescent="0.3">
      <c r="A164" s="2" t="s">
        <v>1963</v>
      </c>
      <c r="B164" s="2" t="s">
        <v>1964</v>
      </c>
      <c r="C164" s="2" t="s">
        <v>1965</v>
      </c>
      <c r="D164" s="2" t="s">
        <v>1966</v>
      </c>
      <c r="E164" s="2" t="s">
        <v>1151</v>
      </c>
      <c r="F164" s="2" t="s">
        <v>1102</v>
      </c>
      <c r="G164" s="15">
        <f>SUMIF(orders!B:B,A164,orders!F:F)</f>
        <v>0</v>
      </c>
      <c r="H164" s="15">
        <f>COUNTIF(orders!B:B,A164)</f>
        <v>0</v>
      </c>
      <c r="I164" s="15" t="str">
        <f t="shared" si="2"/>
        <v>One-Time Customer</v>
      </c>
    </row>
    <row r="165" spans="1:9" ht="14.25" customHeight="1" x14ac:dyDescent="0.3">
      <c r="A165" s="2" t="s">
        <v>1967</v>
      </c>
      <c r="B165" s="2" t="s">
        <v>1968</v>
      </c>
      <c r="C165" s="2" t="s">
        <v>1106</v>
      </c>
      <c r="D165" s="2" t="s">
        <v>1298</v>
      </c>
      <c r="E165" s="2" t="s">
        <v>1134</v>
      </c>
      <c r="F165" s="2" t="s">
        <v>1102</v>
      </c>
      <c r="G165" s="15">
        <f>SUMIF(orders!B:B,A165,orders!F:F)</f>
        <v>0</v>
      </c>
      <c r="H165" s="15">
        <f>COUNTIF(orders!B:B,A165)</f>
        <v>0</v>
      </c>
      <c r="I165" s="15" t="str">
        <f t="shared" si="2"/>
        <v>One-Time Customer</v>
      </c>
    </row>
    <row r="166" spans="1:9" ht="14.25" customHeight="1" x14ac:dyDescent="0.3">
      <c r="A166" s="2" t="s">
        <v>1969</v>
      </c>
      <c r="B166" s="2" t="s">
        <v>1970</v>
      </c>
      <c r="C166" s="2" t="s">
        <v>1971</v>
      </c>
      <c r="D166" s="2" t="s">
        <v>1712</v>
      </c>
      <c r="E166" s="2" t="s">
        <v>1342</v>
      </c>
      <c r="F166" s="2" t="s">
        <v>1102</v>
      </c>
      <c r="G166" s="15">
        <f>SUMIF(orders!B:B,A166,orders!F:F)</f>
        <v>588.15</v>
      </c>
      <c r="H166" s="15">
        <f>COUNTIF(orders!B:B,A166)</f>
        <v>7</v>
      </c>
      <c r="I166" s="15" t="str">
        <f t="shared" si="2"/>
        <v>Repeat Customer</v>
      </c>
    </row>
    <row r="167" spans="1:9" ht="14.25" customHeight="1" x14ac:dyDescent="0.3">
      <c r="A167" s="2" t="s">
        <v>1972</v>
      </c>
      <c r="B167" s="2" t="s">
        <v>1973</v>
      </c>
      <c r="C167" s="2" t="s">
        <v>1855</v>
      </c>
      <c r="D167" s="2" t="s">
        <v>1252</v>
      </c>
      <c r="E167" s="2" t="s">
        <v>1151</v>
      </c>
      <c r="F167" s="2" t="s">
        <v>1102</v>
      </c>
      <c r="G167" s="15">
        <f>SUMIF(orders!B:B,A167,orders!F:F)</f>
        <v>137.32</v>
      </c>
      <c r="H167" s="15">
        <f>COUNTIF(orders!B:B,A167)</f>
        <v>2</v>
      </c>
      <c r="I167" s="15" t="str">
        <f t="shared" si="2"/>
        <v>Repeat Customer</v>
      </c>
    </row>
    <row r="168" spans="1:9" ht="14.25" customHeight="1" x14ac:dyDescent="0.3">
      <c r="A168" s="2" t="s">
        <v>1974</v>
      </c>
      <c r="B168" s="2" t="s">
        <v>1975</v>
      </c>
      <c r="C168" s="2" t="s">
        <v>1733</v>
      </c>
      <c r="D168" s="2" t="s">
        <v>1709</v>
      </c>
      <c r="E168" s="2" t="s">
        <v>1109</v>
      </c>
      <c r="F168" s="2" t="s">
        <v>1110</v>
      </c>
      <c r="G168" s="15">
        <f>SUMIF(orders!B:B,A168,orders!F:F)</f>
        <v>37.53</v>
      </c>
      <c r="H168" s="15">
        <f>COUNTIF(orders!B:B,A168)</f>
        <v>1</v>
      </c>
      <c r="I168" s="15" t="str">
        <f t="shared" si="2"/>
        <v>One-Time Customer</v>
      </c>
    </row>
    <row r="169" spans="1:9" ht="14.25" customHeight="1" x14ac:dyDescent="0.3">
      <c r="A169" s="2" t="s">
        <v>1976</v>
      </c>
      <c r="B169" s="2" t="s">
        <v>1977</v>
      </c>
      <c r="C169" s="2" t="s">
        <v>1978</v>
      </c>
      <c r="D169" s="2" t="s">
        <v>1947</v>
      </c>
      <c r="E169" s="2" t="s">
        <v>1235</v>
      </c>
      <c r="F169" s="2" t="s">
        <v>1118</v>
      </c>
      <c r="G169" s="15">
        <f>SUMIF(orders!B:B,A169,orders!F:F)</f>
        <v>242.22000000000003</v>
      </c>
      <c r="H169" s="15">
        <f>COUNTIF(orders!B:B,A169)</f>
        <v>2</v>
      </c>
      <c r="I169" s="15" t="str">
        <f t="shared" si="2"/>
        <v>Repeat Customer</v>
      </c>
    </row>
    <row r="170" spans="1:9" ht="14.25" customHeight="1" x14ac:dyDescent="0.3">
      <c r="A170" s="2" t="s">
        <v>1979</v>
      </c>
      <c r="B170" s="2" t="s">
        <v>1980</v>
      </c>
      <c r="C170" s="2" t="s">
        <v>1981</v>
      </c>
      <c r="D170" s="2" t="s">
        <v>1982</v>
      </c>
      <c r="E170" s="2" t="s">
        <v>1407</v>
      </c>
      <c r="F170" s="2" t="s">
        <v>1118</v>
      </c>
      <c r="G170" s="15">
        <f>SUMIF(orders!B:B,A170,orders!F:F)</f>
        <v>0</v>
      </c>
      <c r="H170" s="15">
        <f>COUNTIF(orders!B:B,A170)</f>
        <v>0</v>
      </c>
      <c r="I170" s="15" t="str">
        <f t="shared" si="2"/>
        <v>One-Time Customer</v>
      </c>
    </row>
    <row r="171" spans="1:9" ht="14.25" customHeight="1" x14ac:dyDescent="0.3">
      <c r="A171" s="2" t="s">
        <v>1983</v>
      </c>
      <c r="B171" s="2" t="s">
        <v>1984</v>
      </c>
      <c r="C171" s="2" t="s">
        <v>1985</v>
      </c>
      <c r="D171" s="2" t="s">
        <v>1986</v>
      </c>
      <c r="E171" s="2" t="s">
        <v>1555</v>
      </c>
      <c r="F171" s="2" t="s">
        <v>1118</v>
      </c>
      <c r="G171" s="15">
        <f>SUMIF(orders!B:B,A171,orders!F:F)</f>
        <v>359.82999999999993</v>
      </c>
      <c r="H171" s="15">
        <f>COUNTIF(orders!B:B,A171)</f>
        <v>5</v>
      </c>
      <c r="I171" s="15" t="str">
        <f t="shared" si="2"/>
        <v>Repeat Customer</v>
      </c>
    </row>
    <row r="172" spans="1:9" ht="14.25" customHeight="1" x14ac:dyDescent="0.3">
      <c r="A172" s="2" t="s">
        <v>1987</v>
      </c>
      <c r="B172" s="2" t="s">
        <v>1988</v>
      </c>
      <c r="C172" s="2" t="s">
        <v>1766</v>
      </c>
      <c r="D172" s="2" t="s">
        <v>1518</v>
      </c>
      <c r="E172" s="2" t="s">
        <v>1859</v>
      </c>
      <c r="F172" s="2" t="s">
        <v>1130</v>
      </c>
      <c r="G172" s="15">
        <f>SUMIF(orders!B:B,A172,orders!F:F)</f>
        <v>307.58000000000004</v>
      </c>
      <c r="H172" s="15">
        <f>COUNTIF(orders!B:B,A172)</f>
        <v>1</v>
      </c>
      <c r="I172" s="15" t="str">
        <f t="shared" si="2"/>
        <v>One-Time Customer</v>
      </c>
    </row>
    <row r="173" spans="1:9" ht="14.25" customHeight="1" x14ac:dyDescent="0.3">
      <c r="A173" s="2" t="s">
        <v>1989</v>
      </c>
      <c r="B173" s="2" t="s">
        <v>1990</v>
      </c>
      <c r="C173" s="2" t="s">
        <v>1217</v>
      </c>
      <c r="D173" s="2" t="s">
        <v>1478</v>
      </c>
      <c r="E173" s="2" t="s">
        <v>1151</v>
      </c>
      <c r="F173" s="2" t="s">
        <v>1102</v>
      </c>
      <c r="G173" s="15">
        <f>SUMIF(orders!B:B,A173,orders!F:F)</f>
        <v>0</v>
      </c>
      <c r="H173" s="15">
        <f>COUNTIF(orders!B:B,A173)</f>
        <v>0</v>
      </c>
      <c r="I173" s="15" t="str">
        <f t="shared" si="2"/>
        <v>One-Time Customer</v>
      </c>
    </row>
    <row r="174" spans="1:9" ht="14.25" customHeight="1" x14ac:dyDescent="0.3">
      <c r="A174" s="2" t="s">
        <v>1991</v>
      </c>
      <c r="B174" s="2" t="s">
        <v>1992</v>
      </c>
      <c r="C174" s="2" t="s">
        <v>1993</v>
      </c>
      <c r="D174" s="2" t="s">
        <v>1657</v>
      </c>
      <c r="E174" s="2" t="s">
        <v>1155</v>
      </c>
      <c r="F174" s="2" t="s">
        <v>1130</v>
      </c>
      <c r="G174" s="15">
        <f>SUMIF(orders!B:B,A174,orders!F:F)</f>
        <v>0</v>
      </c>
      <c r="H174" s="15">
        <f>COUNTIF(orders!B:B,A174)</f>
        <v>0</v>
      </c>
      <c r="I174" s="15" t="str">
        <f t="shared" si="2"/>
        <v>One-Time Customer</v>
      </c>
    </row>
    <row r="175" spans="1:9" ht="14.25" customHeight="1" x14ac:dyDescent="0.3">
      <c r="A175" s="2" t="s">
        <v>1994</v>
      </c>
      <c r="B175" s="2" t="s">
        <v>1995</v>
      </c>
      <c r="C175" s="2" t="s">
        <v>1996</v>
      </c>
      <c r="D175" s="2" t="s">
        <v>1798</v>
      </c>
      <c r="E175" s="2" t="s">
        <v>1155</v>
      </c>
      <c r="F175" s="2" t="s">
        <v>1130</v>
      </c>
      <c r="G175" s="15">
        <f>SUMIF(orders!B:B,A175,orders!F:F)</f>
        <v>455.95</v>
      </c>
      <c r="H175" s="15">
        <f>COUNTIF(orders!B:B,A175)</f>
        <v>2</v>
      </c>
      <c r="I175" s="15" t="str">
        <f t="shared" si="2"/>
        <v>Repeat Customer</v>
      </c>
    </row>
    <row r="176" spans="1:9" ht="14.25" customHeight="1" x14ac:dyDescent="0.3">
      <c r="A176" s="2" t="s">
        <v>1997</v>
      </c>
      <c r="B176" s="2" t="s">
        <v>1998</v>
      </c>
      <c r="C176" s="2" t="s">
        <v>1558</v>
      </c>
      <c r="D176" s="2" t="s">
        <v>1712</v>
      </c>
      <c r="E176" s="2" t="s">
        <v>1151</v>
      </c>
      <c r="F176" s="2" t="s">
        <v>1102</v>
      </c>
      <c r="G176" s="15">
        <f>SUMIF(orders!B:B,A176,orders!F:F)</f>
        <v>23.82</v>
      </c>
      <c r="H176" s="15">
        <f>COUNTIF(orders!B:B,A176)</f>
        <v>1</v>
      </c>
      <c r="I176" s="15" t="str">
        <f t="shared" si="2"/>
        <v>One-Time Customer</v>
      </c>
    </row>
    <row r="177" spans="1:9" ht="14.25" customHeight="1" x14ac:dyDescent="0.3">
      <c r="A177" s="2" t="s">
        <v>1999</v>
      </c>
      <c r="B177" s="2" t="s">
        <v>2000</v>
      </c>
      <c r="C177" s="2" t="s">
        <v>2001</v>
      </c>
      <c r="D177" s="2" t="s">
        <v>2002</v>
      </c>
      <c r="E177" s="2" t="s">
        <v>1575</v>
      </c>
      <c r="F177" s="2" t="s">
        <v>1118</v>
      </c>
      <c r="G177" s="15">
        <f>SUMIF(orders!B:B,A177,orders!F:F)</f>
        <v>0</v>
      </c>
      <c r="H177" s="15">
        <f>COUNTIF(orders!B:B,A177)</f>
        <v>0</v>
      </c>
      <c r="I177" s="15" t="str">
        <f t="shared" si="2"/>
        <v>One-Time Customer</v>
      </c>
    </row>
    <row r="178" spans="1:9" ht="14.25" customHeight="1" x14ac:dyDescent="0.3">
      <c r="A178" s="2" t="s">
        <v>2003</v>
      </c>
      <c r="B178" s="2" t="s">
        <v>2004</v>
      </c>
      <c r="C178" s="2" t="s">
        <v>2005</v>
      </c>
      <c r="D178" s="2" t="s">
        <v>2006</v>
      </c>
      <c r="E178" s="2" t="s">
        <v>1151</v>
      </c>
      <c r="F178" s="2" t="s">
        <v>1102</v>
      </c>
      <c r="G178" s="15">
        <f>SUMIF(orders!B:B,A178,orders!F:F)</f>
        <v>32.82</v>
      </c>
      <c r="H178" s="15">
        <f>COUNTIF(orders!B:B,A178)</f>
        <v>1</v>
      </c>
      <c r="I178" s="15" t="str">
        <f t="shared" si="2"/>
        <v>One-Time Customer</v>
      </c>
    </row>
    <row r="179" spans="1:9" ht="14.25" customHeight="1" x14ac:dyDescent="0.3">
      <c r="A179" s="2" t="s">
        <v>2007</v>
      </c>
      <c r="B179" s="2" t="s">
        <v>2008</v>
      </c>
      <c r="C179" s="2" t="s">
        <v>1457</v>
      </c>
      <c r="D179" s="2" t="s">
        <v>1850</v>
      </c>
      <c r="E179" s="2" t="s">
        <v>1155</v>
      </c>
      <c r="F179" s="2" t="s">
        <v>1130</v>
      </c>
      <c r="G179" s="15">
        <f>SUMIF(orders!B:B,A179,orders!F:F)</f>
        <v>0</v>
      </c>
      <c r="H179" s="15">
        <f>COUNTIF(orders!B:B,A179)</f>
        <v>0</v>
      </c>
      <c r="I179" s="15" t="str">
        <f t="shared" si="2"/>
        <v>One-Time Customer</v>
      </c>
    </row>
    <row r="180" spans="1:9" ht="14.25" customHeight="1" x14ac:dyDescent="0.3">
      <c r="A180" s="2" t="s">
        <v>2009</v>
      </c>
      <c r="B180" s="2" t="s">
        <v>2010</v>
      </c>
      <c r="C180" s="2" t="s">
        <v>1517</v>
      </c>
      <c r="D180" s="2" t="s">
        <v>1458</v>
      </c>
      <c r="E180" s="2" t="s">
        <v>1555</v>
      </c>
      <c r="F180" s="2" t="s">
        <v>1118</v>
      </c>
      <c r="G180" s="15">
        <f>SUMIF(orders!B:B,A180,orders!F:F)</f>
        <v>141.16</v>
      </c>
      <c r="H180" s="15">
        <f>COUNTIF(orders!B:B,A180)</f>
        <v>1</v>
      </c>
      <c r="I180" s="15" t="str">
        <f t="shared" si="2"/>
        <v>One-Time Customer</v>
      </c>
    </row>
    <row r="181" spans="1:9" ht="14.25" customHeight="1" x14ac:dyDescent="0.3">
      <c r="A181" s="2" t="s">
        <v>2011</v>
      </c>
      <c r="B181" s="2" t="s">
        <v>2012</v>
      </c>
      <c r="C181" s="2" t="s">
        <v>1485</v>
      </c>
      <c r="D181" s="2" t="s">
        <v>1832</v>
      </c>
      <c r="E181" s="2" t="s">
        <v>1454</v>
      </c>
      <c r="F181" s="2" t="s">
        <v>1118</v>
      </c>
      <c r="G181" s="15">
        <f>SUMIF(orders!B:B,A181,orders!F:F)</f>
        <v>273.23</v>
      </c>
      <c r="H181" s="15">
        <f>COUNTIF(orders!B:B,A181)</f>
        <v>2</v>
      </c>
      <c r="I181" s="15" t="str">
        <f t="shared" si="2"/>
        <v>Repeat Customer</v>
      </c>
    </row>
    <row r="182" spans="1:9" ht="14.25" customHeight="1" x14ac:dyDescent="0.3">
      <c r="A182" s="2" t="s">
        <v>2013</v>
      </c>
      <c r="B182" s="2" t="s">
        <v>2014</v>
      </c>
      <c r="C182" s="2" t="s">
        <v>1758</v>
      </c>
      <c r="D182" s="2" t="s">
        <v>2015</v>
      </c>
      <c r="E182" s="2" t="s">
        <v>1270</v>
      </c>
      <c r="F182" s="2" t="s">
        <v>1130</v>
      </c>
      <c r="G182" s="15">
        <f>SUMIF(orders!B:B,A182,orders!F:F)</f>
        <v>24.05</v>
      </c>
      <c r="H182" s="15">
        <f>COUNTIF(orders!B:B,A182)</f>
        <v>1</v>
      </c>
      <c r="I182" s="15" t="str">
        <f t="shared" si="2"/>
        <v>One-Time Customer</v>
      </c>
    </row>
    <row r="183" spans="1:9" ht="14.25" customHeight="1" x14ac:dyDescent="0.3">
      <c r="A183" s="2" t="s">
        <v>2016</v>
      </c>
      <c r="B183" s="2" t="s">
        <v>2017</v>
      </c>
      <c r="C183" s="2" t="s">
        <v>1506</v>
      </c>
      <c r="D183" s="2" t="s">
        <v>1153</v>
      </c>
      <c r="E183" s="2" t="s">
        <v>1155</v>
      </c>
      <c r="F183" s="2" t="s">
        <v>1130</v>
      </c>
      <c r="G183" s="15">
        <f>SUMIF(orders!B:B,A183,orders!F:F)</f>
        <v>160.83000000000001</v>
      </c>
      <c r="H183" s="15">
        <f>COUNTIF(orders!B:B,A183)</f>
        <v>2</v>
      </c>
      <c r="I183" s="15" t="str">
        <f t="shared" si="2"/>
        <v>Repeat Customer</v>
      </c>
    </row>
    <row r="184" spans="1:9" ht="14.25" customHeight="1" x14ac:dyDescent="0.3">
      <c r="A184" s="2" t="s">
        <v>2018</v>
      </c>
      <c r="B184" s="2" t="s">
        <v>2019</v>
      </c>
      <c r="C184" s="2" t="s">
        <v>1522</v>
      </c>
      <c r="D184" s="2" t="s">
        <v>1587</v>
      </c>
      <c r="E184" s="2" t="s">
        <v>1151</v>
      </c>
      <c r="F184" s="2" t="s">
        <v>1102</v>
      </c>
      <c r="G184" s="15">
        <f>SUMIF(orders!B:B,A184,orders!F:F)</f>
        <v>79.83</v>
      </c>
      <c r="H184" s="15">
        <f>COUNTIF(orders!B:B,A184)</f>
        <v>2</v>
      </c>
      <c r="I184" s="15" t="str">
        <f t="shared" si="2"/>
        <v>Repeat Customer</v>
      </c>
    </row>
    <row r="185" spans="1:9" ht="14.25" customHeight="1" x14ac:dyDescent="0.3">
      <c r="A185" s="2" t="s">
        <v>2020</v>
      </c>
      <c r="B185" s="2" t="s">
        <v>2021</v>
      </c>
      <c r="C185" s="2" t="s">
        <v>1669</v>
      </c>
      <c r="D185" s="2" t="s">
        <v>2022</v>
      </c>
      <c r="E185" s="2" t="s">
        <v>1155</v>
      </c>
      <c r="F185" s="2" t="s">
        <v>1130</v>
      </c>
      <c r="G185" s="15">
        <f>SUMIF(orders!B:B,A185,orders!F:F)</f>
        <v>0</v>
      </c>
      <c r="H185" s="15">
        <f>COUNTIF(orders!B:B,A185)</f>
        <v>0</v>
      </c>
      <c r="I185" s="15" t="str">
        <f t="shared" si="2"/>
        <v>One-Time Customer</v>
      </c>
    </row>
    <row r="186" spans="1:9" ht="14.25" customHeight="1" x14ac:dyDescent="0.3">
      <c r="A186" s="2" t="s">
        <v>2023</v>
      </c>
      <c r="B186" s="2" t="s">
        <v>2024</v>
      </c>
      <c r="C186" s="2" t="s">
        <v>1676</v>
      </c>
      <c r="D186" s="2" t="s">
        <v>1357</v>
      </c>
      <c r="E186" s="2" t="s">
        <v>1407</v>
      </c>
      <c r="F186" s="2" t="s">
        <v>1118</v>
      </c>
      <c r="G186" s="15">
        <f>SUMIF(orders!B:B,A186,orders!F:F)</f>
        <v>0</v>
      </c>
      <c r="H186" s="15">
        <f>COUNTIF(orders!B:B,A186)</f>
        <v>0</v>
      </c>
      <c r="I186" s="15" t="str">
        <f t="shared" si="2"/>
        <v>One-Time Customer</v>
      </c>
    </row>
    <row r="187" spans="1:9" ht="14.25" customHeight="1" x14ac:dyDescent="0.3">
      <c r="A187" s="2" t="s">
        <v>2025</v>
      </c>
      <c r="B187" s="2" t="s">
        <v>2026</v>
      </c>
      <c r="C187" s="2" t="s">
        <v>1721</v>
      </c>
      <c r="D187" s="2" t="s">
        <v>1153</v>
      </c>
      <c r="E187" s="2" t="s">
        <v>1728</v>
      </c>
      <c r="F187" s="2" t="s">
        <v>1102</v>
      </c>
      <c r="G187" s="15">
        <f>SUMIF(orders!B:B,A187,orders!F:F)</f>
        <v>0</v>
      </c>
      <c r="H187" s="15">
        <f>COUNTIF(orders!B:B,A187)</f>
        <v>0</v>
      </c>
      <c r="I187" s="15" t="str">
        <f t="shared" si="2"/>
        <v>One-Time Customer</v>
      </c>
    </row>
    <row r="188" spans="1:9" ht="14.25" customHeight="1" x14ac:dyDescent="0.3">
      <c r="A188" s="2" t="s">
        <v>2027</v>
      </c>
      <c r="B188" s="2" t="s">
        <v>2028</v>
      </c>
      <c r="C188" s="2" t="s">
        <v>2029</v>
      </c>
      <c r="D188" s="2" t="s">
        <v>1666</v>
      </c>
      <c r="E188" s="2" t="s">
        <v>1296</v>
      </c>
      <c r="F188" s="2" t="s">
        <v>1117</v>
      </c>
      <c r="G188" s="15">
        <f>SUMIF(orders!B:B,A188,orders!F:F)</f>
        <v>0</v>
      </c>
      <c r="H188" s="15">
        <f>COUNTIF(orders!B:B,A188)</f>
        <v>0</v>
      </c>
      <c r="I188" s="15" t="str">
        <f t="shared" si="2"/>
        <v>One-Time Customer</v>
      </c>
    </row>
    <row r="189" spans="1:9" ht="14.25" customHeight="1" x14ac:dyDescent="0.3">
      <c r="A189" s="2" t="s">
        <v>2030</v>
      </c>
      <c r="B189" s="2" t="s">
        <v>2031</v>
      </c>
      <c r="C189" s="2" t="s">
        <v>1721</v>
      </c>
      <c r="D189" s="2" t="s">
        <v>1826</v>
      </c>
      <c r="E189" s="2" t="s">
        <v>1474</v>
      </c>
      <c r="F189" s="2" t="s">
        <v>1118</v>
      </c>
      <c r="G189" s="15">
        <f>SUMIF(orders!B:B,A189,orders!F:F)</f>
        <v>0</v>
      </c>
      <c r="H189" s="15">
        <f>COUNTIF(orders!B:B,A189)</f>
        <v>0</v>
      </c>
      <c r="I189" s="15" t="str">
        <f t="shared" si="2"/>
        <v>One-Time Customer</v>
      </c>
    </row>
    <row r="190" spans="1:9" ht="14.25" customHeight="1" x14ac:dyDescent="0.3">
      <c r="A190" s="2" t="s">
        <v>2032</v>
      </c>
      <c r="B190" s="2" t="s">
        <v>2033</v>
      </c>
      <c r="C190" s="2" t="s">
        <v>1686</v>
      </c>
      <c r="D190" s="2" t="s">
        <v>1565</v>
      </c>
      <c r="E190" s="2" t="s">
        <v>1487</v>
      </c>
      <c r="F190" s="2" t="s">
        <v>1118</v>
      </c>
      <c r="G190" s="15">
        <f>SUMIF(orders!B:B,A190,orders!F:F)</f>
        <v>0</v>
      </c>
      <c r="H190" s="15">
        <f>COUNTIF(orders!B:B,A190)</f>
        <v>0</v>
      </c>
      <c r="I190" s="15" t="str">
        <f t="shared" si="2"/>
        <v>One-Time Customer</v>
      </c>
    </row>
    <row r="191" spans="1:9" ht="14.25" customHeight="1" x14ac:dyDescent="0.3">
      <c r="A191" s="2" t="s">
        <v>2034</v>
      </c>
      <c r="B191" s="2" t="s">
        <v>2035</v>
      </c>
      <c r="C191" s="2" t="s">
        <v>1314</v>
      </c>
      <c r="D191" s="2" t="s">
        <v>1798</v>
      </c>
      <c r="E191" s="2" t="s">
        <v>1235</v>
      </c>
      <c r="F191" s="2" t="s">
        <v>1118</v>
      </c>
      <c r="G191" s="15">
        <f>SUMIF(orders!B:B,A191,orders!F:F)</f>
        <v>306.53000000000003</v>
      </c>
      <c r="H191" s="15">
        <f>COUNTIF(orders!B:B,A191)</f>
        <v>3</v>
      </c>
      <c r="I191" s="15" t="str">
        <f t="shared" si="2"/>
        <v>Repeat Customer</v>
      </c>
    </row>
    <row r="192" spans="1:9" ht="14.25" customHeight="1" x14ac:dyDescent="0.3">
      <c r="A192" s="2" t="s">
        <v>2036</v>
      </c>
      <c r="B192" s="2" t="s">
        <v>2037</v>
      </c>
      <c r="C192" s="2" t="s">
        <v>2038</v>
      </c>
      <c r="D192" s="2" t="s">
        <v>1412</v>
      </c>
      <c r="E192" s="2" t="s">
        <v>1555</v>
      </c>
      <c r="F192" s="2" t="s">
        <v>1118</v>
      </c>
      <c r="G192" s="15">
        <f>SUMIF(orders!B:B,A192,orders!F:F)</f>
        <v>446.96999999999997</v>
      </c>
      <c r="H192" s="15">
        <f>COUNTIF(orders!B:B,A192)</f>
        <v>3</v>
      </c>
      <c r="I192" s="15" t="str">
        <f t="shared" si="2"/>
        <v>Repeat Customer</v>
      </c>
    </row>
    <row r="193" spans="1:9" ht="14.25" customHeight="1" x14ac:dyDescent="0.3">
      <c r="A193" s="2" t="s">
        <v>2039</v>
      </c>
      <c r="B193" s="2" t="s">
        <v>2040</v>
      </c>
      <c r="C193" s="2" t="s">
        <v>2041</v>
      </c>
      <c r="D193" s="2" t="s">
        <v>2042</v>
      </c>
      <c r="E193" s="2" t="s">
        <v>1151</v>
      </c>
      <c r="F193" s="2" t="s">
        <v>1102</v>
      </c>
      <c r="G193" s="15">
        <f>SUMIF(orders!B:B,A193,orders!F:F)</f>
        <v>325.44000000000005</v>
      </c>
      <c r="H193" s="15">
        <f>COUNTIF(orders!B:B,A193)</f>
        <v>3</v>
      </c>
      <c r="I193" s="15" t="str">
        <f t="shared" si="2"/>
        <v>Repeat Customer</v>
      </c>
    </row>
    <row r="194" spans="1:9" ht="14.25" customHeight="1" x14ac:dyDescent="0.3">
      <c r="A194" s="2" t="s">
        <v>2043</v>
      </c>
      <c r="B194" s="2" t="s">
        <v>2044</v>
      </c>
      <c r="C194" s="2" t="s">
        <v>1727</v>
      </c>
      <c r="D194" s="2" t="s">
        <v>1559</v>
      </c>
      <c r="E194" s="2" t="s">
        <v>1205</v>
      </c>
      <c r="F194" s="2" t="s">
        <v>1102</v>
      </c>
      <c r="G194" s="15">
        <f>SUMIF(orders!B:B,A194,orders!F:F)</f>
        <v>177.85</v>
      </c>
      <c r="H194" s="15">
        <f>COUNTIF(orders!B:B,A194)</f>
        <v>3</v>
      </c>
      <c r="I194" s="15" t="str">
        <f t="shared" ref="I194:I257" si="3">IF(H194&gt;1,"Repeat Customer","One-Time Customer")</f>
        <v>Repeat Customer</v>
      </c>
    </row>
    <row r="195" spans="1:9" ht="14.25" customHeight="1" x14ac:dyDescent="0.3">
      <c r="A195" s="2" t="s">
        <v>2045</v>
      </c>
      <c r="B195" s="2" t="s">
        <v>2046</v>
      </c>
      <c r="C195" s="2" t="s">
        <v>1661</v>
      </c>
      <c r="D195" s="2" t="s">
        <v>1565</v>
      </c>
      <c r="E195" s="2" t="s">
        <v>1172</v>
      </c>
      <c r="F195" s="2" t="s">
        <v>1118</v>
      </c>
      <c r="G195" s="15">
        <f>SUMIF(orders!B:B,A195,orders!F:F)</f>
        <v>0</v>
      </c>
      <c r="H195" s="15">
        <f>COUNTIF(orders!B:B,A195)</f>
        <v>0</v>
      </c>
      <c r="I195" s="15" t="str">
        <f t="shared" si="3"/>
        <v>One-Time Customer</v>
      </c>
    </row>
    <row r="196" spans="1:9" ht="14.25" customHeight="1" x14ac:dyDescent="0.3">
      <c r="A196" s="2" t="s">
        <v>2047</v>
      </c>
      <c r="B196" s="2" t="s">
        <v>2048</v>
      </c>
      <c r="C196" s="2" t="s">
        <v>1778</v>
      </c>
      <c r="D196" s="2" t="s">
        <v>1618</v>
      </c>
      <c r="E196" s="2" t="s">
        <v>1257</v>
      </c>
      <c r="F196" s="2" t="s">
        <v>1129</v>
      </c>
      <c r="G196" s="15">
        <f>SUMIF(orders!B:B,A196,orders!F:F)</f>
        <v>32.159999999999997</v>
      </c>
      <c r="H196" s="15">
        <f>COUNTIF(orders!B:B,A196)</f>
        <v>1</v>
      </c>
      <c r="I196" s="15" t="str">
        <f t="shared" si="3"/>
        <v>One-Time Customer</v>
      </c>
    </row>
    <row r="197" spans="1:9" ht="14.25" customHeight="1" x14ac:dyDescent="0.3">
      <c r="A197" s="2" t="s">
        <v>2049</v>
      </c>
      <c r="B197" s="2" t="s">
        <v>2050</v>
      </c>
      <c r="C197" s="2" t="s">
        <v>1202</v>
      </c>
      <c r="D197" s="2" t="s">
        <v>1554</v>
      </c>
      <c r="E197" s="2" t="s">
        <v>1575</v>
      </c>
      <c r="F197" s="2" t="s">
        <v>1118</v>
      </c>
      <c r="G197" s="15">
        <f>SUMIF(orders!B:B,A197,orders!F:F)</f>
        <v>124.82000000000001</v>
      </c>
      <c r="H197" s="15">
        <f>COUNTIF(orders!B:B,A197)</f>
        <v>1</v>
      </c>
      <c r="I197" s="15" t="str">
        <f t="shared" si="3"/>
        <v>One-Time Customer</v>
      </c>
    </row>
    <row r="198" spans="1:9" ht="14.25" customHeight="1" x14ac:dyDescent="0.3">
      <c r="A198" s="2" t="s">
        <v>2051</v>
      </c>
      <c r="B198" s="2" t="s">
        <v>2052</v>
      </c>
      <c r="C198" s="2" t="s">
        <v>1985</v>
      </c>
      <c r="D198" s="2" t="s">
        <v>1298</v>
      </c>
      <c r="E198" s="2" t="s">
        <v>1151</v>
      </c>
      <c r="F198" s="2" t="s">
        <v>1102</v>
      </c>
      <c r="G198" s="15">
        <f>SUMIF(orders!B:B,A198,orders!F:F)</f>
        <v>313.45999999999998</v>
      </c>
      <c r="H198" s="15">
        <f>COUNTIF(orders!B:B,A198)</f>
        <v>2</v>
      </c>
      <c r="I198" s="15" t="str">
        <f t="shared" si="3"/>
        <v>Repeat Customer</v>
      </c>
    </row>
    <row r="199" spans="1:9" ht="14.25" customHeight="1" x14ac:dyDescent="0.3">
      <c r="A199" s="2" t="s">
        <v>2053</v>
      </c>
      <c r="B199" s="2" t="s">
        <v>2054</v>
      </c>
      <c r="C199" s="2" t="s">
        <v>1613</v>
      </c>
      <c r="D199" s="2" t="s">
        <v>2055</v>
      </c>
      <c r="E199" s="2" t="s">
        <v>1658</v>
      </c>
      <c r="F199" s="2" t="s">
        <v>1117</v>
      </c>
      <c r="G199" s="15">
        <f>SUMIF(orders!B:B,A199,orders!F:F)</f>
        <v>0</v>
      </c>
      <c r="H199" s="15">
        <f>COUNTIF(orders!B:B,A199)</f>
        <v>0</v>
      </c>
      <c r="I199" s="15" t="str">
        <f t="shared" si="3"/>
        <v>One-Time Customer</v>
      </c>
    </row>
    <row r="200" spans="1:9" ht="14.25" customHeight="1" x14ac:dyDescent="0.3">
      <c r="A200" s="2" t="s">
        <v>2056</v>
      </c>
      <c r="B200" s="2" t="s">
        <v>2057</v>
      </c>
      <c r="C200" s="2" t="s">
        <v>1506</v>
      </c>
      <c r="D200" s="2" t="s">
        <v>1709</v>
      </c>
      <c r="E200" s="2" t="s">
        <v>1454</v>
      </c>
      <c r="F200" s="2" t="s">
        <v>1118</v>
      </c>
      <c r="G200" s="15">
        <f>SUMIF(orders!B:B,A200,orders!F:F)</f>
        <v>139.63999999999999</v>
      </c>
      <c r="H200" s="15">
        <f>COUNTIF(orders!B:B,A200)</f>
        <v>2</v>
      </c>
      <c r="I200" s="15" t="str">
        <f t="shared" si="3"/>
        <v>Repeat Customer</v>
      </c>
    </row>
    <row r="201" spans="1:9" ht="14.25" customHeight="1" x14ac:dyDescent="0.3">
      <c r="A201" s="2" t="s">
        <v>2058</v>
      </c>
      <c r="B201" s="2" t="s">
        <v>2059</v>
      </c>
      <c r="C201" s="2" t="s">
        <v>1506</v>
      </c>
      <c r="D201" s="2" t="s">
        <v>2060</v>
      </c>
      <c r="E201" s="2" t="s">
        <v>1492</v>
      </c>
      <c r="F201" s="2" t="s">
        <v>1130</v>
      </c>
      <c r="G201" s="15">
        <f>SUMIF(orders!B:B,A201,orders!F:F)</f>
        <v>114.44</v>
      </c>
      <c r="H201" s="15">
        <f>COUNTIF(orders!B:B,A201)</f>
        <v>2</v>
      </c>
      <c r="I201" s="15" t="str">
        <f t="shared" si="3"/>
        <v>Repeat Customer</v>
      </c>
    </row>
    <row r="202" spans="1:9" ht="14.25" customHeight="1" x14ac:dyDescent="0.3">
      <c r="A202" s="2" t="s">
        <v>2061</v>
      </c>
      <c r="B202" s="2" t="s">
        <v>2062</v>
      </c>
      <c r="C202" s="2" t="s">
        <v>1831</v>
      </c>
      <c r="D202" s="2" t="s">
        <v>1771</v>
      </c>
      <c r="E202" s="2" t="s">
        <v>1575</v>
      </c>
      <c r="F202" s="2" t="s">
        <v>1118</v>
      </c>
      <c r="G202" s="15">
        <f>SUMIF(orders!B:B,A202,orders!F:F)</f>
        <v>90.23</v>
      </c>
      <c r="H202" s="15">
        <f>COUNTIF(orders!B:B,A202)</f>
        <v>1</v>
      </c>
      <c r="I202" s="15" t="str">
        <f t="shared" si="3"/>
        <v>One-Time Customer</v>
      </c>
    </row>
    <row r="203" spans="1:9" ht="14.25" customHeight="1" x14ac:dyDescent="0.3">
      <c r="A203" s="2" t="s">
        <v>2063</v>
      </c>
      <c r="B203" s="2" t="s">
        <v>2064</v>
      </c>
      <c r="C203" s="2" t="s">
        <v>1632</v>
      </c>
      <c r="D203" s="2" t="s">
        <v>1759</v>
      </c>
      <c r="E203" s="2" t="s">
        <v>1407</v>
      </c>
      <c r="F203" s="2" t="s">
        <v>1118</v>
      </c>
      <c r="G203" s="15">
        <f>SUMIF(orders!B:B,A203,orders!F:F)</f>
        <v>256.21000000000004</v>
      </c>
      <c r="H203" s="15">
        <f>COUNTIF(orders!B:B,A203)</f>
        <v>3</v>
      </c>
      <c r="I203" s="15" t="str">
        <f t="shared" si="3"/>
        <v>Repeat Customer</v>
      </c>
    </row>
    <row r="204" spans="1:9" ht="14.25" customHeight="1" x14ac:dyDescent="0.3">
      <c r="A204" s="2" t="s">
        <v>2065</v>
      </c>
      <c r="B204" s="2" t="s">
        <v>2066</v>
      </c>
      <c r="C204" s="2" t="s">
        <v>2067</v>
      </c>
      <c r="D204" s="2" t="s">
        <v>2022</v>
      </c>
      <c r="E204" s="2" t="s">
        <v>1934</v>
      </c>
      <c r="F204" s="2" t="s">
        <v>1130</v>
      </c>
      <c r="G204" s="15">
        <f>SUMIF(orders!B:B,A204,orders!F:F)</f>
        <v>0</v>
      </c>
      <c r="H204" s="15">
        <f>COUNTIF(orders!B:B,A204)</f>
        <v>0</v>
      </c>
      <c r="I204" s="15" t="str">
        <f t="shared" si="3"/>
        <v>One-Time Customer</v>
      </c>
    </row>
    <row r="205" spans="1:9" ht="14.25" customHeight="1" x14ac:dyDescent="0.3">
      <c r="A205" s="2" t="s">
        <v>2068</v>
      </c>
      <c r="B205" s="2" t="s">
        <v>2069</v>
      </c>
      <c r="C205" s="2" t="s">
        <v>1750</v>
      </c>
      <c r="D205" s="2" t="s">
        <v>1863</v>
      </c>
      <c r="E205" s="2" t="s">
        <v>1109</v>
      </c>
      <c r="F205" s="2" t="s">
        <v>1110</v>
      </c>
      <c r="G205" s="15">
        <f>SUMIF(orders!B:B,A205,orders!F:F)</f>
        <v>82.96</v>
      </c>
      <c r="H205" s="15">
        <f>COUNTIF(orders!B:B,A205)</f>
        <v>1</v>
      </c>
      <c r="I205" s="15" t="str">
        <f t="shared" si="3"/>
        <v>One-Time Customer</v>
      </c>
    </row>
    <row r="206" spans="1:9" ht="14.25" customHeight="1" x14ac:dyDescent="0.3">
      <c r="A206" s="2" t="s">
        <v>2070</v>
      </c>
      <c r="B206" s="2" t="s">
        <v>2071</v>
      </c>
      <c r="C206" s="2" t="s">
        <v>1621</v>
      </c>
      <c r="D206" s="2" t="s">
        <v>1698</v>
      </c>
      <c r="E206" s="2" t="s">
        <v>1514</v>
      </c>
      <c r="F206" s="2" t="s">
        <v>1130</v>
      </c>
      <c r="G206" s="15">
        <f>SUMIF(orders!B:B,A206,orders!F:F)</f>
        <v>371.59000000000003</v>
      </c>
      <c r="H206" s="15">
        <f>COUNTIF(orders!B:B,A206)</f>
        <v>3</v>
      </c>
      <c r="I206" s="15" t="str">
        <f t="shared" si="3"/>
        <v>Repeat Customer</v>
      </c>
    </row>
    <row r="207" spans="1:9" ht="14.25" customHeight="1" x14ac:dyDescent="0.3">
      <c r="A207" s="2" t="s">
        <v>2072</v>
      </c>
      <c r="B207" s="2" t="s">
        <v>2073</v>
      </c>
      <c r="C207" s="2" t="s">
        <v>1314</v>
      </c>
      <c r="D207" s="2" t="s">
        <v>1357</v>
      </c>
      <c r="E207" s="2" t="s">
        <v>1603</v>
      </c>
      <c r="F207" s="2" t="s">
        <v>1102</v>
      </c>
      <c r="G207" s="15">
        <f>SUMIF(orders!B:B,A207,orders!F:F)</f>
        <v>0</v>
      </c>
      <c r="H207" s="15">
        <f>COUNTIF(orders!B:B,A207)</f>
        <v>0</v>
      </c>
      <c r="I207" s="15" t="str">
        <f t="shared" si="3"/>
        <v>One-Time Customer</v>
      </c>
    </row>
    <row r="208" spans="1:9" ht="14.25" customHeight="1" x14ac:dyDescent="0.3">
      <c r="A208" s="2" t="s">
        <v>2074</v>
      </c>
      <c r="B208" s="2" t="s">
        <v>2075</v>
      </c>
      <c r="C208" s="2" t="s">
        <v>1553</v>
      </c>
      <c r="D208" s="2" t="s">
        <v>1153</v>
      </c>
      <c r="E208" s="2" t="s">
        <v>1313</v>
      </c>
      <c r="F208" s="2" t="s">
        <v>1129</v>
      </c>
      <c r="G208" s="15">
        <f>SUMIF(orders!B:B,A208,orders!F:F)</f>
        <v>95.88000000000001</v>
      </c>
      <c r="H208" s="15">
        <f>COUNTIF(orders!B:B,A208)</f>
        <v>3</v>
      </c>
      <c r="I208" s="15" t="str">
        <f t="shared" si="3"/>
        <v>Repeat Customer</v>
      </c>
    </row>
    <row r="209" spans="1:9" ht="14.25" customHeight="1" x14ac:dyDescent="0.3">
      <c r="A209" s="2" t="s">
        <v>2076</v>
      </c>
      <c r="B209" s="2" t="s">
        <v>2077</v>
      </c>
      <c r="C209" s="2" t="s">
        <v>1539</v>
      </c>
      <c r="D209" s="2" t="s">
        <v>1837</v>
      </c>
      <c r="E209" s="2" t="s">
        <v>1151</v>
      </c>
      <c r="F209" s="2" t="s">
        <v>1102</v>
      </c>
      <c r="G209" s="15">
        <f>SUMIF(orders!B:B,A209,orders!F:F)</f>
        <v>0</v>
      </c>
      <c r="H209" s="15">
        <f>COUNTIF(orders!B:B,A209)</f>
        <v>0</v>
      </c>
      <c r="I209" s="15" t="str">
        <f t="shared" si="3"/>
        <v>One-Time Customer</v>
      </c>
    </row>
    <row r="210" spans="1:9" ht="14.25" customHeight="1" x14ac:dyDescent="0.3">
      <c r="A210" s="2" t="s">
        <v>2078</v>
      </c>
      <c r="B210" s="2" t="s">
        <v>2079</v>
      </c>
      <c r="C210" s="2" t="s">
        <v>1481</v>
      </c>
      <c r="D210" s="2" t="s">
        <v>1218</v>
      </c>
      <c r="E210" s="2" t="s">
        <v>1654</v>
      </c>
      <c r="F210" s="2" t="s">
        <v>1110</v>
      </c>
      <c r="G210" s="15">
        <f>SUMIF(orders!B:B,A210,orders!F:F)</f>
        <v>12.63</v>
      </c>
      <c r="H210" s="15">
        <f>COUNTIF(orders!B:B,A210)</f>
        <v>1</v>
      </c>
      <c r="I210" s="15" t="str">
        <f t="shared" si="3"/>
        <v>One-Time Customer</v>
      </c>
    </row>
    <row r="211" spans="1:9" ht="14.25" customHeight="1" x14ac:dyDescent="0.3">
      <c r="A211" s="2" t="s">
        <v>2080</v>
      </c>
      <c r="B211" s="2" t="s">
        <v>2081</v>
      </c>
      <c r="C211" s="2" t="s">
        <v>1558</v>
      </c>
      <c r="D211" s="2" t="s">
        <v>1709</v>
      </c>
      <c r="E211" s="2" t="s">
        <v>1151</v>
      </c>
      <c r="F211" s="2" t="s">
        <v>1102</v>
      </c>
      <c r="G211" s="15">
        <f>SUMIF(orders!B:B,A211,orders!F:F)</f>
        <v>0</v>
      </c>
      <c r="H211" s="15">
        <f>COUNTIF(orders!B:B,A211)</f>
        <v>0</v>
      </c>
      <c r="I211" s="15" t="str">
        <f t="shared" si="3"/>
        <v>One-Time Customer</v>
      </c>
    </row>
    <row r="212" spans="1:9" ht="14.25" customHeight="1" x14ac:dyDescent="0.3">
      <c r="A212" s="2" t="s">
        <v>2082</v>
      </c>
      <c r="B212" s="2" t="s">
        <v>2083</v>
      </c>
      <c r="C212" s="2" t="s">
        <v>1613</v>
      </c>
      <c r="D212" s="2" t="s">
        <v>1947</v>
      </c>
      <c r="E212" s="2" t="s">
        <v>1407</v>
      </c>
      <c r="F212" s="2" t="s">
        <v>1118</v>
      </c>
      <c r="G212" s="15">
        <f>SUMIF(orders!B:B,A212,orders!F:F)</f>
        <v>0</v>
      </c>
      <c r="H212" s="15">
        <f>COUNTIF(orders!B:B,A212)</f>
        <v>0</v>
      </c>
      <c r="I212" s="15" t="str">
        <f t="shared" si="3"/>
        <v>One-Time Customer</v>
      </c>
    </row>
    <row r="213" spans="1:9" ht="14.25" customHeight="1" x14ac:dyDescent="0.3">
      <c r="A213" s="2" t="s">
        <v>2084</v>
      </c>
      <c r="B213" s="2" t="s">
        <v>2085</v>
      </c>
      <c r="C213" s="2" t="s">
        <v>1632</v>
      </c>
      <c r="D213" s="2" t="s">
        <v>1966</v>
      </c>
      <c r="E213" s="2" t="s">
        <v>1155</v>
      </c>
      <c r="F213" s="2" t="s">
        <v>1130</v>
      </c>
      <c r="G213" s="15">
        <f>SUMIF(orders!B:B,A213,orders!F:F)</f>
        <v>0</v>
      </c>
      <c r="H213" s="15">
        <f>COUNTIF(orders!B:B,A213)</f>
        <v>0</v>
      </c>
      <c r="I213" s="15" t="str">
        <f t="shared" si="3"/>
        <v>One-Time Customer</v>
      </c>
    </row>
    <row r="214" spans="1:9" ht="14.25" customHeight="1" x14ac:dyDescent="0.3">
      <c r="A214" s="2" t="s">
        <v>2086</v>
      </c>
      <c r="B214" s="2" t="s">
        <v>2087</v>
      </c>
      <c r="C214" s="2" t="s">
        <v>1632</v>
      </c>
      <c r="D214" s="2" t="s">
        <v>1547</v>
      </c>
      <c r="E214" s="2" t="s">
        <v>1139</v>
      </c>
      <c r="F214" s="2" t="s">
        <v>1130</v>
      </c>
      <c r="G214" s="15">
        <f>SUMIF(orders!B:B,A214,orders!F:F)</f>
        <v>0</v>
      </c>
      <c r="H214" s="15">
        <f>COUNTIF(orders!B:B,A214)</f>
        <v>0</v>
      </c>
      <c r="I214" s="15" t="str">
        <f t="shared" si="3"/>
        <v>One-Time Customer</v>
      </c>
    </row>
    <row r="215" spans="1:9" ht="14.25" customHeight="1" x14ac:dyDescent="0.3">
      <c r="A215" s="2" t="s">
        <v>2088</v>
      </c>
      <c r="B215" s="2" t="s">
        <v>2089</v>
      </c>
      <c r="C215" s="2" t="s">
        <v>1766</v>
      </c>
      <c r="D215" s="2" t="s">
        <v>1670</v>
      </c>
      <c r="E215" s="2" t="s">
        <v>1474</v>
      </c>
      <c r="F215" s="2" t="s">
        <v>1118</v>
      </c>
      <c r="G215" s="15">
        <f>SUMIF(orders!B:B,A215,orders!F:F)</f>
        <v>0</v>
      </c>
      <c r="H215" s="15">
        <f>COUNTIF(orders!B:B,A215)</f>
        <v>0</v>
      </c>
      <c r="I215" s="15" t="str">
        <f t="shared" si="3"/>
        <v>One-Time Customer</v>
      </c>
    </row>
    <row r="216" spans="1:9" ht="14.25" customHeight="1" x14ac:dyDescent="0.3">
      <c r="A216" s="2" t="s">
        <v>2090</v>
      </c>
      <c r="B216" s="2" t="s">
        <v>2091</v>
      </c>
      <c r="C216" s="2" t="s">
        <v>1485</v>
      </c>
      <c r="D216" s="2" t="s">
        <v>2022</v>
      </c>
      <c r="E216" s="2" t="s">
        <v>1155</v>
      </c>
      <c r="F216" s="2" t="s">
        <v>1130</v>
      </c>
      <c r="G216" s="15">
        <f>SUMIF(orders!B:B,A216,orders!F:F)</f>
        <v>0</v>
      </c>
      <c r="H216" s="15">
        <f>COUNTIF(orders!B:B,A216)</f>
        <v>0</v>
      </c>
      <c r="I216" s="15" t="str">
        <f t="shared" si="3"/>
        <v>One-Time Customer</v>
      </c>
    </row>
    <row r="217" spans="1:9" ht="14.25" customHeight="1" x14ac:dyDescent="0.3">
      <c r="A217" s="2" t="s">
        <v>2092</v>
      </c>
      <c r="B217" s="2" t="s">
        <v>2093</v>
      </c>
      <c r="C217" s="2" t="s">
        <v>1733</v>
      </c>
      <c r="D217" s="2" t="s">
        <v>1742</v>
      </c>
      <c r="E217" s="2" t="s">
        <v>1168</v>
      </c>
      <c r="F217" s="2" t="s">
        <v>1111</v>
      </c>
      <c r="G217" s="15">
        <f>SUMIF(orders!B:B,A217,orders!F:F)</f>
        <v>217.58</v>
      </c>
      <c r="H217" s="15">
        <f>COUNTIF(orders!B:B,A217)</f>
        <v>3</v>
      </c>
      <c r="I217" s="15" t="str">
        <f t="shared" si="3"/>
        <v>Repeat Customer</v>
      </c>
    </row>
    <row r="218" spans="1:9" ht="14.25" customHeight="1" x14ac:dyDescent="0.3">
      <c r="A218" s="2" t="s">
        <v>2094</v>
      </c>
      <c r="B218" s="2" t="s">
        <v>2095</v>
      </c>
      <c r="C218" s="2" t="s">
        <v>1562</v>
      </c>
      <c r="D218" s="2" t="s">
        <v>2096</v>
      </c>
      <c r="E218" s="2" t="s">
        <v>1342</v>
      </c>
      <c r="F218" s="2" t="s">
        <v>1102</v>
      </c>
      <c r="G218" s="15">
        <f>SUMIF(orders!B:B,A218,orders!F:F)</f>
        <v>371.70000000000005</v>
      </c>
      <c r="H218" s="15">
        <f>COUNTIF(orders!B:B,A218)</f>
        <v>4</v>
      </c>
      <c r="I218" s="15" t="str">
        <f t="shared" si="3"/>
        <v>Repeat Customer</v>
      </c>
    </row>
    <row r="219" spans="1:9" ht="14.25" customHeight="1" x14ac:dyDescent="0.3">
      <c r="A219" s="2" t="s">
        <v>2097</v>
      </c>
      <c r="B219" s="2" t="s">
        <v>2098</v>
      </c>
      <c r="C219" s="2" t="s">
        <v>1825</v>
      </c>
      <c r="D219" s="2" t="s">
        <v>1547</v>
      </c>
      <c r="E219" s="2" t="s">
        <v>1172</v>
      </c>
      <c r="F219" s="2" t="s">
        <v>1118</v>
      </c>
      <c r="G219" s="15">
        <f>SUMIF(orders!B:B,A219,orders!F:F)</f>
        <v>0</v>
      </c>
      <c r="H219" s="15">
        <f>COUNTIF(orders!B:B,A219)</f>
        <v>0</v>
      </c>
      <c r="I219" s="15" t="str">
        <f t="shared" si="3"/>
        <v>One-Time Customer</v>
      </c>
    </row>
    <row r="220" spans="1:9" ht="14.25" customHeight="1" x14ac:dyDescent="0.3">
      <c r="A220" s="2" t="s">
        <v>2099</v>
      </c>
      <c r="B220" s="2" t="s">
        <v>2100</v>
      </c>
      <c r="C220" s="2" t="s">
        <v>1529</v>
      </c>
      <c r="D220" s="2" t="s">
        <v>1759</v>
      </c>
      <c r="E220" s="2" t="s">
        <v>1319</v>
      </c>
      <c r="F220" s="2" t="s">
        <v>1118</v>
      </c>
      <c r="G220" s="15">
        <f>SUMIF(orders!B:B,A220,orders!F:F)</f>
        <v>169.24</v>
      </c>
      <c r="H220" s="15">
        <f>COUNTIF(orders!B:B,A220)</f>
        <v>2</v>
      </c>
      <c r="I220" s="15" t="str">
        <f t="shared" si="3"/>
        <v>Repeat Customer</v>
      </c>
    </row>
    <row r="221" spans="1:9" ht="14.25" customHeight="1" x14ac:dyDescent="0.3">
      <c r="A221" s="2" t="s">
        <v>2101</v>
      </c>
      <c r="B221" s="2" t="s">
        <v>2102</v>
      </c>
      <c r="C221" s="2" t="s">
        <v>1781</v>
      </c>
      <c r="D221" s="2" t="s">
        <v>1496</v>
      </c>
      <c r="E221" s="2" t="s">
        <v>1407</v>
      </c>
      <c r="F221" s="2" t="s">
        <v>1118</v>
      </c>
      <c r="G221" s="15">
        <f>SUMIF(orders!B:B,A221,orders!F:F)</f>
        <v>335.5</v>
      </c>
      <c r="H221" s="15">
        <f>COUNTIF(orders!B:B,A221)</f>
        <v>3</v>
      </c>
      <c r="I221" s="15" t="str">
        <f t="shared" si="3"/>
        <v>Repeat Customer</v>
      </c>
    </row>
    <row r="222" spans="1:9" ht="14.25" customHeight="1" x14ac:dyDescent="0.3">
      <c r="A222" s="2" t="s">
        <v>2103</v>
      </c>
      <c r="B222" s="2" t="s">
        <v>2104</v>
      </c>
      <c r="C222" s="2" t="s">
        <v>1676</v>
      </c>
      <c r="D222" s="2" t="s">
        <v>1453</v>
      </c>
      <c r="E222" s="2" t="s">
        <v>1151</v>
      </c>
      <c r="F222" s="2" t="s">
        <v>1102</v>
      </c>
      <c r="G222" s="15">
        <f>SUMIF(orders!B:B,A222,orders!F:F)</f>
        <v>0</v>
      </c>
      <c r="H222" s="15">
        <f>COUNTIF(orders!B:B,A222)</f>
        <v>0</v>
      </c>
      <c r="I222" s="15" t="str">
        <f t="shared" si="3"/>
        <v>One-Time Customer</v>
      </c>
    </row>
    <row r="223" spans="1:9" ht="14.25" customHeight="1" x14ac:dyDescent="0.3">
      <c r="A223" s="2" t="s">
        <v>2105</v>
      </c>
      <c r="B223" s="2" t="s">
        <v>2106</v>
      </c>
      <c r="C223" s="2" t="s">
        <v>1766</v>
      </c>
      <c r="D223" s="2" t="s">
        <v>1986</v>
      </c>
      <c r="E223" s="2" t="s">
        <v>1555</v>
      </c>
      <c r="F223" s="2" t="s">
        <v>1118</v>
      </c>
      <c r="G223" s="15">
        <f>SUMIF(orders!B:B,A223,orders!F:F)</f>
        <v>423.91999999999996</v>
      </c>
      <c r="H223" s="15">
        <f>COUNTIF(orders!B:B,A223)</f>
        <v>3</v>
      </c>
      <c r="I223" s="15" t="str">
        <f t="shared" si="3"/>
        <v>Repeat Customer</v>
      </c>
    </row>
    <row r="224" spans="1:9" ht="14.25" customHeight="1" x14ac:dyDescent="0.3">
      <c r="A224" s="2" t="s">
        <v>2107</v>
      </c>
      <c r="B224" s="2" t="s">
        <v>2108</v>
      </c>
      <c r="C224" s="2" t="s">
        <v>2109</v>
      </c>
      <c r="D224" s="2" t="s">
        <v>1709</v>
      </c>
      <c r="E224" s="2" t="s">
        <v>1555</v>
      </c>
      <c r="F224" s="2" t="s">
        <v>1118</v>
      </c>
      <c r="G224" s="15">
        <f>SUMIF(orders!B:B,A224,orders!F:F)</f>
        <v>177.61</v>
      </c>
      <c r="H224" s="15">
        <f>COUNTIF(orders!B:B,A224)</f>
        <v>2</v>
      </c>
      <c r="I224" s="15" t="str">
        <f t="shared" si="3"/>
        <v>Repeat Customer</v>
      </c>
    </row>
    <row r="225" spans="1:9" ht="14.25" customHeight="1" x14ac:dyDescent="0.3">
      <c r="A225" s="2" t="s">
        <v>2110</v>
      </c>
      <c r="B225" s="2" t="s">
        <v>2111</v>
      </c>
      <c r="C225" s="2" t="s">
        <v>1971</v>
      </c>
      <c r="D225" s="2" t="s">
        <v>1657</v>
      </c>
      <c r="E225" s="2" t="s">
        <v>1139</v>
      </c>
      <c r="F225" s="2" t="s">
        <v>1130</v>
      </c>
      <c r="G225" s="15">
        <f>SUMIF(orders!B:B,A225,orders!F:F)</f>
        <v>0</v>
      </c>
      <c r="H225" s="15">
        <f>COUNTIF(orders!B:B,A225)</f>
        <v>0</v>
      </c>
      <c r="I225" s="15" t="str">
        <f t="shared" si="3"/>
        <v>One-Time Customer</v>
      </c>
    </row>
    <row r="226" spans="1:9" ht="14.25" customHeight="1" x14ac:dyDescent="0.3">
      <c r="A226" s="2" t="s">
        <v>2112</v>
      </c>
      <c r="B226" s="2" t="s">
        <v>2113</v>
      </c>
      <c r="C226" s="2" t="s">
        <v>1766</v>
      </c>
      <c r="D226" s="2" t="s">
        <v>1565</v>
      </c>
      <c r="E226" s="2" t="s">
        <v>1454</v>
      </c>
      <c r="F226" s="2" t="s">
        <v>1118</v>
      </c>
      <c r="G226" s="15">
        <f>SUMIF(orders!B:B,A226,orders!F:F)</f>
        <v>0</v>
      </c>
      <c r="H226" s="15">
        <f>COUNTIF(orders!B:B,A226)</f>
        <v>0</v>
      </c>
      <c r="I226" s="15" t="str">
        <f t="shared" si="3"/>
        <v>One-Time Customer</v>
      </c>
    </row>
    <row r="227" spans="1:9" ht="14.25" customHeight="1" x14ac:dyDescent="0.3">
      <c r="A227" s="2" t="s">
        <v>2114</v>
      </c>
      <c r="B227" s="2" t="s">
        <v>2115</v>
      </c>
      <c r="C227" s="2" t="s">
        <v>1517</v>
      </c>
      <c r="D227" s="2" t="s">
        <v>1986</v>
      </c>
      <c r="E227" s="2" t="s">
        <v>1934</v>
      </c>
      <c r="F227" s="2" t="s">
        <v>1130</v>
      </c>
      <c r="G227" s="15">
        <f>SUMIF(orders!B:B,A227,orders!F:F)</f>
        <v>0</v>
      </c>
      <c r="H227" s="15">
        <f>COUNTIF(orders!B:B,A227)</f>
        <v>0</v>
      </c>
      <c r="I227" s="15" t="str">
        <f t="shared" si="3"/>
        <v>One-Time Customer</v>
      </c>
    </row>
    <row r="228" spans="1:9" ht="14.25" customHeight="1" x14ac:dyDescent="0.3">
      <c r="A228" s="2" t="s">
        <v>2116</v>
      </c>
      <c r="B228" s="2" t="s">
        <v>2117</v>
      </c>
      <c r="C228" s="2" t="s">
        <v>2118</v>
      </c>
      <c r="D228" s="2" t="s">
        <v>1850</v>
      </c>
      <c r="E228" s="2" t="s">
        <v>1603</v>
      </c>
      <c r="F228" s="2" t="s">
        <v>1102</v>
      </c>
      <c r="G228" s="15">
        <f>SUMIF(orders!B:B,A228,orders!F:F)</f>
        <v>324.58</v>
      </c>
      <c r="H228" s="15">
        <f>COUNTIF(orders!B:B,A228)</f>
        <v>3</v>
      </c>
      <c r="I228" s="15" t="str">
        <f t="shared" si="3"/>
        <v>Repeat Customer</v>
      </c>
    </row>
    <row r="229" spans="1:9" ht="14.25" customHeight="1" x14ac:dyDescent="0.3">
      <c r="A229" s="2" t="s">
        <v>2119</v>
      </c>
      <c r="B229" s="2" t="s">
        <v>2120</v>
      </c>
      <c r="C229" s="2" t="s">
        <v>1971</v>
      </c>
      <c r="D229" s="2" t="s">
        <v>2121</v>
      </c>
      <c r="E229" s="2" t="s">
        <v>1116</v>
      </c>
      <c r="F229" s="2" t="s">
        <v>1117</v>
      </c>
      <c r="G229" s="15">
        <f>SUMIF(orders!B:B,A229,orders!F:F)</f>
        <v>161.54</v>
      </c>
      <c r="H229" s="15">
        <f>COUNTIF(orders!B:B,A229)</f>
        <v>1</v>
      </c>
      <c r="I229" s="15" t="str">
        <f t="shared" si="3"/>
        <v>One-Time Customer</v>
      </c>
    </row>
    <row r="230" spans="1:9" ht="14.25" customHeight="1" x14ac:dyDescent="0.3">
      <c r="A230" s="2" t="s">
        <v>2122</v>
      </c>
      <c r="B230" s="2" t="s">
        <v>2123</v>
      </c>
      <c r="C230" s="2" t="s">
        <v>1485</v>
      </c>
      <c r="D230" s="2" t="s">
        <v>2124</v>
      </c>
      <c r="E230" s="2" t="s">
        <v>1313</v>
      </c>
      <c r="F230" s="2" t="s">
        <v>1129</v>
      </c>
      <c r="G230" s="15">
        <f>SUMIF(orders!B:B,A230,orders!F:F)</f>
        <v>75.81</v>
      </c>
      <c r="H230" s="15">
        <f>COUNTIF(orders!B:B,A230)</f>
        <v>1</v>
      </c>
      <c r="I230" s="15" t="str">
        <f t="shared" si="3"/>
        <v>One-Time Customer</v>
      </c>
    </row>
    <row r="231" spans="1:9" ht="14.25" customHeight="1" x14ac:dyDescent="0.3">
      <c r="A231" s="2" t="s">
        <v>2125</v>
      </c>
      <c r="B231" s="2" t="s">
        <v>1601</v>
      </c>
      <c r="C231" s="2" t="s">
        <v>1481</v>
      </c>
      <c r="D231" s="2" t="s">
        <v>1554</v>
      </c>
      <c r="E231" s="2" t="s">
        <v>1168</v>
      </c>
      <c r="F231" s="2" t="s">
        <v>1111</v>
      </c>
      <c r="G231" s="15">
        <f>SUMIF(orders!B:B,A231,orders!F:F)</f>
        <v>89.4</v>
      </c>
      <c r="H231" s="15">
        <f>COUNTIF(orders!B:B,A231)</f>
        <v>3</v>
      </c>
      <c r="I231" s="15" t="str">
        <f t="shared" si="3"/>
        <v>Repeat Customer</v>
      </c>
    </row>
    <row r="232" spans="1:9" ht="14.25" customHeight="1" x14ac:dyDescent="0.3">
      <c r="A232" s="2" t="s">
        <v>2126</v>
      </c>
      <c r="B232" s="2" t="s">
        <v>2127</v>
      </c>
      <c r="C232" s="2" t="s">
        <v>1825</v>
      </c>
      <c r="D232" s="2" t="s">
        <v>2128</v>
      </c>
      <c r="E232" s="2" t="s">
        <v>1147</v>
      </c>
      <c r="F232" s="2" t="s">
        <v>1130</v>
      </c>
      <c r="G232" s="15">
        <f>SUMIF(orders!B:B,A232,orders!F:F)</f>
        <v>0</v>
      </c>
      <c r="H232" s="15">
        <f>COUNTIF(orders!B:B,A232)</f>
        <v>0</v>
      </c>
      <c r="I232" s="15" t="str">
        <f t="shared" si="3"/>
        <v>One-Time Customer</v>
      </c>
    </row>
    <row r="233" spans="1:9" ht="14.25" customHeight="1" x14ac:dyDescent="0.3">
      <c r="A233" s="2" t="s">
        <v>2129</v>
      </c>
      <c r="B233" s="2" t="s">
        <v>2130</v>
      </c>
      <c r="C233" s="2" t="s">
        <v>1858</v>
      </c>
      <c r="D233" s="2" t="s">
        <v>1547</v>
      </c>
      <c r="E233" s="2" t="s">
        <v>1109</v>
      </c>
      <c r="F233" s="2" t="s">
        <v>1110</v>
      </c>
      <c r="G233" s="15">
        <f>SUMIF(orders!B:B,A233,orders!F:F)</f>
        <v>173.72</v>
      </c>
      <c r="H233" s="15">
        <f>COUNTIF(orders!B:B,A233)</f>
        <v>1</v>
      </c>
      <c r="I233" s="15" t="str">
        <f t="shared" si="3"/>
        <v>One-Time Customer</v>
      </c>
    </row>
    <row r="234" spans="1:9" ht="14.25" customHeight="1" x14ac:dyDescent="0.3">
      <c r="A234" s="2" t="s">
        <v>2131</v>
      </c>
      <c r="B234" s="2" t="s">
        <v>2132</v>
      </c>
      <c r="C234" s="2" t="s">
        <v>2005</v>
      </c>
      <c r="D234" s="2" t="s">
        <v>2133</v>
      </c>
      <c r="E234" s="2" t="s">
        <v>1492</v>
      </c>
      <c r="F234" s="2" t="s">
        <v>1130</v>
      </c>
      <c r="G234" s="15">
        <f>SUMIF(orders!B:B,A234,orders!F:F)</f>
        <v>48.06</v>
      </c>
      <c r="H234" s="15">
        <f>COUNTIF(orders!B:B,A234)</f>
        <v>2</v>
      </c>
      <c r="I234" s="15" t="str">
        <f t="shared" si="3"/>
        <v>Repeat Customer</v>
      </c>
    </row>
    <row r="235" spans="1:9" ht="14.25" customHeight="1" x14ac:dyDescent="0.3">
      <c r="A235" s="2" t="s">
        <v>2134</v>
      </c>
      <c r="B235" s="2" t="s">
        <v>2135</v>
      </c>
      <c r="C235" s="2" t="s">
        <v>2136</v>
      </c>
      <c r="D235" s="2" t="s">
        <v>2137</v>
      </c>
      <c r="E235" s="2" t="s">
        <v>1514</v>
      </c>
      <c r="F235" s="2" t="s">
        <v>1130</v>
      </c>
      <c r="G235" s="15">
        <f>SUMIF(orders!B:B,A235,orders!F:F)</f>
        <v>114.82000000000001</v>
      </c>
      <c r="H235" s="15">
        <f>COUNTIF(orders!B:B,A235)</f>
        <v>1</v>
      </c>
      <c r="I235" s="15" t="str">
        <f t="shared" si="3"/>
        <v>One-Time Customer</v>
      </c>
    </row>
    <row r="236" spans="1:9" ht="14.25" customHeight="1" x14ac:dyDescent="0.3">
      <c r="A236" s="2" t="s">
        <v>2138</v>
      </c>
      <c r="B236" s="2" t="s">
        <v>2139</v>
      </c>
      <c r="C236" s="2" t="s">
        <v>1539</v>
      </c>
      <c r="D236" s="2" t="s">
        <v>1565</v>
      </c>
      <c r="E236" s="2" t="s">
        <v>1155</v>
      </c>
      <c r="F236" s="2" t="s">
        <v>1130</v>
      </c>
      <c r="G236" s="15">
        <f>SUMIF(orders!B:B,A236,orders!F:F)</f>
        <v>168.57999999999998</v>
      </c>
      <c r="H236" s="15">
        <f>COUNTIF(orders!B:B,A236)</f>
        <v>4</v>
      </c>
      <c r="I236" s="15" t="str">
        <f t="shared" si="3"/>
        <v>Repeat Customer</v>
      </c>
    </row>
    <row r="237" spans="1:9" ht="14.25" customHeight="1" x14ac:dyDescent="0.3">
      <c r="A237" s="2" t="s">
        <v>2140</v>
      </c>
      <c r="B237" s="2" t="s">
        <v>2141</v>
      </c>
      <c r="C237" s="2" t="s">
        <v>1686</v>
      </c>
      <c r="D237" s="2" t="s">
        <v>2015</v>
      </c>
      <c r="E237" s="2" t="s">
        <v>1139</v>
      </c>
      <c r="F237" s="2" t="s">
        <v>1130</v>
      </c>
      <c r="G237" s="15">
        <f>SUMIF(orders!B:B,A237,orders!F:F)</f>
        <v>0</v>
      </c>
      <c r="H237" s="15">
        <f>COUNTIF(orders!B:B,A237)</f>
        <v>0</v>
      </c>
      <c r="I237" s="15" t="str">
        <f t="shared" si="3"/>
        <v>One-Time Customer</v>
      </c>
    </row>
    <row r="238" spans="1:9" ht="14.25" customHeight="1" x14ac:dyDescent="0.3">
      <c r="A238" s="2" t="s">
        <v>2142</v>
      </c>
      <c r="B238" s="2" t="s">
        <v>2143</v>
      </c>
      <c r="C238" s="2" t="s">
        <v>1755</v>
      </c>
      <c r="D238" s="2" t="s">
        <v>1677</v>
      </c>
      <c r="E238" s="2" t="s">
        <v>1934</v>
      </c>
      <c r="F238" s="2" t="s">
        <v>1130</v>
      </c>
      <c r="G238" s="15">
        <f>SUMIF(orders!B:B,A238,orders!F:F)</f>
        <v>86.04</v>
      </c>
      <c r="H238" s="15">
        <f>COUNTIF(orders!B:B,A238)</f>
        <v>2</v>
      </c>
      <c r="I238" s="15" t="str">
        <f t="shared" si="3"/>
        <v>Repeat Customer</v>
      </c>
    </row>
    <row r="239" spans="1:9" ht="14.25" customHeight="1" x14ac:dyDescent="0.3">
      <c r="A239" s="2" t="s">
        <v>2144</v>
      </c>
      <c r="B239" s="2" t="s">
        <v>2145</v>
      </c>
      <c r="C239" s="2" t="s">
        <v>2146</v>
      </c>
      <c r="D239" s="2" t="s">
        <v>1591</v>
      </c>
      <c r="E239" s="2" t="s">
        <v>1205</v>
      </c>
      <c r="F239" s="2" t="s">
        <v>1102</v>
      </c>
      <c r="G239" s="15">
        <f>SUMIF(orders!B:B,A239,orders!F:F)</f>
        <v>114.84</v>
      </c>
      <c r="H239" s="15">
        <f>COUNTIF(orders!B:B,A239)</f>
        <v>2</v>
      </c>
      <c r="I239" s="15" t="str">
        <f t="shared" si="3"/>
        <v>Repeat Customer</v>
      </c>
    </row>
    <row r="240" spans="1:9" ht="14.25" customHeight="1" x14ac:dyDescent="0.3">
      <c r="A240" s="2" t="s">
        <v>2147</v>
      </c>
      <c r="B240" s="2" t="s">
        <v>2148</v>
      </c>
      <c r="C240" s="2" t="s">
        <v>1910</v>
      </c>
      <c r="D240" s="2" t="s">
        <v>1982</v>
      </c>
      <c r="E240" s="2" t="s">
        <v>1205</v>
      </c>
      <c r="F240" s="2" t="s">
        <v>1102</v>
      </c>
      <c r="G240" s="15">
        <f>SUMIF(orders!B:B,A240,orders!F:F)</f>
        <v>0</v>
      </c>
      <c r="H240" s="15">
        <f>COUNTIF(orders!B:B,A240)</f>
        <v>0</v>
      </c>
      <c r="I240" s="15" t="str">
        <f t="shared" si="3"/>
        <v>One-Time Customer</v>
      </c>
    </row>
    <row r="241" spans="1:9" ht="14.25" customHeight="1" x14ac:dyDescent="0.3">
      <c r="A241" s="2" t="s">
        <v>2149</v>
      </c>
      <c r="B241" s="2" t="s">
        <v>2150</v>
      </c>
      <c r="C241" s="2" t="s">
        <v>1467</v>
      </c>
      <c r="D241" s="2" t="s">
        <v>1879</v>
      </c>
      <c r="E241" s="2" t="s">
        <v>1382</v>
      </c>
      <c r="F241" s="2" t="s">
        <v>1129</v>
      </c>
      <c r="G241" s="15">
        <f>SUMIF(orders!B:B,A241,orders!F:F)</f>
        <v>329.37</v>
      </c>
      <c r="H241" s="15">
        <f>COUNTIF(orders!B:B,A241)</f>
        <v>4</v>
      </c>
      <c r="I241" s="15" t="str">
        <f t="shared" si="3"/>
        <v>Repeat Customer</v>
      </c>
    </row>
    <row r="242" spans="1:9" ht="14.25" customHeight="1" x14ac:dyDescent="0.3">
      <c r="A242" s="2" t="s">
        <v>2151</v>
      </c>
      <c r="B242" s="2" t="s">
        <v>2152</v>
      </c>
      <c r="C242" s="2" t="s">
        <v>1971</v>
      </c>
      <c r="D242" s="2" t="s">
        <v>1491</v>
      </c>
      <c r="E242" s="2" t="s">
        <v>1109</v>
      </c>
      <c r="F242" s="2" t="s">
        <v>1110</v>
      </c>
      <c r="G242" s="15">
        <f>SUMIF(orders!B:B,A242,orders!F:F)</f>
        <v>91.220000000000013</v>
      </c>
      <c r="H242" s="15">
        <f>COUNTIF(orders!B:B,A242)</f>
        <v>1</v>
      </c>
      <c r="I242" s="15" t="str">
        <f t="shared" si="3"/>
        <v>One-Time Customer</v>
      </c>
    </row>
    <row r="243" spans="1:9" ht="14.25" customHeight="1" x14ac:dyDescent="0.3">
      <c r="A243" s="2" t="s">
        <v>2153</v>
      </c>
      <c r="B243" s="2" t="s">
        <v>2154</v>
      </c>
      <c r="C243" s="2" t="s">
        <v>2041</v>
      </c>
      <c r="D243" s="2" t="s">
        <v>2022</v>
      </c>
      <c r="E243" s="2" t="s">
        <v>1359</v>
      </c>
      <c r="F243" s="2" t="s">
        <v>1102</v>
      </c>
      <c r="G243" s="15">
        <f>SUMIF(orders!B:B,A243,orders!F:F)</f>
        <v>74.36</v>
      </c>
      <c r="H243" s="15">
        <f>COUNTIF(orders!B:B,A243)</f>
        <v>2</v>
      </c>
      <c r="I243" s="15" t="str">
        <f t="shared" si="3"/>
        <v>Repeat Customer</v>
      </c>
    </row>
    <row r="244" spans="1:9" ht="14.25" customHeight="1" x14ac:dyDescent="0.3">
      <c r="A244" s="2" t="s">
        <v>2155</v>
      </c>
      <c r="B244" s="2" t="s">
        <v>2156</v>
      </c>
      <c r="C244" s="2" t="s">
        <v>1727</v>
      </c>
      <c r="D244" s="2" t="s">
        <v>2157</v>
      </c>
      <c r="E244" s="2" t="s">
        <v>1205</v>
      </c>
      <c r="F244" s="2" t="s">
        <v>1102</v>
      </c>
      <c r="G244" s="15">
        <f>SUMIF(orders!B:B,A244,orders!F:F)</f>
        <v>0</v>
      </c>
      <c r="H244" s="15">
        <f>COUNTIF(orders!B:B,A244)</f>
        <v>0</v>
      </c>
      <c r="I244" s="15" t="str">
        <f t="shared" si="3"/>
        <v>One-Time Customer</v>
      </c>
    </row>
    <row r="245" spans="1:9" ht="14.25" customHeight="1" x14ac:dyDescent="0.3">
      <c r="A245" s="2" t="s">
        <v>2158</v>
      </c>
      <c r="B245" s="2" t="s">
        <v>2159</v>
      </c>
      <c r="C245" s="2" t="s">
        <v>1626</v>
      </c>
      <c r="D245" s="2" t="s">
        <v>1587</v>
      </c>
      <c r="E245" s="2" t="s">
        <v>1934</v>
      </c>
      <c r="F245" s="2" t="s">
        <v>1130</v>
      </c>
      <c r="G245" s="15">
        <f>SUMIF(orders!B:B,A245,orders!F:F)</f>
        <v>0</v>
      </c>
      <c r="H245" s="15">
        <f>COUNTIF(orders!B:B,A245)</f>
        <v>0</v>
      </c>
      <c r="I245" s="15" t="str">
        <f t="shared" si="3"/>
        <v>One-Time Customer</v>
      </c>
    </row>
    <row r="246" spans="1:9" ht="14.25" customHeight="1" x14ac:dyDescent="0.3">
      <c r="A246" s="2" t="s">
        <v>2160</v>
      </c>
      <c r="B246" s="2" t="s">
        <v>2161</v>
      </c>
      <c r="C246" s="2" t="s">
        <v>1602</v>
      </c>
      <c r="D246" s="2" t="s">
        <v>2015</v>
      </c>
      <c r="E246" s="2" t="s">
        <v>1820</v>
      </c>
      <c r="F246" s="2" t="s">
        <v>1117</v>
      </c>
      <c r="G246" s="15">
        <f>SUMIF(orders!B:B,A246,orders!F:F)</f>
        <v>39.169999999999995</v>
      </c>
      <c r="H246" s="15">
        <f>COUNTIF(orders!B:B,A246)</f>
        <v>1</v>
      </c>
      <c r="I246" s="15" t="str">
        <f t="shared" si="3"/>
        <v>One-Time Customer</v>
      </c>
    </row>
    <row r="247" spans="1:9" ht="14.25" customHeight="1" x14ac:dyDescent="0.3">
      <c r="A247" s="2" t="s">
        <v>2162</v>
      </c>
      <c r="B247" s="2" t="s">
        <v>2163</v>
      </c>
      <c r="C247" s="2" t="s">
        <v>1661</v>
      </c>
      <c r="D247" s="2" t="s">
        <v>2146</v>
      </c>
      <c r="E247" s="2" t="s">
        <v>1319</v>
      </c>
      <c r="F247" s="2" t="s">
        <v>1118</v>
      </c>
      <c r="G247" s="15">
        <f>SUMIF(orders!B:B,A247,orders!F:F)</f>
        <v>0</v>
      </c>
      <c r="H247" s="15">
        <f>COUNTIF(orders!B:B,A247)</f>
        <v>0</v>
      </c>
      <c r="I247" s="15" t="str">
        <f t="shared" si="3"/>
        <v>One-Time Customer</v>
      </c>
    </row>
    <row r="248" spans="1:9" ht="14.25" customHeight="1" x14ac:dyDescent="0.3">
      <c r="A248" s="2" t="s">
        <v>2164</v>
      </c>
      <c r="B248" s="2" t="s">
        <v>2165</v>
      </c>
      <c r="C248" s="2" t="s">
        <v>1553</v>
      </c>
      <c r="D248" s="2" t="s">
        <v>2166</v>
      </c>
      <c r="E248" s="2" t="s">
        <v>1151</v>
      </c>
      <c r="F248" s="2" t="s">
        <v>1102</v>
      </c>
      <c r="G248" s="15">
        <f>SUMIF(orders!B:B,A248,orders!F:F)</f>
        <v>0</v>
      </c>
      <c r="H248" s="15">
        <f>COUNTIF(orders!B:B,A248)</f>
        <v>0</v>
      </c>
      <c r="I248" s="15" t="str">
        <f t="shared" si="3"/>
        <v>One-Time Customer</v>
      </c>
    </row>
    <row r="249" spans="1:9" ht="14.25" customHeight="1" x14ac:dyDescent="0.3">
      <c r="A249" s="2" t="s">
        <v>2167</v>
      </c>
      <c r="B249" s="2" t="s">
        <v>2168</v>
      </c>
      <c r="C249" s="2" t="s">
        <v>2169</v>
      </c>
      <c r="D249" s="2" t="s">
        <v>1837</v>
      </c>
      <c r="E249" s="2" t="s">
        <v>1155</v>
      </c>
      <c r="F249" s="2" t="s">
        <v>1130</v>
      </c>
      <c r="G249" s="15">
        <f>SUMIF(orders!B:B,A249,orders!F:F)</f>
        <v>0</v>
      </c>
      <c r="H249" s="15">
        <f>COUNTIF(orders!B:B,A249)</f>
        <v>0</v>
      </c>
      <c r="I249" s="15" t="str">
        <f t="shared" si="3"/>
        <v>One-Time Customer</v>
      </c>
    </row>
    <row r="250" spans="1:9" ht="14.25" customHeight="1" x14ac:dyDescent="0.3">
      <c r="A250" s="2" t="s">
        <v>2170</v>
      </c>
      <c r="B250" s="2" t="s">
        <v>2171</v>
      </c>
      <c r="C250" s="2" t="s">
        <v>1898</v>
      </c>
      <c r="D250" s="2" t="s">
        <v>1618</v>
      </c>
      <c r="E250" s="2" t="s">
        <v>1109</v>
      </c>
      <c r="F250" s="2" t="s">
        <v>1110</v>
      </c>
      <c r="G250" s="15">
        <f>SUMIF(orders!B:B,A250,orders!F:F)</f>
        <v>0</v>
      </c>
      <c r="H250" s="15">
        <f>COUNTIF(orders!B:B,A250)</f>
        <v>0</v>
      </c>
      <c r="I250" s="15" t="str">
        <f t="shared" si="3"/>
        <v>One-Time Customer</v>
      </c>
    </row>
    <row r="251" spans="1:9" ht="14.25" customHeight="1" x14ac:dyDescent="0.3">
      <c r="A251" s="2" t="s">
        <v>2172</v>
      </c>
      <c r="B251" s="2" t="s">
        <v>2173</v>
      </c>
      <c r="C251" s="2" t="s">
        <v>1971</v>
      </c>
      <c r="D251" s="2" t="s">
        <v>2174</v>
      </c>
      <c r="E251" s="2" t="s">
        <v>1319</v>
      </c>
      <c r="F251" s="2" t="s">
        <v>1118</v>
      </c>
      <c r="G251" s="15">
        <f>SUMIF(orders!B:B,A251,orders!F:F)</f>
        <v>323.36</v>
      </c>
      <c r="H251" s="15">
        <f>COUNTIF(orders!B:B,A251)</f>
        <v>3</v>
      </c>
      <c r="I251" s="15" t="str">
        <f t="shared" si="3"/>
        <v>Repeat Customer</v>
      </c>
    </row>
    <row r="252" spans="1:9" ht="14.25" customHeight="1" x14ac:dyDescent="0.3">
      <c r="A252" s="2" t="s">
        <v>2175</v>
      </c>
      <c r="B252" s="2" t="s">
        <v>2176</v>
      </c>
      <c r="C252" s="2" t="s">
        <v>2177</v>
      </c>
      <c r="D252" s="2" t="s">
        <v>1491</v>
      </c>
      <c r="E252" s="2" t="s">
        <v>1151</v>
      </c>
      <c r="F252" s="2" t="s">
        <v>1102</v>
      </c>
      <c r="G252" s="15">
        <f>SUMIF(orders!B:B,A252,orders!F:F)</f>
        <v>229.98000000000002</v>
      </c>
      <c r="H252" s="15">
        <f>COUNTIF(orders!B:B,A252)</f>
        <v>1</v>
      </c>
      <c r="I252" s="15" t="str">
        <f t="shared" si="3"/>
        <v>One-Time Customer</v>
      </c>
    </row>
    <row r="253" spans="1:9" ht="14.25" customHeight="1" x14ac:dyDescent="0.3">
      <c r="A253" s="2" t="s">
        <v>2178</v>
      </c>
      <c r="B253" s="2" t="s">
        <v>2179</v>
      </c>
      <c r="C253" s="2" t="s">
        <v>2180</v>
      </c>
      <c r="D253" s="2" t="s">
        <v>1670</v>
      </c>
      <c r="E253" s="2" t="s">
        <v>1407</v>
      </c>
      <c r="F253" s="2" t="s">
        <v>1118</v>
      </c>
      <c r="G253" s="15">
        <f>SUMIF(orders!B:B,A253,orders!F:F)</f>
        <v>0</v>
      </c>
      <c r="H253" s="15">
        <f>COUNTIF(orders!B:B,A253)</f>
        <v>0</v>
      </c>
      <c r="I253" s="15" t="str">
        <f t="shared" si="3"/>
        <v>One-Time Customer</v>
      </c>
    </row>
    <row r="254" spans="1:9" ht="14.25" customHeight="1" x14ac:dyDescent="0.3">
      <c r="A254" s="2" t="s">
        <v>2181</v>
      </c>
      <c r="B254" s="2" t="s">
        <v>2182</v>
      </c>
      <c r="C254" s="2" t="s">
        <v>1755</v>
      </c>
      <c r="D254" s="2" t="s">
        <v>1106</v>
      </c>
      <c r="E254" s="2" t="s">
        <v>1407</v>
      </c>
      <c r="F254" s="2" t="s">
        <v>1118</v>
      </c>
      <c r="G254" s="15">
        <f>SUMIF(orders!B:B,A254,orders!F:F)</f>
        <v>92.53</v>
      </c>
      <c r="H254" s="15">
        <f>COUNTIF(orders!B:B,A254)</f>
        <v>1</v>
      </c>
      <c r="I254" s="15" t="str">
        <f t="shared" si="3"/>
        <v>One-Time Customer</v>
      </c>
    </row>
    <row r="255" spans="1:9" ht="14.25" customHeight="1" x14ac:dyDescent="0.3">
      <c r="A255" s="2" t="s">
        <v>2183</v>
      </c>
      <c r="B255" s="2" t="s">
        <v>2184</v>
      </c>
      <c r="C255" s="2" t="s">
        <v>1652</v>
      </c>
      <c r="D255" s="2" t="s">
        <v>1518</v>
      </c>
      <c r="E255" s="2" t="s">
        <v>1151</v>
      </c>
      <c r="F255" s="2" t="s">
        <v>1102</v>
      </c>
      <c r="G255" s="15">
        <f>SUMIF(orders!B:B,A255,orders!F:F)</f>
        <v>0</v>
      </c>
      <c r="H255" s="15">
        <f>COUNTIF(orders!B:B,A255)</f>
        <v>0</v>
      </c>
      <c r="I255" s="15" t="str">
        <f t="shared" si="3"/>
        <v>One-Time Customer</v>
      </c>
    </row>
    <row r="256" spans="1:9" ht="14.25" customHeight="1" x14ac:dyDescent="0.3">
      <c r="A256" s="2" t="s">
        <v>2185</v>
      </c>
      <c r="B256" s="2" t="s">
        <v>2186</v>
      </c>
      <c r="C256" s="2" t="s">
        <v>1788</v>
      </c>
      <c r="D256" s="2" t="s">
        <v>1739</v>
      </c>
      <c r="E256" s="2" t="s">
        <v>1109</v>
      </c>
      <c r="F256" s="2" t="s">
        <v>1110</v>
      </c>
      <c r="G256" s="15">
        <f>SUMIF(orders!B:B,A256,orders!F:F)</f>
        <v>0</v>
      </c>
      <c r="H256" s="15">
        <f>COUNTIF(orders!B:B,A256)</f>
        <v>0</v>
      </c>
      <c r="I256" s="15" t="str">
        <f t="shared" si="3"/>
        <v>One-Time Customer</v>
      </c>
    </row>
    <row r="257" spans="1:9" ht="14.25" customHeight="1" x14ac:dyDescent="0.3">
      <c r="A257" s="2" t="s">
        <v>2187</v>
      </c>
      <c r="B257" s="2" t="s">
        <v>2188</v>
      </c>
      <c r="C257" s="2" t="s">
        <v>1217</v>
      </c>
      <c r="D257" s="2" t="s">
        <v>1412</v>
      </c>
      <c r="E257" s="2" t="s">
        <v>1151</v>
      </c>
      <c r="F257" s="2" t="s">
        <v>1102</v>
      </c>
      <c r="G257" s="15">
        <f>SUMIF(orders!B:B,A257,orders!F:F)</f>
        <v>169.72000000000003</v>
      </c>
      <c r="H257" s="15">
        <f>COUNTIF(orders!B:B,A257)</f>
        <v>3</v>
      </c>
      <c r="I257" s="15" t="str">
        <f t="shared" si="3"/>
        <v>Repeat Customer</v>
      </c>
    </row>
    <row r="258" spans="1:9" ht="14.25" customHeight="1" x14ac:dyDescent="0.3">
      <c r="A258" s="2" t="s">
        <v>2189</v>
      </c>
      <c r="B258" s="2" t="s">
        <v>2190</v>
      </c>
      <c r="C258" s="2" t="s">
        <v>1993</v>
      </c>
      <c r="D258" s="2" t="s">
        <v>1899</v>
      </c>
      <c r="E258" s="2" t="s">
        <v>1205</v>
      </c>
      <c r="F258" s="2" t="s">
        <v>1102</v>
      </c>
      <c r="G258" s="15">
        <f>SUMIF(orders!B:B,A258,orders!F:F)</f>
        <v>0</v>
      </c>
      <c r="H258" s="15">
        <f>COUNTIF(orders!B:B,A258)</f>
        <v>0</v>
      </c>
      <c r="I258" s="15" t="str">
        <f t="shared" ref="I258:I321" si="4">IF(H258&gt;1,"Repeat Customer","One-Time Customer")</f>
        <v>One-Time Customer</v>
      </c>
    </row>
    <row r="259" spans="1:9" ht="14.25" customHeight="1" x14ac:dyDescent="0.3">
      <c r="A259" s="2" t="s">
        <v>2191</v>
      </c>
      <c r="B259" s="2" t="s">
        <v>2192</v>
      </c>
      <c r="C259" s="2" t="s">
        <v>1632</v>
      </c>
      <c r="D259" s="2" t="s">
        <v>2193</v>
      </c>
      <c r="E259" s="2" t="s">
        <v>1934</v>
      </c>
      <c r="F259" s="2" t="s">
        <v>1130</v>
      </c>
      <c r="G259" s="15">
        <f>SUMIF(orders!B:B,A259,orders!F:F)</f>
        <v>120.87</v>
      </c>
      <c r="H259" s="15">
        <f>COUNTIF(orders!B:B,A259)</f>
        <v>1</v>
      </c>
      <c r="I259" s="15" t="str">
        <f t="shared" si="4"/>
        <v>One-Time Customer</v>
      </c>
    </row>
    <row r="260" spans="1:9" ht="14.25" customHeight="1" x14ac:dyDescent="0.3">
      <c r="A260" s="2" t="s">
        <v>2194</v>
      </c>
      <c r="B260" s="2" t="s">
        <v>2195</v>
      </c>
      <c r="C260" s="2" t="s">
        <v>1736</v>
      </c>
      <c r="D260" s="2" t="s">
        <v>1850</v>
      </c>
      <c r="E260" s="2" t="s">
        <v>1728</v>
      </c>
      <c r="F260" s="2" t="s">
        <v>1102</v>
      </c>
      <c r="G260" s="15">
        <f>SUMIF(orders!B:B,A260,orders!F:F)</f>
        <v>0</v>
      </c>
      <c r="H260" s="15">
        <f>COUNTIF(orders!B:B,A260)</f>
        <v>0</v>
      </c>
      <c r="I260" s="15" t="str">
        <f t="shared" si="4"/>
        <v>One-Time Customer</v>
      </c>
    </row>
    <row r="261" spans="1:9" ht="14.25" customHeight="1" x14ac:dyDescent="0.3">
      <c r="A261" s="2" t="s">
        <v>2196</v>
      </c>
      <c r="B261" s="2" t="s">
        <v>2197</v>
      </c>
      <c r="C261" s="2" t="s">
        <v>1449</v>
      </c>
      <c r="D261" s="2" t="s">
        <v>1518</v>
      </c>
      <c r="E261" s="2" t="s">
        <v>1109</v>
      </c>
      <c r="F261" s="2" t="s">
        <v>1110</v>
      </c>
      <c r="G261" s="15">
        <f>SUMIF(orders!B:B,A261,orders!F:F)</f>
        <v>46.85</v>
      </c>
      <c r="H261" s="15">
        <f>COUNTIF(orders!B:B,A261)</f>
        <v>1</v>
      </c>
      <c r="I261" s="15" t="str">
        <f t="shared" si="4"/>
        <v>One-Time Customer</v>
      </c>
    </row>
    <row r="262" spans="1:9" ht="14.25" customHeight="1" x14ac:dyDescent="0.3">
      <c r="A262" s="2" t="s">
        <v>2198</v>
      </c>
      <c r="B262" s="2" t="s">
        <v>2199</v>
      </c>
      <c r="C262" s="2" t="s">
        <v>2136</v>
      </c>
      <c r="D262" s="2" t="s">
        <v>1739</v>
      </c>
      <c r="E262" s="2" t="s">
        <v>1728</v>
      </c>
      <c r="F262" s="2" t="s">
        <v>1102</v>
      </c>
      <c r="G262" s="15">
        <f>SUMIF(orders!B:B,A262,orders!F:F)</f>
        <v>0</v>
      </c>
      <c r="H262" s="15">
        <f>COUNTIF(orders!B:B,A262)</f>
        <v>0</v>
      </c>
      <c r="I262" s="15" t="str">
        <f t="shared" si="4"/>
        <v>One-Time Customer</v>
      </c>
    </row>
    <row r="263" spans="1:9" ht="14.25" customHeight="1" x14ac:dyDescent="0.3">
      <c r="A263" s="2" t="s">
        <v>2200</v>
      </c>
      <c r="B263" s="2" t="s">
        <v>2201</v>
      </c>
      <c r="C263" s="2" t="s">
        <v>1613</v>
      </c>
      <c r="D263" s="2" t="s">
        <v>2202</v>
      </c>
      <c r="E263" s="2" t="s">
        <v>1109</v>
      </c>
      <c r="F263" s="2" t="s">
        <v>1110</v>
      </c>
      <c r="G263" s="15">
        <f>SUMIF(orders!B:B,A263,orders!F:F)</f>
        <v>0</v>
      </c>
      <c r="H263" s="15">
        <f>COUNTIF(orders!B:B,A263)</f>
        <v>0</v>
      </c>
      <c r="I263" s="15" t="str">
        <f t="shared" si="4"/>
        <v>One-Time Customer</v>
      </c>
    </row>
    <row r="264" spans="1:9" ht="14.25" customHeight="1" x14ac:dyDescent="0.3">
      <c r="A264" s="2" t="s">
        <v>2203</v>
      </c>
      <c r="B264" s="2" t="s">
        <v>2204</v>
      </c>
      <c r="C264" s="2" t="s">
        <v>1397</v>
      </c>
      <c r="D264" s="2" t="s">
        <v>1919</v>
      </c>
      <c r="E264" s="2" t="s">
        <v>1168</v>
      </c>
      <c r="F264" s="2" t="s">
        <v>1111</v>
      </c>
      <c r="G264" s="15">
        <f>SUMIF(orders!B:B,A264,orders!F:F)</f>
        <v>49.69</v>
      </c>
      <c r="H264" s="15">
        <f>COUNTIF(orders!B:B,A264)</f>
        <v>2</v>
      </c>
      <c r="I264" s="15" t="str">
        <f t="shared" si="4"/>
        <v>Repeat Customer</v>
      </c>
    </row>
    <row r="265" spans="1:9" ht="14.25" customHeight="1" x14ac:dyDescent="0.3">
      <c r="A265" s="2" t="s">
        <v>2205</v>
      </c>
      <c r="B265" s="2" t="s">
        <v>2206</v>
      </c>
      <c r="C265" s="2" t="s">
        <v>2029</v>
      </c>
      <c r="D265" s="2" t="s">
        <v>2207</v>
      </c>
      <c r="E265" s="2" t="s">
        <v>1151</v>
      </c>
      <c r="F265" s="2" t="s">
        <v>1102</v>
      </c>
      <c r="G265" s="15">
        <f>SUMIF(orders!B:B,A265,orders!F:F)</f>
        <v>164.82</v>
      </c>
      <c r="H265" s="15">
        <f>COUNTIF(orders!B:B,A265)</f>
        <v>2</v>
      </c>
      <c r="I265" s="15" t="str">
        <f t="shared" si="4"/>
        <v>Repeat Customer</v>
      </c>
    </row>
    <row r="266" spans="1:9" ht="14.25" customHeight="1" x14ac:dyDescent="0.3">
      <c r="A266" s="2" t="s">
        <v>2208</v>
      </c>
      <c r="B266" s="2" t="s">
        <v>2209</v>
      </c>
      <c r="C266" s="2" t="s">
        <v>1131</v>
      </c>
      <c r="D266" s="2" t="s">
        <v>1966</v>
      </c>
      <c r="E266" s="2" t="s">
        <v>1407</v>
      </c>
      <c r="F266" s="2" t="s">
        <v>1118</v>
      </c>
      <c r="G266" s="15">
        <f>SUMIF(orders!B:B,A266,orders!F:F)</f>
        <v>173.54999999999998</v>
      </c>
      <c r="H266" s="15">
        <f>COUNTIF(orders!B:B,A266)</f>
        <v>2</v>
      </c>
      <c r="I266" s="15" t="str">
        <f t="shared" si="4"/>
        <v>Repeat Customer</v>
      </c>
    </row>
    <row r="267" spans="1:9" ht="14.25" customHeight="1" x14ac:dyDescent="0.3">
      <c r="A267" s="2" t="s">
        <v>2210</v>
      </c>
      <c r="B267" s="2" t="s">
        <v>2211</v>
      </c>
      <c r="C267" s="2" t="s">
        <v>2212</v>
      </c>
      <c r="D267" s="2" t="s">
        <v>1966</v>
      </c>
      <c r="E267" s="2" t="s">
        <v>1155</v>
      </c>
      <c r="F267" s="2" t="s">
        <v>1130</v>
      </c>
      <c r="G267" s="15">
        <f>SUMIF(orders!B:B,A267,orders!F:F)</f>
        <v>0</v>
      </c>
      <c r="H267" s="15">
        <f>COUNTIF(orders!B:B,A267)</f>
        <v>0</v>
      </c>
      <c r="I267" s="15" t="str">
        <f t="shared" si="4"/>
        <v>One-Time Customer</v>
      </c>
    </row>
    <row r="268" spans="1:9" ht="14.25" customHeight="1" x14ac:dyDescent="0.3">
      <c r="A268" s="2" t="s">
        <v>2213</v>
      </c>
      <c r="B268" s="2" t="s">
        <v>2214</v>
      </c>
      <c r="C268" s="2" t="s">
        <v>1506</v>
      </c>
      <c r="D268" s="2" t="s">
        <v>1782</v>
      </c>
      <c r="E268" s="2" t="s">
        <v>1296</v>
      </c>
      <c r="F268" s="2" t="s">
        <v>1117</v>
      </c>
      <c r="G268" s="15">
        <f>SUMIF(orders!B:B,A268,orders!F:F)</f>
        <v>230.51000000000002</v>
      </c>
      <c r="H268" s="15">
        <f>COUNTIF(orders!B:B,A268)</f>
        <v>2</v>
      </c>
      <c r="I268" s="15" t="str">
        <f t="shared" si="4"/>
        <v>Repeat Customer</v>
      </c>
    </row>
    <row r="269" spans="1:9" ht="14.25" customHeight="1" x14ac:dyDescent="0.3">
      <c r="A269" s="2" t="s">
        <v>2215</v>
      </c>
      <c r="B269" s="2" t="s">
        <v>2216</v>
      </c>
      <c r="C269" s="2" t="s">
        <v>1578</v>
      </c>
      <c r="D269" s="2" t="s">
        <v>2124</v>
      </c>
      <c r="E269" s="2" t="s">
        <v>1139</v>
      </c>
      <c r="F269" s="2" t="s">
        <v>1130</v>
      </c>
      <c r="G269" s="15">
        <f>SUMIF(orders!B:B,A269,orders!F:F)</f>
        <v>31.94</v>
      </c>
      <c r="H269" s="15">
        <f>COUNTIF(orders!B:B,A269)</f>
        <v>1</v>
      </c>
      <c r="I269" s="15" t="str">
        <f t="shared" si="4"/>
        <v>One-Time Customer</v>
      </c>
    </row>
    <row r="270" spans="1:9" ht="14.25" customHeight="1" x14ac:dyDescent="0.3">
      <c r="A270" s="2" t="s">
        <v>2217</v>
      </c>
      <c r="B270" s="2" t="s">
        <v>2218</v>
      </c>
      <c r="C270" s="2" t="s">
        <v>2219</v>
      </c>
      <c r="D270" s="2" t="s">
        <v>2220</v>
      </c>
      <c r="E270" s="2" t="s">
        <v>1184</v>
      </c>
      <c r="F270" s="2" t="s">
        <v>1124</v>
      </c>
      <c r="G270" s="15">
        <f>SUMIF(orders!B:B,A270,orders!F:F)</f>
        <v>110.75</v>
      </c>
      <c r="H270" s="15">
        <f>COUNTIF(orders!B:B,A270)</f>
        <v>1</v>
      </c>
      <c r="I270" s="15" t="str">
        <f t="shared" si="4"/>
        <v>One-Time Customer</v>
      </c>
    </row>
    <row r="271" spans="1:9" ht="14.25" customHeight="1" x14ac:dyDescent="0.3">
      <c r="A271" s="2" t="s">
        <v>2221</v>
      </c>
      <c r="B271" s="2" t="s">
        <v>2222</v>
      </c>
      <c r="C271" s="2" t="s">
        <v>1933</v>
      </c>
      <c r="D271" s="2" t="s">
        <v>2223</v>
      </c>
      <c r="E271" s="2" t="s">
        <v>1155</v>
      </c>
      <c r="F271" s="2" t="s">
        <v>1130</v>
      </c>
      <c r="G271" s="15">
        <f>SUMIF(orders!B:B,A271,orders!F:F)</f>
        <v>453.88000000000005</v>
      </c>
      <c r="H271" s="15">
        <f>COUNTIF(orders!B:B,A271)</f>
        <v>3</v>
      </c>
      <c r="I271" s="15" t="str">
        <f t="shared" si="4"/>
        <v>Repeat Customer</v>
      </c>
    </row>
    <row r="272" spans="1:9" ht="14.25" customHeight="1" x14ac:dyDescent="0.3">
      <c r="A272" s="2" t="s">
        <v>2224</v>
      </c>
      <c r="B272" s="2" t="s">
        <v>2225</v>
      </c>
      <c r="C272" s="2" t="s">
        <v>2226</v>
      </c>
      <c r="D272" s="2" t="s">
        <v>1491</v>
      </c>
      <c r="E272" s="2" t="s">
        <v>1155</v>
      </c>
      <c r="F272" s="2" t="s">
        <v>1130</v>
      </c>
      <c r="G272" s="15">
        <f>SUMIF(orders!B:B,A272,orders!F:F)</f>
        <v>0</v>
      </c>
      <c r="H272" s="15">
        <f>COUNTIF(orders!B:B,A272)</f>
        <v>0</v>
      </c>
      <c r="I272" s="15" t="str">
        <f t="shared" si="4"/>
        <v>One-Time Customer</v>
      </c>
    </row>
    <row r="273" spans="1:9" ht="14.25" customHeight="1" x14ac:dyDescent="0.3">
      <c r="A273" s="2" t="s">
        <v>2227</v>
      </c>
      <c r="B273" s="2" t="s">
        <v>2228</v>
      </c>
      <c r="C273" s="2" t="s">
        <v>1397</v>
      </c>
      <c r="D273" s="2" t="s">
        <v>1922</v>
      </c>
      <c r="E273" s="2" t="s">
        <v>1407</v>
      </c>
      <c r="F273" s="2" t="s">
        <v>1118</v>
      </c>
      <c r="G273" s="15">
        <f>SUMIF(orders!B:B,A273,orders!F:F)</f>
        <v>0</v>
      </c>
      <c r="H273" s="15">
        <f>COUNTIF(orders!B:B,A273)</f>
        <v>0</v>
      </c>
      <c r="I273" s="15" t="str">
        <f t="shared" si="4"/>
        <v>One-Time Customer</v>
      </c>
    </row>
    <row r="274" spans="1:9" ht="14.25" customHeight="1" x14ac:dyDescent="0.3">
      <c r="A274" s="2" t="s">
        <v>2229</v>
      </c>
      <c r="B274" s="2" t="s">
        <v>2230</v>
      </c>
      <c r="C274" s="2" t="s">
        <v>1686</v>
      </c>
      <c r="D274" s="2" t="s">
        <v>2231</v>
      </c>
      <c r="E274" s="2" t="s">
        <v>1592</v>
      </c>
      <c r="F274" s="2" t="s">
        <v>1102</v>
      </c>
      <c r="G274" s="15">
        <f>SUMIF(orders!B:B,A274,orders!F:F)</f>
        <v>0</v>
      </c>
      <c r="H274" s="15">
        <f>COUNTIF(orders!B:B,A274)</f>
        <v>0</v>
      </c>
      <c r="I274" s="15" t="str">
        <f t="shared" si="4"/>
        <v>One-Time Customer</v>
      </c>
    </row>
    <row r="275" spans="1:9" ht="14.25" customHeight="1" x14ac:dyDescent="0.3">
      <c r="A275" s="2" t="s">
        <v>2232</v>
      </c>
      <c r="B275" s="2" t="s">
        <v>2233</v>
      </c>
      <c r="C275" s="2" t="s">
        <v>1131</v>
      </c>
      <c r="D275" s="2" t="s">
        <v>2234</v>
      </c>
      <c r="E275" s="2" t="s">
        <v>1151</v>
      </c>
      <c r="F275" s="2" t="s">
        <v>1102</v>
      </c>
      <c r="G275" s="15">
        <f>SUMIF(orders!B:B,A275,orders!F:F)</f>
        <v>0</v>
      </c>
      <c r="H275" s="15">
        <f>COUNTIF(orders!B:B,A275)</f>
        <v>0</v>
      </c>
      <c r="I275" s="15" t="str">
        <f t="shared" si="4"/>
        <v>One-Time Customer</v>
      </c>
    </row>
    <row r="276" spans="1:9" ht="14.25" customHeight="1" x14ac:dyDescent="0.3">
      <c r="A276" s="2" t="s">
        <v>2235</v>
      </c>
      <c r="B276" s="2" t="s">
        <v>2236</v>
      </c>
      <c r="C276" s="2" t="s">
        <v>1755</v>
      </c>
      <c r="D276" s="2" t="s">
        <v>1507</v>
      </c>
      <c r="E276" s="2" t="s">
        <v>1514</v>
      </c>
      <c r="F276" s="2" t="s">
        <v>1130</v>
      </c>
      <c r="G276" s="15">
        <f>SUMIF(orders!B:B,A276,orders!F:F)</f>
        <v>0</v>
      </c>
      <c r="H276" s="15">
        <f>COUNTIF(orders!B:B,A276)</f>
        <v>0</v>
      </c>
      <c r="I276" s="15" t="str">
        <f t="shared" si="4"/>
        <v>One-Time Customer</v>
      </c>
    </row>
    <row r="277" spans="1:9" ht="14.25" customHeight="1" x14ac:dyDescent="0.3">
      <c r="A277" s="2" t="s">
        <v>2237</v>
      </c>
      <c r="B277" s="2" t="s">
        <v>2238</v>
      </c>
      <c r="C277" s="2" t="s">
        <v>2239</v>
      </c>
      <c r="D277" s="2" t="s">
        <v>2124</v>
      </c>
      <c r="E277" s="2" t="s">
        <v>1382</v>
      </c>
      <c r="F277" s="2" t="s">
        <v>1129</v>
      </c>
      <c r="G277" s="15">
        <f>SUMIF(orders!B:B,A277,orders!F:F)</f>
        <v>148.36000000000001</v>
      </c>
      <c r="H277" s="15">
        <f>COUNTIF(orders!B:B,A277)</f>
        <v>2</v>
      </c>
      <c r="I277" s="15" t="str">
        <f t="shared" si="4"/>
        <v>Repeat Customer</v>
      </c>
    </row>
    <row r="278" spans="1:9" ht="14.25" customHeight="1" x14ac:dyDescent="0.3">
      <c r="A278" s="2" t="s">
        <v>2240</v>
      </c>
      <c r="B278" s="2" t="s">
        <v>2241</v>
      </c>
      <c r="C278" s="2" t="s">
        <v>2242</v>
      </c>
      <c r="D278" s="2" t="s">
        <v>1759</v>
      </c>
      <c r="E278" s="2" t="s">
        <v>1109</v>
      </c>
      <c r="F278" s="2" t="s">
        <v>1110</v>
      </c>
      <c r="G278" s="15">
        <f>SUMIF(orders!B:B,A278,orders!F:F)</f>
        <v>0</v>
      </c>
      <c r="H278" s="15">
        <f>COUNTIF(orders!B:B,A278)</f>
        <v>0</v>
      </c>
      <c r="I278" s="15" t="str">
        <f t="shared" si="4"/>
        <v>One-Time Customer</v>
      </c>
    </row>
    <row r="279" spans="1:9" ht="14.25" customHeight="1" x14ac:dyDescent="0.3">
      <c r="A279" s="2" t="s">
        <v>2243</v>
      </c>
      <c r="B279" s="2" t="s">
        <v>2244</v>
      </c>
      <c r="C279" s="2" t="s">
        <v>1727</v>
      </c>
      <c r="D279" s="2" t="s">
        <v>2245</v>
      </c>
      <c r="E279" s="2" t="s">
        <v>1172</v>
      </c>
      <c r="F279" s="2" t="s">
        <v>1118</v>
      </c>
      <c r="G279" s="15">
        <f>SUMIF(orders!B:B,A279,orders!F:F)</f>
        <v>0</v>
      </c>
      <c r="H279" s="15">
        <f>COUNTIF(orders!B:B,A279)</f>
        <v>0</v>
      </c>
      <c r="I279" s="15" t="str">
        <f t="shared" si="4"/>
        <v>One-Time Customer</v>
      </c>
    </row>
    <row r="280" spans="1:9" ht="14.25" customHeight="1" x14ac:dyDescent="0.3">
      <c r="A280" s="2" t="s">
        <v>2246</v>
      </c>
      <c r="B280" s="2" t="s">
        <v>2247</v>
      </c>
      <c r="C280" s="2" t="s">
        <v>1808</v>
      </c>
      <c r="D280" s="2" t="s">
        <v>2248</v>
      </c>
      <c r="E280" s="2" t="s">
        <v>1492</v>
      </c>
      <c r="F280" s="2" t="s">
        <v>1130</v>
      </c>
      <c r="G280" s="15">
        <f>SUMIF(orders!B:B,A280,orders!F:F)</f>
        <v>0</v>
      </c>
      <c r="H280" s="15">
        <f>COUNTIF(orders!B:B,A280)</f>
        <v>0</v>
      </c>
      <c r="I280" s="15" t="str">
        <f t="shared" si="4"/>
        <v>One-Time Customer</v>
      </c>
    </row>
    <row r="281" spans="1:9" ht="14.25" customHeight="1" x14ac:dyDescent="0.3">
      <c r="A281" s="2" t="s">
        <v>2249</v>
      </c>
      <c r="B281" s="2" t="s">
        <v>2250</v>
      </c>
      <c r="C281" s="2" t="s">
        <v>1553</v>
      </c>
      <c r="D281" s="2" t="s">
        <v>2251</v>
      </c>
      <c r="E281" s="2" t="s">
        <v>1359</v>
      </c>
      <c r="F281" s="2" t="s">
        <v>1102</v>
      </c>
      <c r="G281" s="15">
        <f>SUMIF(orders!B:B,A281,orders!F:F)</f>
        <v>0</v>
      </c>
      <c r="H281" s="15">
        <f>COUNTIF(orders!B:B,A281)</f>
        <v>0</v>
      </c>
      <c r="I281" s="15" t="str">
        <f t="shared" si="4"/>
        <v>One-Time Customer</v>
      </c>
    </row>
    <row r="282" spans="1:9" ht="14.25" customHeight="1" x14ac:dyDescent="0.3">
      <c r="A282" s="2" t="s">
        <v>2252</v>
      </c>
      <c r="B282" s="2" t="s">
        <v>2253</v>
      </c>
      <c r="C282" s="2" t="s">
        <v>1862</v>
      </c>
      <c r="D282" s="2" t="s">
        <v>1344</v>
      </c>
      <c r="E282" s="2" t="s">
        <v>1139</v>
      </c>
      <c r="F282" s="2" t="s">
        <v>1130</v>
      </c>
      <c r="G282" s="15">
        <f>SUMIF(orders!B:B,A282,orders!F:F)</f>
        <v>0</v>
      </c>
      <c r="H282" s="15">
        <f>COUNTIF(orders!B:B,A282)</f>
        <v>0</v>
      </c>
      <c r="I282" s="15" t="str">
        <f t="shared" si="4"/>
        <v>One-Time Customer</v>
      </c>
    </row>
    <row r="283" spans="1:9" ht="14.25" customHeight="1" x14ac:dyDescent="0.3">
      <c r="A283" s="2" t="s">
        <v>2254</v>
      </c>
      <c r="B283" s="2" t="s">
        <v>2255</v>
      </c>
      <c r="C283" s="2" t="s">
        <v>1463</v>
      </c>
      <c r="D283" s="2" t="s">
        <v>1500</v>
      </c>
      <c r="E283" s="2" t="s">
        <v>1760</v>
      </c>
      <c r="F283" s="2" t="s">
        <v>1117</v>
      </c>
      <c r="G283" s="15">
        <f>SUMIF(orders!B:B,A283,orders!F:F)</f>
        <v>0</v>
      </c>
      <c r="H283" s="15">
        <f>COUNTIF(orders!B:B,A283)</f>
        <v>0</v>
      </c>
      <c r="I283" s="15" t="str">
        <f t="shared" si="4"/>
        <v>One-Time Customer</v>
      </c>
    </row>
    <row r="284" spans="1:9" ht="14.25" customHeight="1" x14ac:dyDescent="0.3">
      <c r="A284" s="2" t="s">
        <v>2256</v>
      </c>
      <c r="B284" s="2" t="s">
        <v>2257</v>
      </c>
      <c r="C284" s="2" t="s">
        <v>1862</v>
      </c>
      <c r="D284" s="2" t="s">
        <v>1709</v>
      </c>
      <c r="E284" s="2" t="s">
        <v>1728</v>
      </c>
      <c r="F284" s="2" t="s">
        <v>1102</v>
      </c>
      <c r="G284" s="15">
        <f>SUMIF(orders!B:B,A284,orders!F:F)</f>
        <v>0</v>
      </c>
      <c r="H284" s="15">
        <f>COUNTIF(orders!B:B,A284)</f>
        <v>0</v>
      </c>
      <c r="I284" s="15" t="str">
        <f t="shared" si="4"/>
        <v>One-Time Customer</v>
      </c>
    </row>
    <row r="285" spans="1:9" ht="14.25" customHeight="1" x14ac:dyDescent="0.3">
      <c r="A285" s="2" t="s">
        <v>2258</v>
      </c>
      <c r="B285" s="2" t="s">
        <v>2259</v>
      </c>
      <c r="C285" s="2" t="s">
        <v>2260</v>
      </c>
      <c r="D285" s="2" t="s">
        <v>1579</v>
      </c>
      <c r="E285" s="2" t="s">
        <v>1359</v>
      </c>
      <c r="F285" s="2" t="s">
        <v>1102</v>
      </c>
      <c r="G285" s="15">
        <f>SUMIF(orders!B:B,A285,orders!F:F)</f>
        <v>0</v>
      </c>
      <c r="H285" s="15">
        <f>COUNTIF(orders!B:B,A285)</f>
        <v>0</v>
      </c>
      <c r="I285" s="15" t="str">
        <f t="shared" si="4"/>
        <v>One-Time Customer</v>
      </c>
    </row>
    <row r="286" spans="1:9" ht="14.25" customHeight="1" x14ac:dyDescent="0.3">
      <c r="A286" s="2" t="s">
        <v>2261</v>
      </c>
      <c r="B286" s="2" t="s">
        <v>2262</v>
      </c>
      <c r="C286" s="2" t="s">
        <v>1891</v>
      </c>
      <c r="D286" s="2" t="s">
        <v>1670</v>
      </c>
      <c r="E286" s="2" t="s">
        <v>1205</v>
      </c>
      <c r="F286" s="2" t="s">
        <v>1102</v>
      </c>
      <c r="G286" s="15">
        <f>SUMIF(orders!B:B,A286,orders!F:F)</f>
        <v>0</v>
      </c>
      <c r="H286" s="15">
        <f>COUNTIF(orders!B:B,A286)</f>
        <v>0</v>
      </c>
      <c r="I286" s="15" t="str">
        <f t="shared" si="4"/>
        <v>One-Time Customer</v>
      </c>
    </row>
    <row r="287" spans="1:9" ht="14.25" customHeight="1" x14ac:dyDescent="0.3">
      <c r="A287" s="2" t="s">
        <v>2263</v>
      </c>
      <c r="B287" s="2" t="s">
        <v>2264</v>
      </c>
      <c r="C287" s="2" t="s">
        <v>2265</v>
      </c>
      <c r="D287" s="2" t="s">
        <v>1526</v>
      </c>
      <c r="E287" s="2" t="s">
        <v>1235</v>
      </c>
      <c r="F287" s="2" t="s">
        <v>1118</v>
      </c>
      <c r="G287" s="15">
        <f>SUMIF(orders!B:B,A287,orders!F:F)</f>
        <v>0</v>
      </c>
      <c r="H287" s="15">
        <f>COUNTIF(orders!B:B,A287)</f>
        <v>0</v>
      </c>
      <c r="I287" s="15" t="str">
        <f t="shared" si="4"/>
        <v>One-Time Customer</v>
      </c>
    </row>
    <row r="288" spans="1:9" ht="14.25" customHeight="1" x14ac:dyDescent="0.3">
      <c r="A288" s="2" t="s">
        <v>2266</v>
      </c>
      <c r="B288" s="2" t="s">
        <v>2267</v>
      </c>
      <c r="C288" s="2" t="s">
        <v>2268</v>
      </c>
      <c r="D288" s="2" t="s">
        <v>1547</v>
      </c>
      <c r="E288" s="2" t="s">
        <v>1296</v>
      </c>
      <c r="F288" s="2" t="s">
        <v>1117</v>
      </c>
      <c r="G288" s="15">
        <f>SUMIF(orders!B:B,A288,orders!F:F)</f>
        <v>0</v>
      </c>
      <c r="H288" s="15">
        <f>COUNTIF(orders!B:B,A288)</f>
        <v>0</v>
      </c>
      <c r="I288" s="15" t="str">
        <f t="shared" si="4"/>
        <v>One-Time Customer</v>
      </c>
    </row>
    <row r="289" spans="1:9" ht="14.25" customHeight="1" x14ac:dyDescent="0.3">
      <c r="A289" s="2" t="s">
        <v>2269</v>
      </c>
      <c r="B289" s="2" t="s">
        <v>2270</v>
      </c>
      <c r="C289" s="2" t="s">
        <v>2271</v>
      </c>
      <c r="D289" s="2" t="s">
        <v>1709</v>
      </c>
      <c r="E289" s="2" t="s">
        <v>1205</v>
      </c>
      <c r="F289" s="2" t="s">
        <v>1102</v>
      </c>
      <c r="G289" s="15">
        <f>SUMIF(orders!B:B,A289,orders!F:F)</f>
        <v>245.21000000000004</v>
      </c>
      <c r="H289" s="15">
        <f>COUNTIF(orders!B:B,A289)</f>
        <v>2</v>
      </c>
      <c r="I289" s="15" t="str">
        <f t="shared" si="4"/>
        <v>Repeat Customer</v>
      </c>
    </row>
    <row r="290" spans="1:9" ht="14.25" customHeight="1" x14ac:dyDescent="0.3">
      <c r="A290" s="2" t="s">
        <v>2272</v>
      </c>
      <c r="B290" s="2" t="s">
        <v>2273</v>
      </c>
      <c r="C290" s="2" t="s">
        <v>1721</v>
      </c>
      <c r="D290" s="2" t="s">
        <v>1837</v>
      </c>
      <c r="E290" s="2" t="s">
        <v>1296</v>
      </c>
      <c r="F290" s="2" t="s">
        <v>1117</v>
      </c>
      <c r="G290" s="15">
        <f>SUMIF(orders!B:B,A290,orders!F:F)</f>
        <v>0</v>
      </c>
      <c r="H290" s="15">
        <f>COUNTIF(orders!B:B,A290)</f>
        <v>0</v>
      </c>
      <c r="I290" s="15" t="str">
        <f t="shared" si="4"/>
        <v>One-Time Customer</v>
      </c>
    </row>
    <row r="291" spans="1:9" ht="14.25" customHeight="1" x14ac:dyDescent="0.3">
      <c r="A291" s="2" t="s">
        <v>2274</v>
      </c>
      <c r="B291" s="2" t="s">
        <v>2275</v>
      </c>
      <c r="C291" s="2" t="s">
        <v>1598</v>
      </c>
      <c r="D291" s="2" t="s">
        <v>1832</v>
      </c>
      <c r="E291" s="2" t="s">
        <v>1172</v>
      </c>
      <c r="F291" s="2" t="s">
        <v>1118</v>
      </c>
      <c r="G291" s="15">
        <f>SUMIF(orders!B:B,A291,orders!F:F)</f>
        <v>26.810000000000002</v>
      </c>
      <c r="H291" s="15">
        <f>COUNTIF(orders!B:B,A291)</f>
        <v>1</v>
      </c>
      <c r="I291" s="15" t="str">
        <f t="shared" si="4"/>
        <v>One-Time Customer</v>
      </c>
    </row>
    <row r="292" spans="1:9" ht="14.25" customHeight="1" x14ac:dyDescent="0.3">
      <c r="A292" s="2" t="s">
        <v>2276</v>
      </c>
      <c r="B292" s="2" t="s">
        <v>2277</v>
      </c>
      <c r="C292" s="2" t="s">
        <v>2271</v>
      </c>
      <c r="D292" s="2" t="s">
        <v>2278</v>
      </c>
      <c r="E292" s="2" t="s">
        <v>1235</v>
      </c>
      <c r="F292" s="2" t="s">
        <v>1118</v>
      </c>
      <c r="G292" s="15">
        <f>SUMIF(orders!B:B,A292,orders!F:F)</f>
        <v>276.56</v>
      </c>
      <c r="H292" s="15">
        <f>COUNTIF(orders!B:B,A292)</f>
        <v>2</v>
      </c>
      <c r="I292" s="15" t="str">
        <f t="shared" si="4"/>
        <v>Repeat Customer</v>
      </c>
    </row>
    <row r="293" spans="1:9" ht="14.25" customHeight="1" x14ac:dyDescent="0.3">
      <c r="A293" s="2" t="s">
        <v>2279</v>
      </c>
      <c r="B293" s="2" t="s">
        <v>2280</v>
      </c>
      <c r="C293" s="2" t="s">
        <v>2281</v>
      </c>
      <c r="D293" s="2" t="s">
        <v>1709</v>
      </c>
      <c r="E293" s="2" t="s">
        <v>1728</v>
      </c>
      <c r="F293" s="2" t="s">
        <v>1102</v>
      </c>
      <c r="G293" s="15">
        <f>SUMIF(orders!B:B,A293,orders!F:F)</f>
        <v>0</v>
      </c>
      <c r="H293" s="15">
        <f>COUNTIF(orders!B:B,A293)</f>
        <v>0</v>
      </c>
      <c r="I293" s="15" t="str">
        <f t="shared" si="4"/>
        <v>One-Time Customer</v>
      </c>
    </row>
    <row r="294" spans="1:9" ht="14.25" customHeight="1" x14ac:dyDescent="0.3">
      <c r="A294" s="2" t="s">
        <v>2282</v>
      </c>
      <c r="B294" s="2" t="s">
        <v>2283</v>
      </c>
      <c r="C294" s="2" t="s">
        <v>1529</v>
      </c>
      <c r="D294" s="2" t="s">
        <v>2223</v>
      </c>
      <c r="E294" s="2" t="s">
        <v>1575</v>
      </c>
      <c r="F294" s="2" t="s">
        <v>1118</v>
      </c>
      <c r="G294" s="15">
        <f>SUMIF(orders!B:B,A294,orders!F:F)</f>
        <v>0</v>
      </c>
      <c r="H294" s="15">
        <f>COUNTIF(orders!B:B,A294)</f>
        <v>0</v>
      </c>
      <c r="I294" s="15" t="str">
        <f t="shared" si="4"/>
        <v>One-Time Customer</v>
      </c>
    </row>
    <row r="295" spans="1:9" ht="14.25" customHeight="1" x14ac:dyDescent="0.3">
      <c r="A295" s="2" t="s">
        <v>2284</v>
      </c>
      <c r="B295" s="2" t="s">
        <v>2285</v>
      </c>
      <c r="C295" s="2" t="s">
        <v>1503</v>
      </c>
      <c r="D295" s="2" t="s">
        <v>1518</v>
      </c>
      <c r="E295" s="2" t="s">
        <v>1407</v>
      </c>
      <c r="F295" s="2" t="s">
        <v>1118</v>
      </c>
      <c r="G295" s="15">
        <f>SUMIF(orders!B:B,A295,orders!F:F)</f>
        <v>0</v>
      </c>
      <c r="H295" s="15">
        <f>COUNTIF(orders!B:B,A295)</f>
        <v>0</v>
      </c>
      <c r="I295" s="15" t="str">
        <f t="shared" si="4"/>
        <v>One-Time Customer</v>
      </c>
    </row>
    <row r="296" spans="1:9" ht="14.25" customHeight="1" x14ac:dyDescent="0.3">
      <c r="A296" s="2" t="s">
        <v>2286</v>
      </c>
      <c r="B296" s="2" t="s">
        <v>2287</v>
      </c>
      <c r="C296" s="2" t="s">
        <v>2288</v>
      </c>
      <c r="D296" s="2" t="s">
        <v>1587</v>
      </c>
      <c r="E296" s="2" t="s">
        <v>1487</v>
      </c>
      <c r="F296" s="2" t="s">
        <v>1118</v>
      </c>
      <c r="G296" s="15">
        <f>SUMIF(orders!B:B,A296,orders!F:F)</f>
        <v>0</v>
      </c>
      <c r="H296" s="15">
        <f>COUNTIF(orders!B:B,A296)</f>
        <v>0</v>
      </c>
      <c r="I296" s="15" t="str">
        <f t="shared" si="4"/>
        <v>One-Time Customer</v>
      </c>
    </row>
    <row r="297" spans="1:9" ht="14.25" customHeight="1" x14ac:dyDescent="0.3">
      <c r="A297" s="2" t="s">
        <v>2289</v>
      </c>
      <c r="B297" s="2" t="s">
        <v>2290</v>
      </c>
      <c r="C297" s="2" t="s">
        <v>1506</v>
      </c>
      <c r="D297" s="2" t="s">
        <v>1565</v>
      </c>
      <c r="E297" s="2" t="s">
        <v>1487</v>
      </c>
      <c r="F297" s="2" t="s">
        <v>1118</v>
      </c>
      <c r="G297" s="15">
        <f>SUMIF(orders!B:B,A297,orders!F:F)</f>
        <v>0</v>
      </c>
      <c r="H297" s="15">
        <f>COUNTIF(orders!B:B,A297)</f>
        <v>0</v>
      </c>
      <c r="I297" s="15" t="str">
        <f t="shared" si="4"/>
        <v>One-Time Customer</v>
      </c>
    </row>
    <row r="298" spans="1:9" ht="14.25" customHeight="1" x14ac:dyDescent="0.3">
      <c r="A298" s="2" t="s">
        <v>2291</v>
      </c>
      <c r="B298" s="2" t="s">
        <v>2292</v>
      </c>
      <c r="C298" s="2" t="s">
        <v>1971</v>
      </c>
      <c r="D298" s="2" t="s">
        <v>1922</v>
      </c>
      <c r="E298" s="2" t="s">
        <v>1728</v>
      </c>
      <c r="F298" s="2" t="s">
        <v>1102</v>
      </c>
      <c r="G298" s="15">
        <f>SUMIF(orders!B:B,A298,orders!F:F)</f>
        <v>0</v>
      </c>
      <c r="H298" s="15">
        <f>COUNTIF(orders!B:B,A298)</f>
        <v>0</v>
      </c>
      <c r="I298" s="15" t="str">
        <f t="shared" si="4"/>
        <v>One-Time Customer</v>
      </c>
    </row>
    <row r="299" spans="1:9" ht="14.25" customHeight="1" x14ac:dyDescent="0.3">
      <c r="A299" s="2" t="s">
        <v>2293</v>
      </c>
      <c r="B299" s="2" t="s">
        <v>2294</v>
      </c>
      <c r="C299" s="2" t="s">
        <v>1855</v>
      </c>
      <c r="D299" s="2" t="s">
        <v>1153</v>
      </c>
      <c r="E299" s="2" t="s">
        <v>1296</v>
      </c>
      <c r="F299" s="2" t="s">
        <v>1117</v>
      </c>
      <c r="G299" s="15">
        <f>SUMIF(orders!B:B,A299,orders!F:F)</f>
        <v>0</v>
      </c>
      <c r="H299" s="15">
        <f>COUNTIF(orders!B:B,A299)</f>
        <v>0</v>
      </c>
      <c r="I299" s="15" t="str">
        <f t="shared" si="4"/>
        <v>One-Time Customer</v>
      </c>
    </row>
    <row r="300" spans="1:9" ht="14.25" customHeight="1" x14ac:dyDescent="0.3">
      <c r="A300" s="2" t="s">
        <v>2295</v>
      </c>
      <c r="B300" s="2" t="s">
        <v>2296</v>
      </c>
      <c r="C300" s="2" t="s">
        <v>1553</v>
      </c>
      <c r="D300" s="2" t="s">
        <v>1618</v>
      </c>
      <c r="E300" s="2" t="s">
        <v>1116</v>
      </c>
      <c r="F300" s="2" t="s">
        <v>1117</v>
      </c>
      <c r="G300" s="15">
        <f>SUMIF(orders!B:B,A300,orders!F:F)</f>
        <v>0</v>
      </c>
      <c r="H300" s="15">
        <f>COUNTIF(orders!B:B,A300)</f>
        <v>0</v>
      </c>
      <c r="I300" s="15" t="str">
        <f t="shared" si="4"/>
        <v>One-Time Customer</v>
      </c>
    </row>
    <row r="301" spans="1:9" ht="14.25" customHeight="1" x14ac:dyDescent="0.3">
      <c r="A301" s="2" t="s">
        <v>2297</v>
      </c>
      <c r="B301" s="2" t="s">
        <v>2298</v>
      </c>
      <c r="C301" s="2" t="s">
        <v>1282</v>
      </c>
      <c r="D301" s="2" t="s">
        <v>1468</v>
      </c>
      <c r="E301" s="2" t="s">
        <v>1155</v>
      </c>
      <c r="F301" s="2" t="s">
        <v>1130</v>
      </c>
      <c r="G301" s="15">
        <f>SUMIF(orders!B:B,A301,orders!F:F)</f>
        <v>0</v>
      </c>
      <c r="H301" s="15">
        <f>COUNTIF(orders!B:B,A301)</f>
        <v>0</v>
      </c>
      <c r="I301" s="15" t="str">
        <f t="shared" si="4"/>
        <v>One-Time Customer</v>
      </c>
    </row>
    <row r="302" spans="1:9" ht="14.25" customHeight="1" x14ac:dyDescent="0.3">
      <c r="A302" s="2" t="s">
        <v>2299</v>
      </c>
      <c r="B302" s="2" t="s">
        <v>2300</v>
      </c>
      <c r="C302" s="2" t="s">
        <v>1217</v>
      </c>
      <c r="D302" s="2" t="s">
        <v>1742</v>
      </c>
      <c r="E302" s="2" t="s">
        <v>1859</v>
      </c>
      <c r="F302" s="2" t="s">
        <v>1130</v>
      </c>
      <c r="G302" s="15">
        <f>SUMIF(orders!B:B,A302,orders!F:F)</f>
        <v>0</v>
      </c>
      <c r="H302" s="15">
        <f>COUNTIF(orders!B:B,A302)</f>
        <v>0</v>
      </c>
      <c r="I302" s="15" t="str">
        <f t="shared" si="4"/>
        <v>One-Time Customer</v>
      </c>
    </row>
    <row r="303" spans="1:9" ht="14.25" customHeight="1" x14ac:dyDescent="0.3">
      <c r="A303" s="2" t="s">
        <v>2301</v>
      </c>
      <c r="B303" s="2" t="s">
        <v>2302</v>
      </c>
      <c r="C303" s="2" t="s">
        <v>2303</v>
      </c>
      <c r="D303" s="2" t="s">
        <v>1899</v>
      </c>
      <c r="E303" s="2" t="s">
        <v>1454</v>
      </c>
      <c r="F303" s="2" t="s">
        <v>1118</v>
      </c>
      <c r="G303" s="15">
        <f>SUMIF(orders!B:B,A303,orders!F:F)</f>
        <v>244.87</v>
      </c>
      <c r="H303" s="15">
        <f>COUNTIF(orders!B:B,A303)</f>
        <v>2</v>
      </c>
      <c r="I303" s="15" t="str">
        <f t="shared" si="4"/>
        <v>Repeat Customer</v>
      </c>
    </row>
    <row r="304" spans="1:9" ht="14.25" customHeight="1" x14ac:dyDescent="0.3">
      <c r="A304" s="2" t="s">
        <v>2304</v>
      </c>
      <c r="B304" s="2" t="s">
        <v>2305</v>
      </c>
      <c r="C304" s="2" t="s">
        <v>2306</v>
      </c>
      <c r="D304" s="2" t="s">
        <v>1547</v>
      </c>
      <c r="E304" s="2" t="s">
        <v>1474</v>
      </c>
      <c r="F304" s="2" t="s">
        <v>1118</v>
      </c>
      <c r="G304" s="15">
        <f>SUMIF(orders!B:B,A304,orders!F:F)</f>
        <v>30.51</v>
      </c>
      <c r="H304" s="15">
        <f>COUNTIF(orders!B:B,A304)</f>
        <v>1</v>
      </c>
      <c r="I304" s="15" t="str">
        <f t="shared" si="4"/>
        <v>One-Time Customer</v>
      </c>
    </row>
    <row r="305" spans="1:9" ht="14.25" customHeight="1" x14ac:dyDescent="0.3">
      <c r="A305" s="2" t="s">
        <v>2307</v>
      </c>
      <c r="B305" s="2" t="s">
        <v>2308</v>
      </c>
      <c r="C305" s="2" t="s">
        <v>1766</v>
      </c>
      <c r="D305" s="2" t="s">
        <v>1570</v>
      </c>
      <c r="E305" s="2" t="s">
        <v>1592</v>
      </c>
      <c r="F305" s="2" t="s">
        <v>1102</v>
      </c>
      <c r="G305" s="15">
        <f>SUMIF(orders!B:B,A305,orders!F:F)</f>
        <v>0</v>
      </c>
      <c r="H305" s="15">
        <f>COUNTIF(orders!B:B,A305)</f>
        <v>0</v>
      </c>
      <c r="I305" s="15" t="str">
        <f t="shared" si="4"/>
        <v>One-Time Customer</v>
      </c>
    </row>
    <row r="306" spans="1:9" ht="14.25" customHeight="1" x14ac:dyDescent="0.3">
      <c r="A306" s="2" t="s">
        <v>2309</v>
      </c>
      <c r="B306" s="2" t="s">
        <v>2310</v>
      </c>
      <c r="C306" s="2" t="s">
        <v>1617</v>
      </c>
      <c r="D306" s="2" t="s">
        <v>1986</v>
      </c>
      <c r="E306" s="2" t="s">
        <v>1454</v>
      </c>
      <c r="F306" s="2" t="s">
        <v>1118</v>
      </c>
      <c r="G306" s="15">
        <f>SUMIF(orders!B:B,A306,orders!F:F)</f>
        <v>14.89</v>
      </c>
      <c r="H306" s="15">
        <f>COUNTIF(orders!B:B,A306)</f>
        <v>1</v>
      </c>
      <c r="I306" s="15" t="str">
        <f t="shared" si="4"/>
        <v>One-Time Customer</v>
      </c>
    </row>
    <row r="307" spans="1:9" ht="14.25" customHeight="1" x14ac:dyDescent="0.3">
      <c r="A307" s="2" t="s">
        <v>2311</v>
      </c>
      <c r="B307" s="2" t="s">
        <v>2312</v>
      </c>
      <c r="C307" s="2" t="s">
        <v>1727</v>
      </c>
      <c r="D307" s="2" t="s">
        <v>1513</v>
      </c>
      <c r="E307" s="2" t="s">
        <v>1454</v>
      </c>
      <c r="F307" s="2" t="s">
        <v>1118</v>
      </c>
      <c r="G307" s="15">
        <f>SUMIF(orders!B:B,A307,orders!F:F)</f>
        <v>0</v>
      </c>
      <c r="H307" s="15">
        <f>COUNTIF(orders!B:B,A307)</f>
        <v>0</v>
      </c>
      <c r="I307" s="15" t="str">
        <f t="shared" si="4"/>
        <v>One-Time Customer</v>
      </c>
    </row>
    <row r="308" spans="1:9" ht="14.25" customHeight="1" x14ac:dyDescent="0.3">
      <c r="A308" s="2" t="s">
        <v>2313</v>
      </c>
      <c r="B308" s="2" t="s">
        <v>2314</v>
      </c>
      <c r="C308" s="2" t="s">
        <v>2315</v>
      </c>
      <c r="D308" s="2" t="s">
        <v>1666</v>
      </c>
      <c r="E308" s="2" t="s">
        <v>1454</v>
      </c>
      <c r="F308" s="2" t="s">
        <v>1118</v>
      </c>
      <c r="G308" s="15">
        <f>SUMIF(orders!B:B,A308,orders!F:F)</f>
        <v>0</v>
      </c>
      <c r="H308" s="15">
        <f>COUNTIF(orders!B:B,A308)</f>
        <v>0</v>
      </c>
      <c r="I308" s="15" t="str">
        <f t="shared" si="4"/>
        <v>One-Time Customer</v>
      </c>
    </row>
    <row r="309" spans="1:9" ht="14.25" customHeight="1" x14ac:dyDescent="0.3">
      <c r="A309" s="2" t="s">
        <v>2316</v>
      </c>
      <c r="B309" s="2" t="s">
        <v>2317</v>
      </c>
      <c r="C309" s="2" t="s">
        <v>1558</v>
      </c>
      <c r="D309" s="2" t="s">
        <v>1500</v>
      </c>
      <c r="E309" s="2" t="s">
        <v>1575</v>
      </c>
      <c r="F309" s="2" t="s">
        <v>1118</v>
      </c>
      <c r="G309" s="15">
        <f>SUMIF(orders!B:B,A309,orders!F:F)</f>
        <v>0</v>
      </c>
      <c r="H309" s="15">
        <f>COUNTIF(orders!B:B,A309)</f>
        <v>0</v>
      </c>
      <c r="I309" s="15" t="str">
        <f t="shared" si="4"/>
        <v>One-Time Customer</v>
      </c>
    </row>
    <row r="310" spans="1:9" ht="14.25" customHeight="1" x14ac:dyDescent="0.3">
      <c r="A310" s="2" t="s">
        <v>2318</v>
      </c>
      <c r="B310" s="2" t="s">
        <v>2319</v>
      </c>
      <c r="C310" s="2" t="s">
        <v>1503</v>
      </c>
      <c r="D310" s="2" t="s">
        <v>1618</v>
      </c>
      <c r="E310" s="2" t="s">
        <v>1934</v>
      </c>
      <c r="F310" s="2" t="s">
        <v>1130</v>
      </c>
      <c r="G310" s="15">
        <f>SUMIF(orders!B:B,A310,orders!F:F)</f>
        <v>0</v>
      </c>
      <c r="H310" s="15">
        <f>COUNTIF(orders!B:B,A310)</f>
        <v>0</v>
      </c>
      <c r="I310" s="15" t="str">
        <f t="shared" si="4"/>
        <v>One-Time Customer</v>
      </c>
    </row>
    <row r="311" spans="1:9" ht="14.25" customHeight="1" x14ac:dyDescent="0.3">
      <c r="A311" s="2" t="s">
        <v>2320</v>
      </c>
      <c r="B311" s="2" t="s">
        <v>2321</v>
      </c>
      <c r="C311" s="2" t="s">
        <v>1608</v>
      </c>
      <c r="D311" s="2" t="s">
        <v>1698</v>
      </c>
      <c r="E311" s="2" t="s">
        <v>1116</v>
      </c>
      <c r="F311" s="2" t="s">
        <v>1117</v>
      </c>
      <c r="G311" s="15">
        <f>SUMIF(orders!B:B,A311,orders!F:F)</f>
        <v>0</v>
      </c>
      <c r="H311" s="15">
        <f>COUNTIF(orders!B:B,A311)</f>
        <v>0</v>
      </c>
      <c r="I311" s="15" t="str">
        <f t="shared" si="4"/>
        <v>One-Time Customer</v>
      </c>
    </row>
    <row r="312" spans="1:9" ht="14.25" customHeight="1" x14ac:dyDescent="0.3">
      <c r="A312" s="2" t="s">
        <v>2322</v>
      </c>
      <c r="B312" s="2" t="s">
        <v>2323</v>
      </c>
      <c r="C312" s="2" t="s">
        <v>1733</v>
      </c>
      <c r="D312" s="2" t="s">
        <v>2146</v>
      </c>
      <c r="E312" s="2" t="s">
        <v>1151</v>
      </c>
      <c r="F312" s="2" t="s">
        <v>1102</v>
      </c>
      <c r="G312" s="15">
        <f>SUMIF(orders!B:B,A312,orders!F:F)</f>
        <v>0</v>
      </c>
      <c r="H312" s="15">
        <f>COUNTIF(orders!B:B,A312)</f>
        <v>0</v>
      </c>
      <c r="I312" s="15" t="str">
        <f t="shared" si="4"/>
        <v>One-Time Customer</v>
      </c>
    </row>
    <row r="313" spans="1:9" ht="14.25" customHeight="1" x14ac:dyDescent="0.3">
      <c r="A313" s="2" t="s">
        <v>2324</v>
      </c>
      <c r="B313" s="2" t="s">
        <v>2325</v>
      </c>
      <c r="C313" s="2" t="s">
        <v>2067</v>
      </c>
      <c r="D313" s="2" t="s">
        <v>1947</v>
      </c>
      <c r="E313" s="2" t="s">
        <v>1575</v>
      </c>
      <c r="F313" s="2" t="s">
        <v>1118</v>
      </c>
      <c r="G313" s="15">
        <f>SUMIF(orders!B:B,A313,orders!F:F)</f>
        <v>0</v>
      </c>
      <c r="H313" s="15">
        <f>COUNTIF(orders!B:B,A313)</f>
        <v>0</v>
      </c>
      <c r="I313" s="15" t="str">
        <f t="shared" si="4"/>
        <v>One-Time Customer</v>
      </c>
    </row>
    <row r="314" spans="1:9" ht="14.25" customHeight="1" x14ac:dyDescent="0.3">
      <c r="A314" s="2" t="s">
        <v>2326</v>
      </c>
      <c r="B314" s="2" t="s">
        <v>2327</v>
      </c>
      <c r="C314" s="2" t="s">
        <v>1758</v>
      </c>
      <c r="D314" s="2" t="s">
        <v>1522</v>
      </c>
      <c r="E314" s="2" t="s">
        <v>1313</v>
      </c>
      <c r="F314" s="2" t="s">
        <v>1129</v>
      </c>
      <c r="G314" s="15">
        <f>SUMIF(orders!B:B,A314,orders!F:F)</f>
        <v>0</v>
      </c>
      <c r="H314" s="15">
        <f>COUNTIF(orders!B:B,A314)</f>
        <v>0</v>
      </c>
      <c r="I314" s="15" t="str">
        <f t="shared" si="4"/>
        <v>One-Time Customer</v>
      </c>
    </row>
    <row r="315" spans="1:9" ht="14.25" customHeight="1" x14ac:dyDescent="0.3">
      <c r="A315" s="2" t="s">
        <v>2328</v>
      </c>
      <c r="B315" s="2" t="s">
        <v>2329</v>
      </c>
      <c r="C315" s="2" t="s">
        <v>1965</v>
      </c>
      <c r="D315" s="2" t="s">
        <v>1739</v>
      </c>
      <c r="E315" s="2" t="s">
        <v>1319</v>
      </c>
      <c r="F315" s="2" t="s">
        <v>1118</v>
      </c>
      <c r="G315" s="15">
        <f>SUMIF(orders!B:B,A315,orders!F:F)</f>
        <v>0</v>
      </c>
      <c r="H315" s="15">
        <f>COUNTIF(orders!B:B,A315)</f>
        <v>0</v>
      </c>
      <c r="I315" s="15" t="str">
        <f t="shared" si="4"/>
        <v>One-Time Customer</v>
      </c>
    </row>
    <row r="316" spans="1:9" ht="14.25" customHeight="1" x14ac:dyDescent="0.3">
      <c r="A316" s="2" t="s">
        <v>2330</v>
      </c>
      <c r="B316" s="2" t="s">
        <v>2331</v>
      </c>
      <c r="C316" s="2" t="s">
        <v>1506</v>
      </c>
      <c r="D316" s="2" t="s">
        <v>1785</v>
      </c>
      <c r="E316" s="2" t="s">
        <v>1728</v>
      </c>
      <c r="F316" s="2" t="s">
        <v>1102</v>
      </c>
      <c r="G316" s="15">
        <f>SUMIF(orders!B:B,A316,orders!F:F)</f>
        <v>0</v>
      </c>
      <c r="H316" s="15">
        <f>COUNTIF(orders!B:B,A316)</f>
        <v>0</v>
      </c>
      <c r="I316" s="15" t="str">
        <f t="shared" si="4"/>
        <v>One-Time Customer</v>
      </c>
    </row>
    <row r="317" spans="1:9" ht="14.25" customHeight="1" x14ac:dyDescent="0.3">
      <c r="A317" s="2" t="s">
        <v>2332</v>
      </c>
      <c r="B317" s="2" t="s">
        <v>2333</v>
      </c>
      <c r="C317" s="2" t="s">
        <v>1131</v>
      </c>
      <c r="D317" s="2" t="s">
        <v>1712</v>
      </c>
      <c r="E317" s="2" t="s">
        <v>1139</v>
      </c>
      <c r="F317" s="2" t="s">
        <v>1130</v>
      </c>
      <c r="G317" s="15">
        <f>SUMIF(orders!B:B,A317,orders!F:F)</f>
        <v>111.09</v>
      </c>
      <c r="H317" s="15">
        <f>COUNTIF(orders!B:B,A317)</f>
        <v>2</v>
      </c>
      <c r="I317" s="15" t="str">
        <f t="shared" si="4"/>
        <v>Repeat Customer</v>
      </c>
    </row>
    <row r="318" spans="1:9" ht="14.25" customHeight="1" x14ac:dyDescent="0.3">
      <c r="A318" s="2" t="s">
        <v>2334</v>
      </c>
      <c r="B318" s="2" t="s">
        <v>2335</v>
      </c>
      <c r="C318" s="2" t="s">
        <v>1736</v>
      </c>
      <c r="D318" s="2" t="s">
        <v>1919</v>
      </c>
      <c r="E318" s="2" t="s">
        <v>1934</v>
      </c>
      <c r="F318" s="2" t="s">
        <v>1130</v>
      </c>
      <c r="G318" s="15">
        <f>SUMIF(orders!B:B,A318,orders!F:F)</f>
        <v>36.04</v>
      </c>
      <c r="H318" s="15">
        <f>COUNTIF(orders!B:B,A318)</f>
        <v>1</v>
      </c>
      <c r="I318" s="15" t="str">
        <f t="shared" si="4"/>
        <v>One-Time Customer</v>
      </c>
    </row>
    <row r="319" spans="1:9" ht="14.25" customHeight="1" x14ac:dyDescent="0.3">
      <c r="A319" s="2" t="s">
        <v>2336</v>
      </c>
      <c r="B319" s="2" t="s">
        <v>2337</v>
      </c>
      <c r="C319" s="2" t="s">
        <v>1766</v>
      </c>
      <c r="D319" s="2" t="s">
        <v>1837</v>
      </c>
      <c r="E319" s="2" t="s">
        <v>1760</v>
      </c>
      <c r="F319" s="2" t="s">
        <v>1117</v>
      </c>
      <c r="G319" s="15">
        <f>SUMIF(orders!B:B,A319,orders!F:F)</f>
        <v>0</v>
      </c>
      <c r="H319" s="15">
        <f>COUNTIF(orders!B:B,A319)</f>
        <v>0</v>
      </c>
      <c r="I319" s="15" t="str">
        <f t="shared" si="4"/>
        <v>One-Time Customer</v>
      </c>
    </row>
    <row r="320" spans="1:9" ht="14.25" customHeight="1" x14ac:dyDescent="0.3">
      <c r="A320" s="2" t="s">
        <v>2338</v>
      </c>
      <c r="B320" s="2" t="s">
        <v>2339</v>
      </c>
      <c r="C320" s="2" t="s">
        <v>1855</v>
      </c>
      <c r="D320" s="2" t="s">
        <v>1500</v>
      </c>
      <c r="E320" s="2" t="s">
        <v>1454</v>
      </c>
      <c r="F320" s="2" t="s">
        <v>1118</v>
      </c>
      <c r="G320" s="15">
        <f>SUMIF(orders!B:B,A320,orders!F:F)</f>
        <v>62.92</v>
      </c>
      <c r="H320" s="15">
        <f>COUNTIF(orders!B:B,A320)</f>
        <v>1</v>
      </c>
      <c r="I320" s="15" t="str">
        <f t="shared" si="4"/>
        <v>One-Time Customer</v>
      </c>
    </row>
    <row r="321" spans="1:9" ht="14.25" customHeight="1" x14ac:dyDescent="0.3">
      <c r="A321" s="2" t="s">
        <v>2340</v>
      </c>
      <c r="B321" s="2" t="s">
        <v>2341</v>
      </c>
      <c r="C321" s="2" t="s">
        <v>1558</v>
      </c>
      <c r="D321" s="2" t="s">
        <v>1618</v>
      </c>
      <c r="E321" s="2" t="s">
        <v>1296</v>
      </c>
      <c r="F321" s="2" t="s">
        <v>1117</v>
      </c>
      <c r="G321" s="15">
        <f>SUMIF(orders!B:B,A321,orders!F:F)</f>
        <v>0</v>
      </c>
      <c r="H321" s="15">
        <f>COUNTIF(orders!B:B,A321)</f>
        <v>0</v>
      </c>
      <c r="I321" s="15" t="str">
        <f t="shared" si="4"/>
        <v>One-Time Customer</v>
      </c>
    </row>
    <row r="322" spans="1:9" ht="14.25" customHeight="1" x14ac:dyDescent="0.3">
      <c r="A322" s="2" t="s">
        <v>2342</v>
      </c>
      <c r="B322" s="2" t="s">
        <v>2343</v>
      </c>
      <c r="C322" s="2" t="s">
        <v>2344</v>
      </c>
      <c r="D322" s="2" t="s">
        <v>2345</v>
      </c>
      <c r="E322" s="2" t="s">
        <v>1198</v>
      </c>
      <c r="F322" s="2" t="s">
        <v>1117</v>
      </c>
      <c r="G322" s="15">
        <f>SUMIF(orders!B:B,A322,orders!F:F)</f>
        <v>192.98999999999998</v>
      </c>
      <c r="H322" s="15">
        <f>COUNTIF(orders!B:B,A322)</f>
        <v>2</v>
      </c>
      <c r="I322" s="15" t="str">
        <f t="shared" ref="I322:I366" si="5">IF(H322&gt;1,"Repeat Customer","One-Time Customer")</f>
        <v>Repeat Customer</v>
      </c>
    </row>
    <row r="323" spans="1:9" ht="14.25" customHeight="1" x14ac:dyDescent="0.3">
      <c r="A323" s="2" t="s">
        <v>2346</v>
      </c>
      <c r="B323" s="2" t="s">
        <v>2347</v>
      </c>
      <c r="C323" s="2" t="s">
        <v>1503</v>
      </c>
      <c r="D323" s="2" t="s">
        <v>1153</v>
      </c>
      <c r="E323" s="2" t="s">
        <v>1180</v>
      </c>
      <c r="F323" s="2" t="s">
        <v>1130</v>
      </c>
      <c r="G323" s="15">
        <f>SUMIF(orders!B:B,A323,orders!F:F)</f>
        <v>0</v>
      </c>
      <c r="H323" s="15">
        <f>COUNTIF(orders!B:B,A323)</f>
        <v>0</v>
      </c>
      <c r="I323" s="15" t="str">
        <f t="shared" si="5"/>
        <v>One-Time Customer</v>
      </c>
    </row>
    <row r="324" spans="1:9" ht="14.25" customHeight="1" x14ac:dyDescent="0.3">
      <c r="A324" s="2" t="s">
        <v>2348</v>
      </c>
      <c r="B324" s="2" t="s">
        <v>2349</v>
      </c>
      <c r="C324" s="2" t="s">
        <v>1310</v>
      </c>
      <c r="D324" s="2" t="s">
        <v>1709</v>
      </c>
      <c r="E324" s="2" t="s">
        <v>1654</v>
      </c>
      <c r="F324" s="2" t="s">
        <v>1110</v>
      </c>
      <c r="G324" s="15">
        <f>SUMIF(orders!B:B,A324,orders!F:F)</f>
        <v>0</v>
      </c>
      <c r="H324" s="15">
        <f>COUNTIF(orders!B:B,A324)</f>
        <v>0</v>
      </c>
      <c r="I324" s="15" t="str">
        <f t="shared" si="5"/>
        <v>One-Time Customer</v>
      </c>
    </row>
    <row r="325" spans="1:9" ht="14.25" customHeight="1" x14ac:dyDescent="0.3">
      <c r="A325" s="2" t="s">
        <v>2350</v>
      </c>
      <c r="B325" s="2" t="s">
        <v>2351</v>
      </c>
      <c r="C325" s="2" t="s">
        <v>1736</v>
      </c>
      <c r="D325" s="2" t="s">
        <v>1832</v>
      </c>
      <c r="E325" s="2" t="s">
        <v>1454</v>
      </c>
      <c r="F325" s="2" t="s">
        <v>1118</v>
      </c>
      <c r="G325" s="15">
        <f>SUMIF(orders!B:B,A325,orders!F:F)</f>
        <v>104.03</v>
      </c>
      <c r="H325" s="15">
        <f>COUNTIF(orders!B:B,A325)</f>
        <v>1</v>
      </c>
      <c r="I325" s="15" t="str">
        <f t="shared" si="5"/>
        <v>One-Time Customer</v>
      </c>
    </row>
    <row r="326" spans="1:9" ht="14.25" customHeight="1" x14ac:dyDescent="0.3">
      <c r="A326" s="2" t="s">
        <v>2352</v>
      </c>
      <c r="B326" s="2" t="s">
        <v>2353</v>
      </c>
      <c r="C326" s="2" t="s">
        <v>1485</v>
      </c>
      <c r="D326" s="2" t="s">
        <v>2022</v>
      </c>
      <c r="E326" s="2" t="s">
        <v>1454</v>
      </c>
      <c r="F326" s="2" t="s">
        <v>1118</v>
      </c>
      <c r="G326" s="15">
        <f>SUMIF(orders!B:B,A326,orders!F:F)</f>
        <v>0</v>
      </c>
      <c r="H326" s="15">
        <f>COUNTIF(orders!B:B,A326)</f>
        <v>0</v>
      </c>
      <c r="I326" s="15" t="str">
        <f t="shared" si="5"/>
        <v>One-Time Customer</v>
      </c>
    </row>
    <row r="327" spans="1:9" ht="14.25" customHeight="1" x14ac:dyDescent="0.3">
      <c r="A327" s="2" t="s">
        <v>2354</v>
      </c>
      <c r="B327" s="2" t="s">
        <v>2355</v>
      </c>
      <c r="C327" s="2" t="s">
        <v>1831</v>
      </c>
      <c r="D327" s="2" t="s">
        <v>1482</v>
      </c>
      <c r="E327" s="2" t="s">
        <v>1155</v>
      </c>
      <c r="F327" s="2" t="s">
        <v>1130</v>
      </c>
      <c r="G327" s="15">
        <f>SUMIF(orders!B:B,A327,orders!F:F)</f>
        <v>55.94</v>
      </c>
      <c r="H327" s="15">
        <f>COUNTIF(orders!B:B,A327)</f>
        <v>1</v>
      </c>
      <c r="I327" s="15" t="str">
        <f t="shared" si="5"/>
        <v>One-Time Customer</v>
      </c>
    </row>
    <row r="328" spans="1:9" ht="14.25" customHeight="1" x14ac:dyDescent="0.3">
      <c r="A328" s="2" t="s">
        <v>2356</v>
      </c>
      <c r="B328" s="2" t="s">
        <v>2357</v>
      </c>
      <c r="C328" s="2" t="s">
        <v>1940</v>
      </c>
      <c r="D328" s="2" t="s">
        <v>2358</v>
      </c>
      <c r="E328" s="2" t="s">
        <v>1555</v>
      </c>
      <c r="F328" s="2" t="s">
        <v>1118</v>
      </c>
      <c r="G328" s="15">
        <f>SUMIF(orders!B:B,A328,orders!F:F)</f>
        <v>0</v>
      </c>
      <c r="H328" s="15">
        <f>COUNTIF(orders!B:B,A328)</f>
        <v>0</v>
      </c>
      <c r="I328" s="15" t="str">
        <f t="shared" si="5"/>
        <v>One-Time Customer</v>
      </c>
    </row>
    <row r="329" spans="1:9" ht="14.25" customHeight="1" x14ac:dyDescent="0.3">
      <c r="A329" s="2" t="s">
        <v>2359</v>
      </c>
      <c r="B329" s="2" t="s">
        <v>2360</v>
      </c>
      <c r="C329" s="2" t="s">
        <v>1693</v>
      </c>
      <c r="D329" s="2" t="s">
        <v>1666</v>
      </c>
      <c r="E329" s="2" t="s">
        <v>1658</v>
      </c>
      <c r="F329" s="2" t="s">
        <v>1117</v>
      </c>
      <c r="G329" s="15">
        <f>SUMIF(orders!B:B,A329,orders!F:F)</f>
        <v>0</v>
      </c>
      <c r="H329" s="15">
        <f>COUNTIF(orders!B:B,A329)</f>
        <v>0</v>
      </c>
      <c r="I329" s="15" t="str">
        <f t="shared" si="5"/>
        <v>One-Time Customer</v>
      </c>
    </row>
    <row r="330" spans="1:9" ht="14.25" customHeight="1" x14ac:dyDescent="0.3">
      <c r="A330" s="2" t="s">
        <v>2361</v>
      </c>
      <c r="B330" s="2" t="s">
        <v>2362</v>
      </c>
      <c r="C330" s="2" t="s">
        <v>1131</v>
      </c>
      <c r="D330" s="2" t="s">
        <v>2363</v>
      </c>
      <c r="E330" s="2" t="s">
        <v>1454</v>
      </c>
      <c r="F330" s="2" t="s">
        <v>1118</v>
      </c>
      <c r="G330" s="15">
        <f>SUMIF(orders!B:B,A330,orders!F:F)</f>
        <v>112.41000000000001</v>
      </c>
      <c r="H330" s="15">
        <f>COUNTIF(orders!B:B,A330)</f>
        <v>2</v>
      </c>
      <c r="I330" s="15" t="str">
        <f t="shared" si="5"/>
        <v>Repeat Customer</v>
      </c>
    </row>
    <row r="331" spans="1:9" ht="14.25" customHeight="1" x14ac:dyDescent="0.3">
      <c r="A331" s="2" t="s">
        <v>2364</v>
      </c>
      <c r="B331" s="2" t="s">
        <v>2365</v>
      </c>
      <c r="C331" s="2" t="s">
        <v>1971</v>
      </c>
      <c r="D331" s="2" t="s">
        <v>1565</v>
      </c>
      <c r="E331" s="2" t="s">
        <v>1116</v>
      </c>
      <c r="F331" s="2" t="s">
        <v>1117</v>
      </c>
      <c r="G331" s="15">
        <f>SUMIF(orders!B:B,A331,orders!F:F)</f>
        <v>189.74</v>
      </c>
      <c r="H331" s="15">
        <f>COUNTIF(orders!B:B,A331)</f>
        <v>2</v>
      </c>
      <c r="I331" s="15" t="str">
        <f t="shared" si="5"/>
        <v>Repeat Customer</v>
      </c>
    </row>
    <row r="332" spans="1:9" ht="14.25" customHeight="1" x14ac:dyDescent="0.3">
      <c r="A332" s="2" t="s">
        <v>2366</v>
      </c>
      <c r="B332" s="2" t="s">
        <v>2367</v>
      </c>
      <c r="C332" s="2" t="s">
        <v>1736</v>
      </c>
      <c r="D332" s="2" t="s">
        <v>1657</v>
      </c>
      <c r="E332" s="2" t="s">
        <v>1407</v>
      </c>
      <c r="F332" s="2" t="s">
        <v>1118</v>
      </c>
      <c r="G332" s="15">
        <f>SUMIF(orders!B:B,A332,orders!F:F)</f>
        <v>0</v>
      </c>
      <c r="H332" s="15">
        <f>COUNTIF(orders!B:B,A332)</f>
        <v>0</v>
      </c>
      <c r="I332" s="15" t="str">
        <f t="shared" si="5"/>
        <v>One-Time Customer</v>
      </c>
    </row>
    <row r="333" spans="1:9" ht="14.25" customHeight="1" x14ac:dyDescent="0.3">
      <c r="A333" s="2" t="s">
        <v>2368</v>
      </c>
      <c r="B333" s="2" t="s">
        <v>2369</v>
      </c>
      <c r="C333" s="2" t="s">
        <v>1788</v>
      </c>
      <c r="D333" s="2" t="s">
        <v>1982</v>
      </c>
      <c r="E333" s="2" t="s">
        <v>1270</v>
      </c>
      <c r="F333" s="2" t="s">
        <v>1130</v>
      </c>
      <c r="G333" s="15">
        <f>SUMIF(orders!B:B,A333,orders!F:F)</f>
        <v>0</v>
      </c>
      <c r="H333" s="15">
        <f>COUNTIF(orders!B:B,A333)</f>
        <v>0</v>
      </c>
      <c r="I333" s="15" t="str">
        <f t="shared" si="5"/>
        <v>One-Time Customer</v>
      </c>
    </row>
    <row r="334" spans="1:9" ht="14.25" customHeight="1" x14ac:dyDescent="0.3">
      <c r="A334" s="2" t="s">
        <v>2370</v>
      </c>
      <c r="B334" s="2" t="s">
        <v>2371</v>
      </c>
      <c r="C334" s="2" t="s">
        <v>2372</v>
      </c>
      <c r="D334" s="2" t="s">
        <v>2373</v>
      </c>
      <c r="E334" s="2" t="s">
        <v>1172</v>
      </c>
      <c r="F334" s="2" t="s">
        <v>1118</v>
      </c>
      <c r="G334" s="15">
        <f>SUMIF(orders!B:B,A334,orders!F:F)</f>
        <v>0</v>
      </c>
      <c r="H334" s="15">
        <f>COUNTIF(orders!B:B,A334)</f>
        <v>0</v>
      </c>
      <c r="I334" s="15" t="str">
        <f t="shared" si="5"/>
        <v>One-Time Customer</v>
      </c>
    </row>
    <row r="335" spans="1:9" ht="14.25" customHeight="1" x14ac:dyDescent="0.3">
      <c r="A335" s="2" t="s">
        <v>2374</v>
      </c>
      <c r="B335" s="2" t="s">
        <v>2375</v>
      </c>
      <c r="C335" s="2" t="s">
        <v>1808</v>
      </c>
      <c r="D335" s="2" t="s">
        <v>1709</v>
      </c>
      <c r="E335" s="2" t="s">
        <v>1934</v>
      </c>
      <c r="F335" s="2" t="s">
        <v>1130</v>
      </c>
      <c r="G335" s="15">
        <f>SUMIF(orders!B:B,A335,orders!F:F)</f>
        <v>0</v>
      </c>
      <c r="H335" s="15">
        <f>COUNTIF(orders!B:B,A335)</f>
        <v>0</v>
      </c>
      <c r="I335" s="15" t="str">
        <f t="shared" si="5"/>
        <v>One-Time Customer</v>
      </c>
    </row>
    <row r="336" spans="1:9" ht="14.25" customHeight="1" x14ac:dyDescent="0.3">
      <c r="A336" s="2" t="s">
        <v>2376</v>
      </c>
      <c r="B336" s="2" t="s">
        <v>2377</v>
      </c>
      <c r="C336" s="2" t="s">
        <v>2378</v>
      </c>
      <c r="D336" s="2" t="s">
        <v>1879</v>
      </c>
      <c r="E336" s="2" t="s">
        <v>1155</v>
      </c>
      <c r="F336" s="2" t="s">
        <v>1130</v>
      </c>
      <c r="G336" s="15">
        <f>SUMIF(orders!B:B,A336,orders!F:F)</f>
        <v>64.47</v>
      </c>
      <c r="H336" s="15">
        <f>COUNTIF(orders!B:B,A336)</f>
        <v>2</v>
      </c>
      <c r="I336" s="15" t="str">
        <f t="shared" si="5"/>
        <v>Repeat Customer</v>
      </c>
    </row>
    <row r="337" spans="1:9" ht="14.25" customHeight="1" x14ac:dyDescent="0.3">
      <c r="A337" s="2" t="s">
        <v>2379</v>
      </c>
      <c r="B337" s="2" t="s">
        <v>2380</v>
      </c>
      <c r="C337" s="2" t="s">
        <v>1481</v>
      </c>
      <c r="D337" s="2" t="s">
        <v>1518</v>
      </c>
      <c r="E337" s="2" t="s">
        <v>1359</v>
      </c>
      <c r="F337" s="2" t="s">
        <v>1102</v>
      </c>
      <c r="G337" s="15">
        <f>SUMIF(orders!B:B,A337,orders!F:F)</f>
        <v>121.58000000000001</v>
      </c>
      <c r="H337" s="15">
        <f>COUNTIF(orders!B:B,A337)</f>
        <v>2</v>
      </c>
      <c r="I337" s="15" t="str">
        <f t="shared" si="5"/>
        <v>Repeat Customer</v>
      </c>
    </row>
    <row r="338" spans="1:9" ht="14.25" customHeight="1" x14ac:dyDescent="0.3">
      <c r="A338" s="2" t="s">
        <v>2381</v>
      </c>
      <c r="B338" s="2" t="s">
        <v>2382</v>
      </c>
      <c r="C338" s="2" t="s">
        <v>1457</v>
      </c>
      <c r="D338" s="2" t="s">
        <v>1986</v>
      </c>
      <c r="E338" s="2" t="s">
        <v>1454</v>
      </c>
      <c r="F338" s="2" t="s">
        <v>1118</v>
      </c>
      <c r="G338" s="15">
        <f>SUMIF(orders!B:B,A338,orders!F:F)</f>
        <v>0</v>
      </c>
      <c r="H338" s="15">
        <f>COUNTIF(orders!B:B,A338)</f>
        <v>0</v>
      </c>
      <c r="I338" s="15" t="str">
        <f t="shared" si="5"/>
        <v>One-Time Customer</v>
      </c>
    </row>
    <row r="339" spans="1:9" ht="14.25" customHeight="1" x14ac:dyDescent="0.3">
      <c r="A339" s="2" t="s">
        <v>2383</v>
      </c>
      <c r="B339" s="2" t="s">
        <v>2384</v>
      </c>
      <c r="C339" s="2" t="s">
        <v>1632</v>
      </c>
      <c r="D339" s="2" t="s">
        <v>2223</v>
      </c>
      <c r="E339" s="2" t="s">
        <v>1934</v>
      </c>
      <c r="F339" s="2" t="s">
        <v>1130</v>
      </c>
      <c r="G339" s="15">
        <f>SUMIF(orders!B:B,A339,orders!F:F)</f>
        <v>138.14999999999998</v>
      </c>
      <c r="H339" s="15">
        <f>COUNTIF(orders!B:B,A339)</f>
        <v>2</v>
      </c>
      <c r="I339" s="15" t="str">
        <f t="shared" si="5"/>
        <v>Repeat Customer</v>
      </c>
    </row>
    <row r="340" spans="1:9" ht="14.25" customHeight="1" x14ac:dyDescent="0.3">
      <c r="A340" s="2" t="s">
        <v>2385</v>
      </c>
      <c r="B340" s="2" t="s">
        <v>2386</v>
      </c>
      <c r="C340" s="2" t="s">
        <v>1971</v>
      </c>
      <c r="D340" s="2" t="s">
        <v>2015</v>
      </c>
      <c r="E340" s="2" t="s">
        <v>1407</v>
      </c>
      <c r="F340" s="2" t="s">
        <v>1118</v>
      </c>
      <c r="G340" s="15">
        <f>SUMIF(orders!B:B,A340,orders!F:F)</f>
        <v>0</v>
      </c>
      <c r="H340" s="15">
        <f>COUNTIF(orders!B:B,A340)</f>
        <v>0</v>
      </c>
      <c r="I340" s="15" t="str">
        <f t="shared" si="5"/>
        <v>One-Time Customer</v>
      </c>
    </row>
    <row r="341" spans="1:9" ht="14.25" customHeight="1" x14ac:dyDescent="0.3">
      <c r="A341" s="2" t="s">
        <v>2387</v>
      </c>
      <c r="B341" s="2" t="s">
        <v>2388</v>
      </c>
      <c r="C341" s="2" t="s">
        <v>1595</v>
      </c>
      <c r="D341" s="2" t="s">
        <v>1153</v>
      </c>
      <c r="E341" s="2" t="s">
        <v>1342</v>
      </c>
      <c r="F341" s="2" t="s">
        <v>1102</v>
      </c>
      <c r="G341" s="15">
        <f>SUMIF(orders!B:B,A341,orders!F:F)</f>
        <v>110.06</v>
      </c>
      <c r="H341" s="15">
        <f>COUNTIF(orders!B:B,A341)</f>
        <v>2</v>
      </c>
      <c r="I341" s="15" t="str">
        <f t="shared" si="5"/>
        <v>Repeat Customer</v>
      </c>
    </row>
    <row r="342" spans="1:9" ht="14.25" customHeight="1" x14ac:dyDescent="0.3">
      <c r="A342" s="2" t="s">
        <v>2389</v>
      </c>
      <c r="B342" s="2" t="s">
        <v>2390</v>
      </c>
      <c r="C342" s="2" t="s">
        <v>2288</v>
      </c>
      <c r="D342" s="2" t="s">
        <v>1554</v>
      </c>
      <c r="E342" s="2" t="s">
        <v>1155</v>
      </c>
      <c r="F342" s="2" t="s">
        <v>1130</v>
      </c>
      <c r="G342" s="15">
        <f>SUMIF(orders!B:B,A342,orders!F:F)</f>
        <v>318.7</v>
      </c>
      <c r="H342" s="15">
        <f>COUNTIF(orders!B:B,A342)</f>
        <v>2</v>
      </c>
      <c r="I342" s="15" t="str">
        <f t="shared" si="5"/>
        <v>Repeat Customer</v>
      </c>
    </row>
    <row r="343" spans="1:9" ht="14.25" customHeight="1" x14ac:dyDescent="0.3">
      <c r="A343" s="2" t="s">
        <v>2391</v>
      </c>
      <c r="B343" s="2" t="s">
        <v>2392</v>
      </c>
      <c r="C343" s="2" t="s">
        <v>1499</v>
      </c>
      <c r="D343" s="2" t="s">
        <v>1657</v>
      </c>
      <c r="E343" s="2" t="s">
        <v>1151</v>
      </c>
      <c r="F343" s="2" t="s">
        <v>1102</v>
      </c>
      <c r="G343" s="15">
        <f>SUMIF(orders!B:B,A343,orders!F:F)</f>
        <v>14.29</v>
      </c>
      <c r="H343" s="15">
        <f>COUNTIF(orders!B:B,A343)</f>
        <v>1</v>
      </c>
      <c r="I343" s="15" t="str">
        <f t="shared" si="5"/>
        <v>One-Time Customer</v>
      </c>
    </row>
    <row r="344" spans="1:9" ht="14.25" customHeight="1" x14ac:dyDescent="0.3">
      <c r="A344" s="2" t="s">
        <v>2393</v>
      </c>
      <c r="B344" s="2" t="s">
        <v>2394</v>
      </c>
      <c r="C344" s="2" t="s">
        <v>1457</v>
      </c>
      <c r="D344" s="2" t="s">
        <v>2006</v>
      </c>
      <c r="E344" s="2" t="s">
        <v>1407</v>
      </c>
      <c r="F344" s="2" t="s">
        <v>1118</v>
      </c>
      <c r="G344" s="15">
        <f>SUMIF(orders!B:B,A344,orders!F:F)</f>
        <v>0</v>
      </c>
      <c r="H344" s="15">
        <f>COUNTIF(orders!B:B,A344)</f>
        <v>0</v>
      </c>
      <c r="I344" s="15" t="str">
        <f t="shared" si="5"/>
        <v>One-Time Customer</v>
      </c>
    </row>
    <row r="345" spans="1:9" ht="14.25" customHeight="1" x14ac:dyDescent="0.3">
      <c r="A345" s="2" t="s">
        <v>2395</v>
      </c>
      <c r="B345" s="2" t="s">
        <v>2396</v>
      </c>
      <c r="C345" s="2" t="s">
        <v>2397</v>
      </c>
      <c r="D345" s="2" t="s">
        <v>1666</v>
      </c>
      <c r="E345" s="2" t="s">
        <v>1257</v>
      </c>
      <c r="F345" s="2" t="s">
        <v>1129</v>
      </c>
      <c r="G345" s="15">
        <f>SUMIF(orders!B:B,A345,orders!F:F)</f>
        <v>0</v>
      </c>
      <c r="H345" s="15">
        <f>COUNTIF(orders!B:B,A345)</f>
        <v>0</v>
      </c>
      <c r="I345" s="15" t="str">
        <f t="shared" si="5"/>
        <v>One-Time Customer</v>
      </c>
    </row>
    <row r="346" spans="1:9" ht="14.25" customHeight="1" x14ac:dyDescent="0.3">
      <c r="A346" s="2" t="s">
        <v>2398</v>
      </c>
      <c r="B346" s="2" t="s">
        <v>2399</v>
      </c>
      <c r="C346" s="2" t="s">
        <v>1449</v>
      </c>
      <c r="D346" s="2" t="s">
        <v>1666</v>
      </c>
      <c r="E346" s="2" t="s">
        <v>1296</v>
      </c>
      <c r="F346" s="2" t="s">
        <v>1117</v>
      </c>
      <c r="G346" s="15">
        <f>SUMIF(orders!B:B,A346,orders!F:F)</f>
        <v>0</v>
      </c>
      <c r="H346" s="15">
        <f>COUNTIF(orders!B:B,A346)</f>
        <v>0</v>
      </c>
      <c r="I346" s="15" t="str">
        <f t="shared" si="5"/>
        <v>One-Time Customer</v>
      </c>
    </row>
    <row r="347" spans="1:9" ht="14.25" customHeight="1" x14ac:dyDescent="0.3">
      <c r="A347" s="2" t="s">
        <v>2400</v>
      </c>
      <c r="B347" s="2" t="s">
        <v>2401</v>
      </c>
      <c r="C347" s="2" t="s">
        <v>1927</v>
      </c>
      <c r="D347" s="2" t="s">
        <v>1677</v>
      </c>
      <c r="E347" s="2" t="s">
        <v>1151</v>
      </c>
      <c r="F347" s="2" t="s">
        <v>1102</v>
      </c>
      <c r="G347" s="15">
        <f>SUMIF(orders!B:B,A347,orders!F:F)</f>
        <v>156.32000000000002</v>
      </c>
      <c r="H347" s="15">
        <f>COUNTIF(orders!B:B,A347)</f>
        <v>2</v>
      </c>
      <c r="I347" s="15" t="str">
        <f t="shared" si="5"/>
        <v>Repeat Customer</v>
      </c>
    </row>
    <row r="348" spans="1:9" ht="14.25" customHeight="1" x14ac:dyDescent="0.3">
      <c r="A348" s="2" t="s">
        <v>2402</v>
      </c>
      <c r="B348" s="2" t="s">
        <v>2403</v>
      </c>
      <c r="C348" s="2" t="s">
        <v>2404</v>
      </c>
      <c r="D348" s="2" t="s">
        <v>1491</v>
      </c>
      <c r="E348" s="2" t="s">
        <v>1205</v>
      </c>
      <c r="F348" s="2" t="s">
        <v>1102</v>
      </c>
      <c r="G348" s="15">
        <f>SUMIF(orders!B:B,A348,orders!F:F)</f>
        <v>0</v>
      </c>
      <c r="H348" s="15">
        <f>COUNTIF(orders!B:B,A348)</f>
        <v>0</v>
      </c>
      <c r="I348" s="15" t="str">
        <f t="shared" si="5"/>
        <v>One-Time Customer</v>
      </c>
    </row>
    <row r="349" spans="1:9" ht="14.25" customHeight="1" x14ac:dyDescent="0.3">
      <c r="A349" s="2" t="s">
        <v>2405</v>
      </c>
      <c r="B349" s="2" t="s">
        <v>2406</v>
      </c>
      <c r="C349" s="2" t="s">
        <v>1736</v>
      </c>
      <c r="D349" s="2" t="s">
        <v>2002</v>
      </c>
      <c r="E349" s="2" t="s">
        <v>1184</v>
      </c>
      <c r="F349" s="2" t="s">
        <v>1124</v>
      </c>
      <c r="G349" s="15">
        <f>SUMIF(orders!B:B,A349,orders!F:F)</f>
        <v>0</v>
      </c>
      <c r="H349" s="15">
        <f>COUNTIF(orders!B:B,A349)</f>
        <v>0</v>
      </c>
      <c r="I349" s="15" t="str">
        <f t="shared" si="5"/>
        <v>One-Time Customer</v>
      </c>
    </row>
    <row r="350" spans="1:9" ht="14.25" customHeight="1" x14ac:dyDescent="0.3">
      <c r="A350" s="2" t="s">
        <v>2407</v>
      </c>
      <c r="B350" s="2" t="s">
        <v>2408</v>
      </c>
      <c r="C350" s="2" t="s">
        <v>1721</v>
      </c>
      <c r="D350" s="2" t="s">
        <v>1826</v>
      </c>
      <c r="E350" s="2" t="s">
        <v>1319</v>
      </c>
      <c r="F350" s="2" t="s">
        <v>1118</v>
      </c>
      <c r="G350" s="15">
        <f>SUMIF(orders!B:B,A350,orders!F:F)</f>
        <v>92.77</v>
      </c>
      <c r="H350" s="15">
        <f>COUNTIF(orders!B:B,A350)</f>
        <v>1</v>
      </c>
      <c r="I350" s="15" t="str">
        <f t="shared" si="5"/>
        <v>One-Time Customer</v>
      </c>
    </row>
    <row r="351" spans="1:9" ht="14.25" customHeight="1" x14ac:dyDescent="0.3">
      <c r="A351" s="2" t="s">
        <v>2409</v>
      </c>
      <c r="B351" s="2" t="s">
        <v>2410</v>
      </c>
      <c r="C351" s="2" t="s">
        <v>2411</v>
      </c>
      <c r="D351" s="2" t="s">
        <v>1522</v>
      </c>
      <c r="E351" s="2" t="s">
        <v>1760</v>
      </c>
      <c r="F351" s="2" t="s">
        <v>1117</v>
      </c>
      <c r="G351" s="15">
        <f>SUMIF(orders!B:B,A351,orders!F:F)</f>
        <v>0</v>
      </c>
      <c r="H351" s="15">
        <f>COUNTIF(orders!B:B,A351)</f>
        <v>0</v>
      </c>
      <c r="I351" s="15" t="str">
        <f t="shared" si="5"/>
        <v>One-Time Customer</v>
      </c>
    </row>
    <row r="352" spans="1:9" ht="14.25" customHeight="1" x14ac:dyDescent="0.3">
      <c r="A352" s="2" t="s">
        <v>2412</v>
      </c>
      <c r="B352" s="2" t="s">
        <v>2413</v>
      </c>
      <c r="C352" s="2" t="s">
        <v>1529</v>
      </c>
      <c r="D352" s="2" t="s">
        <v>2414</v>
      </c>
      <c r="E352" s="2" t="s">
        <v>1319</v>
      </c>
      <c r="F352" s="2" t="s">
        <v>1118</v>
      </c>
      <c r="G352" s="15">
        <f>SUMIF(orders!B:B,A352,orders!F:F)</f>
        <v>51.56</v>
      </c>
      <c r="H352" s="15">
        <f>COUNTIF(orders!B:B,A352)</f>
        <v>1</v>
      </c>
      <c r="I352" s="15" t="str">
        <f t="shared" si="5"/>
        <v>One-Time Customer</v>
      </c>
    </row>
    <row r="353" spans="1:9" ht="14.25" customHeight="1" x14ac:dyDescent="0.3">
      <c r="A353" s="2" t="s">
        <v>2415</v>
      </c>
      <c r="B353" s="2" t="s">
        <v>2416</v>
      </c>
      <c r="C353" s="2" t="s">
        <v>1529</v>
      </c>
      <c r="D353" s="2" t="s">
        <v>1782</v>
      </c>
      <c r="E353" s="2" t="s">
        <v>1216</v>
      </c>
      <c r="F353" s="2" t="s">
        <v>1110</v>
      </c>
      <c r="G353" s="15">
        <f>SUMIF(orders!B:B,A353,orders!F:F)</f>
        <v>177.75</v>
      </c>
      <c r="H353" s="15">
        <f>COUNTIF(orders!B:B,A353)</f>
        <v>2</v>
      </c>
      <c r="I353" s="15" t="str">
        <f t="shared" si="5"/>
        <v>Repeat Customer</v>
      </c>
    </row>
    <row r="354" spans="1:9" ht="14.25" customHeight="1" x14ac:dyDescent="0.3">
      <c r="A354" s="2" t="s">
        <v>2417</v>
      </c>
      <c r="B354" s="2" t="s">
        <v>2418</v>
      </c>
      <c r="C354" s="2" t="s">
        <v>1529</v>
      </c>
      <c r="D354" s="2" t="s">
        <v>1357</v>
      </c>
      <c r="E354" s="2" t="s">
        <v>1319</v>
      </c>
      <c r="F354" s="2" t="s">
        <v>1118</v>
      </c>
      <c r="G354" s="15">
        <f>SUMIF(orders!B:B,A354,orders!F:F)</f>
        <v>0</v>
      </c>
      <c r="H354" s="15">
        <f>COUNTIF(orders!B:B,A354)</f>
        <v>0</v>
      </c>
      <c r="I354" s="15" t="str">
        <f t="shared" si="5"/>
        <v>One-Time Customer</v>
      </c>
    </row>
    <row r="355" spans="1:9" ht="14.25" customHeight="1" x14ac:dyDescent="0.3">
      <c r="A355" s="2" t="s">
        <v>2419</v>
      </c>
      <c r="B355" s="2" t="s">
        <v>2420</v>
      </c>
      <c r="C355" s="2" t="s">
        <v>1788</v>
      </c>
      <c r="D355" s="2" t="s">
        <v>1522</v>
      </c>
      <c r="E355" s="2" t="s">
        <v>1147</v>
      </c>
      <c r="F355" s="2" t="s">
        <v>1130</v>
      </c>
      <c r="G355" s="15">
        <f>SUMIF(orders!B:B,A355,orders!F:F)</f>
        <v>0</v>
      </c>
      <c r="H355" s="15">
        <f>COUNTIF(orders!B:B,A355)</f>
        <v>0</v>
      </c>
      <c r="I355" s="15" t="str">
        <f t="shared" si="5"/>
        <v>One-Time Customer</v>
      </c>
    </row>
    <row r="356" spans="1:9" ht="14.25" customHeight="1" x14ac:dyDescent="0.3">
      <c r="A356" s="2" t="s">
        <v>2421</v>
      </c>
      <c r="B356" s="2" t="s">
        <v>2422</v>
      </c>
      <c r="C356" s="2" t="s">
        <v>1736</v>
      </c>
      <c r="D356" s="2" t="s">
        <v>1879</v>
      </c>
      <c r="E356" s="2" t="s">
        <v>1151</v>
      </c>
      <c r="F356" s="2" t="s">
        <v>1102</v>
      </c>
      <c r="G356" s="15">
        <f>SUMIF(orders!B:B,A356,orders!F:F)</f>
        <v>201.84</v>
      </c>
      <c r="H356" s="15">
        <f>COUNTIF(orders!B:B,A356)</f>
        <v>2</v>
      </c>
      <c r="I356" s="15" t="str">
        <f t="shared" si="5"/>
        <v>Repeat Customer</v>
      </c>
    </row>
    <row r="357" spans="1:9" ht="14.25" customHeight="1" x14ac:dyDescent="0.3">
      <c r="A357" s="2" t="s">
        <v>2423</v>
      </c>
      <c r="B357" s="2" t="s">
        <v>2424</v>
      </c>
      <c r="C357" s="2" t="s">
        <v>1733</v>
      </c>
      <c r="D357" s="2" t="s">
        <v>1153</v>
      </c>
      <c r="E357" s="2" t="s">
        <v>1151</v>
      </c>
      <c r="F357" s="2" t="s">
        <v>1102</v>
      </c>
      <c r="G357" s="15">
        <f>SUMIF(orders!B:B,A357,orders!F:F)</f>
        <v>0</v>
      </c>
      <c r="H357" s="15">
        <f>COUNTIF(orders!B:B,A357)</f>
        <v>0</v>
      </c>
      <c r="I357" s="15" t="str">
        <f t="shared" si="5"/>
        <v>One-Time Customer</v>
      </c>
    </row>
    <row r="358" spans="1:9" ht="14.25" customHeight="1" x14ac:dyDescent="0.3">
      <c r="A358" s="2" t="s">
        <v>2425</v>
      </c>
      <c r="B358" s="2" t="s">
        <v>2426</v>
      </c>
      <c r="C358" s="2" t="s">
        <v>1910</v>
      </c>
      <c r="D358" s="2" t="s">
        <v>1683</v>
      </c>
      <c r="E358" s="2" t="s">
        <v>1151</v>
      </c>
      <c r="F358" s="2" t="s">
        <v>1102</v>
      </c>
      <c r="G358" s="15">
        <f>SUMIF(orders!B:B,A358,orders!F:F)</f>
        <v>0</v>
      </c>
      <c r="H358" s="15">
        <f>COUNTIF(orders!B:B,A358)</f>
        <v>0</v>
      </c>
      <c r="I358" s="15" t="str">
        <f t="shared" si="5"/>
        <v>One-Time Customer</v>
      </c>
    </row>
    <row r="359" spans="1:9" ht="14.25" customHeight="1" x14ac:dyDescent="0.3">
      <c r="A359" s="2" t="s">
        <v>2427</v>
      </c>
      <c r="B359" s="2" t="s">
        <v>2428</v>
      </c>
      <c r="C359" s="2" t="s">
        <v>1506</v>
      </c>
      <c r="D359" s="2" t="s">
        <v>1899</v>
      </c>
      <c r="E359" s="2" t="s">
        <v>1296</v>
      </c>
      <c r="F359" s="2" t="s">
        <v>1117</v>
      </c>
      <c r="G359" s="15">
        <f>SUMIF(orders!B:B,A359,orders!F:F)</f>
        <v>0</v>
      </c>
      <c r="H359" s="15">
        <f>COUNTIF(orders!B:B,A359)</f>
        <v>0</v>
      </c>
      <c r="I359" s="15" t="str">
        <f t="shared" si="5"/>
        <v>One-Time Customer</v>
      </c>
    </row>
    <row r="360" spans="1:9" ht="14.25" customHeight="1" x14ac:dyDescent="0.3">
      <c r="A360" s="2" t="s">
        <v>2429</v>
      </c>
      <c r="B360" s="2" t="s">
        <v>2430</v>
      </c>
      <c r="C360" s="2" t="s">
        <v>1472</v>
      </c>
      <c r="D360" s="2" t="s">
        <v>1677</v>
      </c>
      <c r="E360" s="2" t="s">
        <v>1454</v>
      </c>
      <c r="F360" s="2" t="s">
        <v>1118</v>
      </c>
      <c r="G360" s="15">
        <f>SUMIF(orders!B:B,A360,orders!F:F)</f>
        <v>0</v>
      </c>
      <c r="H360" s="15">
        <f>COUNTIF(orders!B:B,A360)</f>
        <v>0</v>
      </c>
      <c r="I360" s="15" t="str">
        <f t="shared" si="5"/>
        <v>One-Time Customer</v>
      </c>
    </row>
    <row r="361" spans="1:9" ht="14.25" customHeight="1" x14ac:dyDescent="0.3">
      <c r="A361" s="2" t="s">
        <v>2431</v>
      </c>
      <c r="B361" s="2" t="s">
        <v>2432</v>
      </c>
      <c r="C361" s="2" t="s">
        <v>2433</v>
      </c>
      <c r="D361" s="2" t="s">
        <v>1657</v>
      </c>
      <c r="E361" s="2" t="s">
        <v>1407</v>
      </c>
      <c r="F361" s="2" t="s">
        <v>1118</v>
      </c>
      <c r="G361" s="15">
        <f>SUMIF(orders!B:B,A361,orders!F:F)</f>
        <v>0</v>
      </c>
      <c r="H361" s="15">
        <f>COUNTIF(orders!B:B,A361)</f>
        <v>0</v>
      </c>
      <c r="I361" s="15" t="str">
        <f t="shared" si="5"/>
        <v>One-Time Customer</v>
      </c>
    </row>
    <row r="362" spans="1:9" ht="14.25" customHeight="1" x14ac:dyDescent="0.3">
      <c r="A362" s="2" t="s">
        <v>2434</v>
      </c>
      <c r="B362" s="2" t="s">
        <v>2435</v>
      </c>
      <c r="C362" s="2" t="s">
        <v>1978</v>
      </c>
      <c r="D362" s="2" t="s">
        <v>1782</v>
      </c>
      <c r="E362" s="2" t="s">
        <v>1728</v>
      </c>
      <c r="F362" s="2" t="s">
        <v>1102</v>
      </c>
      <c r="G362" s="15">
        <f>SUMIF(orders!B:B,A362,orders!F:F)</f>
        <v>358.21000000000004</v>
      </c>
      <c r="H362" s="15">
        <f>COUNTIF(orders!B:B,A362)</f>
        <v>2</v>
      </c>
      <c r="I362" s="15" t="str">
        <f t="shared" si="5"/>
        <v>Repeat Customer</v>
      </c>
    </row>
    <row r="363" spans="1:9" ht="14.25" customHeight="1" x14ac:dyDescent="0.3">
      <c r="A363" s="2" t="s">
        <v>2436</v>
      </c>
      <c r="B363" s="2" t="s">
        <v>2437</v>
      </c>
      <c r="C363" s="2" t="s">
        <v>1940</v>
      </c>
      <c r="D363" s="2" t="s">
        <v>2438</v>
      </c>
      <c r="E363" s="2" t="s">
        <v>1555</v>
      </c>
      <c r="F363" s="2" t="s">
        <v>1118</v>
      </c>
      <c r="G363" s="15">
        <f>SUMIF(orders!B:B,A363,orders!F:F)</f>
        <v>0</v>
      </c>
      <c r="H363" s="15">
        <f>COUNTIF(orders!B:B,A363)</f>
        <v>0</v>
      </c>
      <c r="I363" s="15" t="str">
        <f t="shared" si="5"/>
        <v>One-Time Customer</v>
      </c>
    </row>
    <row r="364" spans="1:9" ht="14.25" customHeight="1" x14ac:dyDescent="0.3">
      <c r="A364" s="2" t="s">
        <v>2439</v>
      </c>
      <c r="B364" s="2" t="s">
        <v>2440</v>
      </c>
      <c r="C364" s="2" t="s">
        <v>1553</v>
      </c>
      <c r="D364" s="2" t="s">
        <v>2441</v>
      </c>
      <c r="E364" s="2" t="s">
        <v>1654</v>
      </c>
      <c r="F364" s="2" t="s">
        <v>1110</v>
      </c>
      <c r="G364" s="15">
        <f>SUMIF(orders!B:B,A364,orders!F:F)</f>
        <v>206.39</v>
      </c>
      <c r="H364" s="15">
        <f>COUNTIF(orders!B:B,A364)</f>
        <v>2</v>
      </c>
      <c r="I364" s="15" t="str">
        <f t="shared" si="5"/>
        <v>Repeat Customer</v>
      </c>
    </row>
    <row r="365" spans="1:9" ht="14.25" customHeight="1" x14ac:dyDescent="0.3">
      <c r="A365" s="2" t="s">
        <v>2442</v>
      </c>
      <c r="B365" s="2" t="s">
        <v>2285</v>
      </c>
      <c r="C365" s="2" t="s">
        <v>1503</v>
      </c>
      <c r="D365" s="2" t="s">
        <v>1357</v>
      </c>
      <c r="E365" s="2" t="s">
        <v>1487</v>
      </c>
      <c r="F365" s="2" t="s">
        <v>1118</v>
      </c>
      <c r="G365" s="15">
        <f>SUMIF(orders!B:B,A365,orders!F:F)</f>
        <v>111.09</v>
      </c>
      <c r="H365" s="15">
        <f>COUNTIF(orders!B:B,A365)</f>
        <v>1</v>
      </c>
      <c r="I365" s="15" t="str">
        <f t="shared" si="5"/>
        <v>One-Time Customer</v>
      </c>
    </row>
    <row r="366" spans="1:9" ht="14.25" customHeight="1" x14ac:dyDescent="0.3">
      <c r="A366" s="2" t="s">
        <v>2443</v>
      </c>
      <c r="B366" s="2" t="s">
        <v>2444</v>
      </c>
      <c r="C366" s="2" t="s">
        <v>1608</v>
      </c>
      <c r="D366" s="2" t="s">
        <v>1863</v>
      </c>
      <c r="E366" s="2" t="s">
        <v>1407</v>
      </c>
      <c r="F366" s="2" t="s">
        <v>1118</v>
      </c>
      <c r="G366" s="15">
        <f>SUMIF(orders!B:B,A366,orders!F:F)</f>
        <v>0</v>
      </c>
      <c r="H366" s="15">
        <f>COUNTIF(orders!B:B,A366)</f>
        <v>0</v>
      </c>
      <c r="I366" s="15" t="str">
        <f t="shared" si="5"/>
        <v>One-Time Customer</v>
      </c>
    </row>
    <row r="367" spans="1:9" ht="14.25" customHeight="1" x14ac:dyDescent="0.3">
      <c r="A367" t="s">
        <v>2445</v>
      </c>
      <c r="B367" t="s">
        <v>2446</v>
      </c>
      <c r="C367" t="s">
        <v>1532</v>
      </c>
      <c r="D367" t="s">
        <v>2447</v>
      </c>
      <c r="E367" t="s">
        <v>1487</v>
      </c>
      <c r="F367" t="s">
        <v>1118</v>
      </c>
      <c r="G367">
        <f>SUMIF(orders!B:B,A367,orders!F:F)</f>
        <v>0</v>
      </c>
      <c r="H367">
        <f>COUNTIF(orders!B:B,A367)</f>
        <v>0</v>
      </c>
      <c r="I367" t="str">
        <f t="shared" ref="I367:I398" si="6">IF(H367&gt;1,"Repeat Customer","One-Time Customer")</f>
        <v>One-Time Customer</v>
      </c>
    </row>
    <row r="368" spans="1:9" ht="14.25" customHeight="1" x14ac:dyDescent="0.3">
      <c r="A368" s="2" t="s">
        <v>2448</v>
      </c>
      <c r="B368" s="2" t="s">
        <v>2449</v>
      </c>
      <c r="C368" s="2" t="s">
        <v>1595</v>
      </c>
      <c r="D368" s="2" t="s">
        <v>1468</v>
      </c>
      <c r="E368" s="2" t="s">
        <v>1128</v>
      </c>
      <c r="F368" s="2" t="s">
        <v>1129</v>
      </c>
      <c r="G368" s="15">
        <f>SUMIF(orders!B:B,A368,orders!F:F)</f>
        <v>16.8</v>
      </c>
      <c r="H368" s="15">
        <f>COUNTIF(orders!B:B,A368)</f>
        <v>1</v>
      </c>
      <c r="I368" s="15" t="str">
        <f t="shared" si="6"/>
        <v>One-Time Customer</v>
      </c>
    </row>
    <row r="369" spans="1:9" ht="14.25" customHeight="1" x14ac:dyDescent="0.3">
      <c r="A369" s="2" t="s">
        <v>2450</v>
      </c>
      <c r="B369" s="2" t="s">
        <v>2451</v>
      </c>
      <c r="C369" s="2" t="s">
        <v>1472</v>
      </c>
      <c r="D369" s="2" t="s">
        <v>1491</v>
      </c>
      <c r="E369" s="2" t="s">
        <v>1487</v>
      </c>
      <c r="F369" s="2" t="s">
        <v>1118</v>
      </c>
      <c r="G369" s="15">
        <f>SUMIF(orders!B:B,A369,orders!F:F)</f>
        <v>0</v>
      </c>
      <c r="H369" s="15">
        <f>COUNTIF(orders!B:B,A369)</f>
        <v>0</v>
      </c>
      <c r="I369" s="15" t="str">
        <f t="shared" si="6"/>
        <v>One-Time Customer</v>
      </c>
    </row>
    <row r="370" spans="1:9" ht="14.25" customHeight="1" x14ac:dyDescent="0.3">
      <c r="A370" s="2" t="s">
        <v>2452</v>
      </c>
      <c r="B370" s="2" t="s">
        <v>2453</v>
      </c>
      <c r="C370" s="2" t="s">
        <v>1676</v>
      </c>
      <c r="D370" s="2" t="s">
        <v>1919</v>
      </c>
      <c r="E370" s="2" t="s">
        <v>1205</v>
      </c>
      <c r="F370" s="2" t="s">
        <v>1102</v>
      </c>
      <c r="G370" s="15">
        <f>SUMIF(orders!B:B,A370,orders!F:F)</f>
        <v>0</v>
      </c>
      <c r="H370" s="15">
        <f>COUNTIF(orders!B:B,A370)</f>
        <v>0</v>
      </c>
      <c r="I370" s="15" t="str">
        <f t="shared" si="6"/>
        <v>One-Time Customer</v>
      </c>
    </row>
    <row r="371" spans="1:9" ht="14.25" customHeight="1" x14ac:dyDescent="0.3">
      <c r="A371" s="2" t="s">
        <v>2454</v>
      </c>
      <c r="B371" s="2" t="s">
        <v>2455</v>
      </c>
      <c r="C371" s="2" t="s">
        <v>1595</v>
      </c>
      <c r="D371" s="2" t="s">
        <v>2456</v>
      </c>
      <c r="E371" s="2" t="s">
        <v>1184</v>
      </c>
      <c r="F371" s="2" t="s">
        <v>1124</v>
      </c>
      <c r="G371" s="15">
        <f>SUMIF(orders!B:B,A371,orders!F:F)</f>
        <v>0</v>
      </c>
      <c r="H371" s="15">
        <f>COUNTIF(orders!B:B,A371)</f>
        <v>0</v>
      </c>
      <c r="I371" s="15" t="str">
        <f t="shared" si="6"/>
        <v>One-Time Customer</v>
      </c>
    </row>
    <row r="372" spans="1:9" ht="14.25" customHeight="1" x14ac:dyDescent="0.3">
      <c r="A372" s="2" t="s">
        <v>2457</v>
      </c>
      <c r="B372" s="2" t="s">
        <v>2458</v>
      </c>
      <c r="C372" s="2" t="s">
        <v>1819</v>
      </c>
      <c r="D372" s="2" t="s">
        <v>1153</v>
      </c>
      <c r="E372" s="2" t="s">
        <v>1198</v>
      </c>
      <c r="F372" s="2" t="s">
        <v>1117</v>
      </c>
      <c r="G372" s="15">
        <f>SUMIF(orders!B:B,A372,orders!F:F)</f>
        <v>0</v>
      </c>
      <c r="H372" s="15">
        <f>COUNTIF(orders!B:B,A372)</f>
        <v>0</v>
      </c>
      <c r="I372" s="15" t="str">
        <f t="shared" si="6"/>
        <v>One-Time Customer</v>
      </c>
    </row>
    <row r="373" spans="1:9" ht="14.25" customHeight="1" x14ac:dyDescent="0.3">
      <c r="A373" s="2" t="s">
        <v>2459</v>
      </c>
      <c r="B373" s="2" t="s">
        <v>2460</v>
      </c>
      <c r="C373" s="2" t="s">
        <v>1904</v>
      </c>
      <c r="D373" s="2" t="s">
        <v>1837</v>
      </c>
      <c r="E373" s="2" t="s">
        <v>1454</v>
      </c>
      <c r="F373" s="2" t="s">
        <v>1118</v>
      </c>
      <c r="G373" s="15">
        <f>SUMIF(orders!B:B,A373,orders!F:F)</f>
        <v>0</v>
      </c>
      <c r="H373" s="15">
        <f>COUNTIF(orders!B:B,A373)</f>
        <v>0</v>
      </c>
      <c r="I373" s="15" t="str">
        <f t="shared" si="6"/>
        <v>One-Time Customer</v>
      </c>
    </row>
    <row r="374" spans="1:9" ht="14.25" customHeight="1" x14ac:dyDescent="0.3">
      <c r="A374" s="2" t="s">
        <v>2461</v>
      </c>
      <c r="B374" s="2" t="s">
        <v>2462</v>
      </c>
      <c r="C374" s="2" t="s">
        <v>1472</v>
      </c>
      <c r="D374" s="2" t="s">
        <v>2463</v>
      </c>
      <c r="E374" s="2" t="s">
        <v>1407</v>
      </c>
      <c r="F374" s="2" t="s">
        <v>1118</v>
      </c>
      <c r="G374" s="15">
        <f>SUMIF(orders!B:B,A374,orders!F:F)</f>
        <v>132.11000000000001</v>
      </c>
      <c r="H374" s="15">
        <f>COUNTIF(orders!B:B,A374)</f>
        <v>3</v>
      </c>
      <c r="I374" s="15" t="str">
        <f t="shared" si="6"/>
        <v>Repeat Customer</v>
      </c>
    </row>
    <row r="375" spans="1:9" ht="14.25" customHeight="1" x14ac:dyDescent="0.3">
      <c r="A375" s="2" t="s">
        <v>2464</v>
      </c>
      <c r="B375" s="2" t="s">
        <v>2465</v>
      </c>
      <c r="C375" s="2" t="s">
        <v>2466</v>
      </c>
      <c r="D375" s="2" t="s">
        <v>2467</v>
      </c>
      <c r="E375" s="2" t="s">
        <v>1359</v>
      </c>
      <c r="F375" s="2" t="s">
        <v>1102</v>
      </c>
      <c r="G375" s="15">
        <f>SUMIF(orders!B:B,A375,orders!F:F)</f>
        <v>0</v>
      </c>
      <c r="H375" s="15">
        <f>COUNTIF(orders!B:B,A375)</f>
        <v>0</v>
      </c>
      <c r="I375" s="15" t="str">
        <f t="shared" si="6"/>
        <v>One-Time Customer</v>
      </c>
    </row>
    <row r="376" spans="1:9" ht="14.25" customHeight="1" x14ac:dyDescent="0.3">
      <c r="A376" s="2" t="s">
        <v>2468</v>
      </c>
      <c r="B376" s="2" t="s">
        <v>2469</v>
      </c>
      <c r="C376" s="2" t="s">
        <v>1930</v>
      </c>
      <c r="D376" s="2" t="s">
        <v>1670</v>
      </c>
      <c r="E376" s="2" t="s">
        <v>1151</v>
      </c>
      <c r="F376" s="2" t="s">
        <v>1102</v>
      </c>
      <c r="G376" s="15">
        <f>SUMIF(orders!B:B,A376,orders!F:F)</f>
        <v>0</v>
      </c>
      <c r="H376" s="15">
        <f>COUNTIF(orders!B:B,A376)</f>
        <v>0</v>
      </c>
      <c r="I376" s="15" t="str">
        <f t="shared" si="6"/>
        <v>One-Time Customer</v>
      </c>
    </row>
    <row r="377" spans="1:9" ht="14.25" customHeight="1" x14ac:dyDescent="0.3">
      <c r="A377" s="2" t="s">
        <v>2470</v>
      </c>
      <c r="B377" s="2" t="s">
        <v>2471</v>
      </c>
      <c r="C377" s="2" t="s">
        <v>1971</v>
      </c>
      <c r="D377" s="2" t="s">
        <v>1554</v>
      </c>
      <c r="E377" s="2" t="s">
        <v>1407</v>
      </c>
      <c r="F377" s="2" t="s">
        <v>1118</v>
      </c>
      <c r="G377" s="15">
        <f>SUMIF(orders!B:B,A377,orders!F:F)</f>
        <v>0</v>
      </c>
      <c r="H377" s="15">
        <f>COUNTIF(orders!B:B,A377)</f>
        <v>0</v>
      </c>
      <c r="I377" s="15" t="str">
        <f t="shared" si="6"/>
        <v>One-Time Customer</v>
      </c>
    </row>
    <row r="378" spans="1:9" ht="14.25" customHeight="1" x14ac:dyDescent="0.3">
      <c r="A378" s="2" t="s">
        <v>2472</v>
      </c>
      <c r="B378" s="2" t="s">
        <v>2473</v>
      </c>
      <c r="C378" s="2" t="s">
        <v>1971</v>
      </c>
      <c r="D378" s="2" t="s">
        <v>1554</v>
      </c>
      <c r="E378" s="2" t="s">
        <v>2474</v>
      </c>
      <c r="F378" s="2" t="s">
        <v>1110</v>
      </c>
      <c r="G378" s="15">
        <f>SUMIF(orders!B:B,A378,orders!F:F)</f>
        <v>90.89</v>
      </c>
      <c r="H378" s="15">
        <f>COUNTIF(orders!B:B,A378)</f>
        <v>1</v>
      </c>
      <c r="I378" s="15" t="str">
        <f t="shared" si="6"/>
        <v>One-Time Customer</v>
      </c>
    </row>
    <row r="379" spans="1:9" ht="14.25" customHeight="1" x14ac:dyDescent="0.3">
      <c r="A379" s="2" t="s">
        <v>2475</v>
      </c>
      <c r="B379" s="2" t="s">
        <v>2476</v>
      </c>
      <c r="C379" s="2" t="s">
        <v>2477</v>
      </c>
      <c r="D379" s="2" t="s">
        <v>1677</v>
      </c>
      <c r="E379" s="2" t="s">
        <v>1296</v>
      </c>
      <c r="F379" s="2" t="s">
        <v>1117</v>
      </c>
      <c r="G379" s="15">
        <f>SUMIF(orders!B:B,A379,orders!F:F)</f>
        <v>54.07</v>
      </c>
      <c r="H379" s="15">
        <f>COUNTIF(orders!B:B,A379)</f>
        <v>1</v>
      </c>
      <c r="I379" s="15" t="str">
        <f t="shared" si="6"/>
        <v>One-Time Customer</v>
      </c>
    </row>
    <row r="380" spans="1:9" ht="14.25" customHeight="1" x14ac:dyDescent="0.3">
      <c r="A380" s="2" t="s">
        <v>2478</v>
      </c>
      <c r="B380" s="2" t="s">
        <v>2479</v>
      </c>
      <c r="C380" s="2" t="s">
        <v>1539</v>
      </c>
      <c r="D380" s="2" t="s">
        <v>1559</v>
      </c>
      <c r="E380" s="2" t="s">
        <v>1454</v>
      </c>
      <c r="F380" s="2" t="s">
        <v>1118</v>
      </c>
      <c r="G380" s="15">
        <f>SUMIF(orders!B:B,A380,orders!F:F)</f>
        <v>0</v>
      </c>
      <c r="H380" s="15">
        <f>COUNTIF(orders!B:B,A380)</f>
        <v>0</v>
      </c>
      <c r="I380" s="15" t="str">
        <f t="shared" si="6"/>
        <v>One-Time Customer</v>
      </c>
    </row>
    <row r="381" spans="1:9" ht="14.25" customHeight="1" x14ac:dyDescent="0.3">
      <c r="A381" s="2" t="s">
        <v>2480</v>
      </c>
      <c r="B381" s="2" t="s">
        <v>2481</v>
      </c>
      <c r="C381" s="2" t="s">
        <v>1602</v>
      </c>
      <c r="D381" s="2" t="s">
        <v>1547</v>
      </c>
      <c r="E381" s="2" t="s">
        <v>1555</v>
      </c>
      <c r="F381" s="2" t="s">
        <v>1118</v>
      </c>
      <c r="G381" s="15">
        <f>SUMIF(orders!B:B,A381,orders!F:F)</f>
        <v>0</v>
      </c>
      <c r="H381" s="15">
        <f>COUNTIF(orders!B:B,A381)</f>
        <v>0</v>
      </c>
      <c r="I381" s="15" t="str">
        <f t="shared" si="6"/>
        <v>One-Time Customer</v>
      </c>
    </row>
    <row r="382" spans="1:9" ht="14.25" customHeight="1" x14ac:dyDescent="0.3">
      <c r="A382" s="2" t="s">
        <v>2482</v>
      </c>
      <c r="B382" s="2" t="s">
        <v>2483</v>
      </c>
      <c r="C382" s="2" t="s">
        <v>1522</v>
      </c>
      <c r="D382" s="2" t="s">
        <v>2124</v>
      </c>
      <c r="E382" s="2" t="s">
        <v>1514</v>
      </c>
      <c r="F382" s="2" t="s">
        <v>1130</v>
      </c>
      <c r="G382" s="15">
        <f>SUMIF(orders!B:B,A382,orders!F:F)</f>
        <v>0</v>
      </c>
      <c r="H382" s="15">
        <f>COUNTIF(orders!B:B,A382)</f>
        <v>0</v>
      </c>
      <c r="I382" s="15" t="str">
        <f t="shared" si="6"/>
        <v>One-Time Customer</v>
      </c>
    </row>
    <row r="383" spans="1:9" ht="14.25" customHeight="1" x14ac:dyDescent="0.3">
      <c r="A383" s="2" t="s">
        <v>2484</v>
      </c>
      <c r="B383" s="2" t="s">
        <v>2485</v>
      </c>
      <c r="C383" s="2" t="s">
        <v>1435</v>
      </c>
      <c r="D383" s="2" t="s">
        <v>2486</v>
      </c>
      <c r="E383" s="2" t="s">
        <v>1270</v>
      </c>
      <c r="F383" s="2" t="s">
        <v>1130</v>
      </c>
      <c r="G383" s="15">
        <f>SUMIF(orders!B:B,A383,orders!F:F)</f>
        <v>0</v>
      </c>
      <c r="H383" s="15">
        <f>COUNTIF(orders!B:B,A383)</f>
        <v>0</v>
      </c>
      <c r="I383" s="15" t="str">
        <f t="shared" si="6"/>
        <v>One-Time Customer</v>
      </c>
    </row>
    <row r="384" spans="1:9" ht="14.25" customHeight="1" x14ac:dyDescent="0.3">
      <c r="A384" s="2" t="s">
        <v>2487</v>
      </c>
      <c r="B384" s="2" t="s">
        <v>2488</v>
      </c>
      <c r="C384" s="2" t="s">
        <v>1825</v>
      </c>
      <c r="D384" s="2" t="s">
        <v>1677</v>
      </c>
      <c r="E384" s="2" t="s">
        <v>1155</v>
      </c>
      <c r="F384" s="2" t="s">
        <v>1130</v>
      </c>
      <c r="G384" s="15">
        <f>SUMIF(orders!B:B,A384,orders!F:F)</f>
        <v>0</v>
      </c>
      <c r="H384" s="15">
        <f>COUNTIF(orders!B:B,A384)</f>
        <v>0</v>
      </c>
      <c r="I384" s="15" t="str">
        <f t="shared" si="6"/>
        <v>One-Time Customer</v>
      </c>
    </row>
    <row r="385" spans="1:9" ht="14.25" customHeight="1" x14ac:dyDescent="0.3">
      <c r="A385" s="2" t="s">
        <v>2489</v>
      </c>
      <c r="B385" s="2" t="s">
        <v>2490</v>
      </c>
      <c r="C385" s="2" t="s">
        <v>1632</v>
      </c>
      <c r="D385" s="2" t="s">
        <v>1837</v>
      </c>
      <c r="E385" s="2" t="s">
        <v>1313</v>
      </c>
      <c r="F385" s="2" t="s">
        <v>1129</v>
      </c>
      <c r="G385" s="15">
        <f>SUMIF(orders!B:B,A385,orders!F:F)</f>
        <v>0</v>
      </c>
      <c r="H385" s="15">
        <f>COUNTIF(orders!B:B,A385)</f>
        <v>0</v>
      </c>
      <c r="I385" s="15" t="str">
        <f t="shared" si="6"/>
        <v>One-Time Customer</v>
      </c>
    </row>
    <row r="386" spans="1:9" ht="14.25" customHeight="1" x14ac:dyDescent="0.3">
      <c r="A386" s="2" t="s">
        <v>2491</v>
      </c>
      <c r="B386" s="2" t="s">
        <v>2492</v>
      </c>
      <c r="C386" s="2" t="s">
        <v>2029</v>
      </c>
      <c r="D386" s="2" t="s">
        <v>1666</v>
      </c>
      <c r="E386" s="2" t="s">
        <v>1555</v>
      </c>
      <c r="F386" s="2" t="s">
        <v>1118</v>
      </c>
      <c r="G386" s="15">
        <f>SUMIF(orders!B:B,A386,orders!F:F)</f>
        <v>117.44</v>
      </c>
      <c r="H386" s="15">
        <f>COUNTIF(orders!B:B,A386)</f>
        <v>1</v>
      </c>
      <c r="I386" s="15" t="str">
        <f t="shared" si="6"/>
        <v>One-Time Customer</v>
      </c>
    </row>
    <row r="387" spans="1:9" ht="14.25" customHeight="1" x14ac:dyDescent="0.3">
      <c r="A387" s="2" t="s">
        <v>2493</v>
      </c>
      <c r="B387" s="2" t="s">
        <v>2494</v>
      </c>
      <c r="C387" s="2" t="s">
        <v>2495</v>
      </c>
      <c r="D387" s="2" t="s">
        <v>1709</v>
      </c>
      <c r="E387" s="2" t="s">
        <v>1555</v>
      </c>
      <c r="F387" s="2" t="s">
        <v>1118</v>
      </c>
      <c r="G387" s="15">
        <f>SUMIF(orders!B:B,A387,orders!F:F)</f>
        <v>0</v>
      </c>
      <c r="H387" s="15">
        <f>COUNTIF(orders!B:B,A387)</f>
        <v>0</v>
      </c>
      <c r="I387" s="15" t="str">
        <f t="shared" si="6"/>
        <v>One-Time Customer</v>
      </c>
    </row>
    <row r="388" spans="1:9" ht="14.25" customHeight="1" x14ac:dyDescent="0.3">
      <c r="A388" s="2" t="s">
        <v>2496</v>
      </c>
      <c r="B388" s="2" t="s">
        <v>2497</v>
      </c>
      <c r="C388" s="2" t="s">
        <v>2404</v>
      </c>
      <c r="D388" s="2" t="s">
        <v>1742</v>
      </c>
      <c r="E388" s="2" t="s">
        <v>1603</v>
      </c>
      <c r="F388" s="2" t="s">
        <v>1102</v>
      </c>
      <c r="G388" s="15">
        <f>SUMIF(orders!B:B,A388,orders!F:F)</f>
        <v>0</v>
      </c>
      <c r="H388" s="15">
        <f>COUNTIF(orders!B:B,A388)</f>
        <v>0</v>
      </c>
      <c r="I388" s="15" t="str">
        <f t="shared" si="6"/>
        <v>One-Time Customer</v>
      </c>
    </row>
    <row r="389" spans="1:9" ht="14.25" customHeight="1" x14ac:dyDescent="0.3">
      <c r="A389" s="2" t="s">
        <v>2498</v>
      </c>
      <c r="B389" s="2" t="s">
        <v>2499</v>
      </c>
      <c r="C389" s="2" t="s">
        <v>2500</v>
      </c>
      <c r="D389" s="2" t="s">
        <v>2501</v>
      </c>
      <c r="E389" s="2" t="s">
        <v>1728</v>
      </c>
      <c r="F389" s="2" t="s">
        <v>1102</v>
      </c>
      <c r="G389" s="15">
        <f>SUMIF(orders!B:B,A389,orders!F:F)</f>
        <v>0</v>
      </c>
      <c r="H389" s="15">
        <f>COUNTIF(orders!B:B,A389)</f>
        <v>0</v>
      </c>
      <c r="I389" s="15" t="str">
        <f t="shared" si="6"/>
        <v>One-Time Customer</v>
      </c>
    </row>
    <row r="390" spans="1:9" ht="14.25" customHeight="1" x14ac:dyDescent="0.3">
      <c r="A390" s="2" t="s">
        <v>2502</v>
      </c>
      <c r="B390" s="2" t="s">
        <v>2503</v>
      </c>
      <c r="C390" s="2" t="s">
        <v>2268</v>
      </c>
      <c r="D390" s="2" t="s">
        <v>1298</v>
      </c>
      <c r="E390" s="2" t="s">
        <v>1934</v>
      </c>
      <c r="F390" s="2" t="s">
        <v>1130</v>
      </c>
      <c r="G390" s="15">
        <f>SUMIF(orders!B:B,A390,orders!F:F)</f>
        <v>0</v>
      </c>
      <c r="H390" s="15">
        <f>COUNTIF(orders!B:B,A390)</f>
        <v>0</v>
      </c>
      <c r="I390" s="15" t="str">
        <f t="shared" si="6"/>
        <v>One-Time Customer</v>
      </c>
    </row>
    <row r="391" spans="1:9" ht="14.25" customHeight="1" x14ac:dyDescent="0.3">
      <c r="A391" s="2" t="s">
        <v>2504</v>
      </c>
      <c r="B391" s="2" t="s">
        <v>2505</v>
      </c>
      <c r="C391" s="2" t="s">
        <v>2506</v>
      </c>
      <c r="D391" s="2" t="s">
        <v>2507</v>
      </c>
      <c r="E391" s="2" t="s">
        <v>1728</v>
      </c>
      <c r="F391" s="2" t="s">
        <v>1102</v>
      </c>
      <c r="G391" s="15">
        <f>SUMIF(orders!B:B,A391,orders!F:F)</f>
        <v>228.7</v>
      </c>
      <c r="H391" s="15">
        <f>COUNTIF(orders!B:B,A391)</f>
        <v>1</v>
      </c>
      <c r="I391" s="15" t="str">
        <f t="shared" si="6"/>
        <v>One-Time Customer</v>
      </c>
    </row>
    <row r="392" spans="1:9" ht="14.25" customHeight="1" x14ac:dyDescent="0.3">
      <c r="A392" s="2" t="s">
        <v>2508</v>
      </c>
      <c r="B392" s="2" t="s">
        <v>2509</v>
      </c>
      <c r="C392" s="2" t="s">
        <v>2109</v>
      </c>
      <c r="D392" s="2" t="s">
        <v>1759</v>
      </c>
      <c r="E392" s="2" t="s">
        <v>1454</v>
      </c>
      <c r="F392" s="2" t="s">
        <v>1118</v>
      </c>
      <c r="G392" s="15">
        <f>SUMIF(orders!B:B,A392,orders!F:F)</f>
        <v>121.43</v>
      </c>
      <c r="H392" s="15">
        <f>COUNTIF(orders!B:B,A392)</f>
        <v>1</v>
      </c>
      <c r="I392" s="15" t="str">
        <f t="shared" si="6"/>
        <v>One-Time Customer</v>
      </c>
    </row>
    <row r="393" spans="1:9" ht="14.25" customHeight="1" x14ac:dyDescent="0.3">
      <c r="A393" s="2" t="s">
        <v>2510</v>
      </c>
      <c r="B393" s="2" t="s">
        <v>2511</v>
      </c>
      <c r="C393" s="2" t="s">
        <v>1562</v>
      </c>
      <c r="D393" s="2" t="s">
        <v>1798</v>
      </c>
      <c r="E393" s="2" t="s">
        <v>1134</v>
      </c>
      <c r="F393" s="2" t="s">
        <v>1102</v>
      </c>
      <c r="G393" s="15">
        <f>SUMIF(orders!B:B,A393,orders!F:F)</f>
        <v>85.93</v>
      </c>
      <c r="H393" s="15">
        <f>COUNTIF(orders!B:B,A393)</f>
        <v>2</v>
      </c>
      <c r="I393" s="15" t="str">
        <f t="shared" si="6"/>
        <v>Repeat Customer</v>
      </c>
    </row>
    <row r="394" spans="1:9" ht="14.25" customHeight="1" x14ac:dyDescent="0.3">
      <c r="A394" s="2" t="s">
        <v>2512</v>
      </c>
      <c r="B394" s="2" t="s">
        <v>2513</v>
      </c>
      <c r="C394" s="2" t="s">
        <v>1532</v>
      </c>
      <c r="D394" s="2" t="s">
        <v>1759</v>
      </c>
      <c r="E394" s="2" t="s">
        <v>1296</v>
      </c>
      <c r="F394" s="2" t="s">
        <v>1117</v>
      </c>
      <c r="G394" s="15">
        <f>SUMIF(orders!B:B,A394,orders!F:F)</f>
        <v>0</v>
      </c>
      <c r="H394" s="15">
        <f>COUNTIF(orders!B:B,A394)</f>
        <v>0</v>
      </c>
      <c r="I394" s="15" t="str">
        <f t="shared" si="6"/>
        <v>One-Time Customer</v>
      </c>
    </row>
    <row r="395" spans="1:9" ht="14.25" customHeight="1" x14ac:dyDescent="0.3">
      <c r="A395" s="2" t="s">
        <v>2514</v>
      </c>
      <c r="B395" s="2" t="s">
        <v>2515</v>
      </c>
      <c r="C395" s="2" t="s">
        <v>1499</v>
      </c>
      <c r="D395" s="2" t="s">
        <v>2516</v>
      </c>
      <c r="E395" s="2" t="s">
        <v>1151</v>
      </c>
      <c r="F395" s="2" t="s">
        <v>1102</v>
      </c>
      <c r="G395" s="15">
        <f>SUMIF(orders!B:B,A395,orders!F:F)</f>
        <v>0</v>
      </c>
      <c r="H395" s="15">
        <f>COUNTIF(orders!B:B,A395)</f>
        <v>0</v>
      </c>
      <c r="I395" s="15" t="str">
        <f t="shared" si="6"/>
        <v>One-Time Customer</v>
      </c>
    </row>
    <row r="396" spans="1:9" ht="14.25" customHeight="1" x14ac:dyDescent="0.3">
      <c r="A396" s="2" t="s">
        <v>2517</v>
      </c>
      <c r="B396" s="2" t="s">
        <v>2518</v>
      </c>
      <c r="C396" s="2" t="s">
        <v>2519</v>
      </c>
      <c r="D396" s="2" t="s">
        <v>1844</v>
      </c>
      <c r="E396" s="2" t="s">
        <v>1454</v>
      </c>
      <c r="F396" s="2" t="s">
        <v>1118</v>
      </c>
      <c r="G396" s="15">
        <f>SUMIF(orders!B:B,A396,orders!F:F)</f>
        <v>0</v>
      </c>
      <c r="H396" s="15">
        <f>COUNTIF(orders!B:B,A396)</f>
        <v>0</v>
      </c>
      <c r="I396" s="15" t="str">
        <f t="shared" si="6"/>
        <v>One-Time Customer</v>
      </c>
    </row>
    <row r="397" spans="1:9" ht="14.25" customHeight="1" x14ac:dyDescent="0.3">
      <c r="A397" s="2" t="s">
        <v>2520</v>
      </c>
      <c r="B397" s="2" t="s">
        <v>2521</v>
      </c>
      <c r="C397" s="2" t="s">
        <v>1477</v>
      </c>
      <c r="D397" s="2" t="s">
        <v>2128</v>
      </c>
      <c r="E397" s="2" t="s">
        <v>1319</v>
      </c>
      <c r="F397" s="2" t="s">
        <v>1118</v>
      </c>
      <c r="G397" s="15">
        <f>SUMIF(orders!B:B,A397,orders!F:F)</f>
        <v>6.88</v>
      </c>
      <c r="H397" s="15">
        <f>COUNTIF(orders!B:B,A397)</f>
        <v>1</v>
      </c>
      <c r="I397" s="15" t="str">
        <f t="shared" si="6"/>
        <v>One-Time Customer</v>
      </c>
    </row>
    <row r="398" spans="1:9" ht="14.25" customHeight="1" x14ac:dyDescent="0.3">
      <c r="A398" s="2" t="s">
        <v>2522</v>
      </c>
      <c r="B398" s="2" t="s">
        <v>2523</v>
      </c>
      <c r="C398" s="2" t="s">
        <v>2524</v>
      </c>
      <c r="D398" s="2" t="s">
        <v>1579</v>
      </c>
      <c r="E398" s="2" t="s">
        <v>1454</v>
      </c>
      <c r="F398" s="2" t="s">
        <v>1118</v>
      </c>
      <c r="G398" s="15">
        <f>SUMIF(orders!B:B,A398,orders!F:F)</f>
        <v>27.11</v>
      </c>
      <c r="H398" s="15">
        <f>COUNTIF(orders!B:B,A398)</f>
        <v>2</v>
      </c>
      <c r="I398" s="15" t="str">
        <f t="shared" si="6"/>
        <v>Repeat Customer</v>
      </c>
    </row>
    <row r="399" spans="1:9" ht="14.25" customHeight="1" x14ac:dyDescent="0.3">
      <c r="A399" s="2" t="s">
        <v>2525</v>
      </c>
      <c r="B399" s="2" t="s">
        <v>2526</v>
      </c>
      <c r="C399" s="2" t="s">
        <v>1562</v>
      </c>
      <c r="D399" s="2" t="s">
        <v>1106</v>
      </c>
      <c r="E399" s="2" t="s">
        <v>1151</v>
      </c>
      <c r="F399" s="2" t="s">
        <v>1102</v>
      </c>
      <c r="G399" s="15">
        <f>SUMIF(orders!B:B,A399,orders!F:F)</f>
        <v>126.88</v>
      </c>
      <c r="H399" s="15">
        <f>COUNTIF(orders!B:B,A399)</f>
        <v>2</v>
      </c>
      <c r="I399" s="15" t="str">
        <f t="shared" ref="I399:I428" si="7">IF(H399&gt;1,"Repeat Customer","One-Time Customer")</f>
        <v>Repeat Customer</v>
      </c>
    </row>
    <row r="400" spans="1:9" ht="14.25" customHeight="1" x14ac:dyDescent="0.3">
      <c r="A400" s="2" t="s">
        <v>2527</v>
      </c>
      <c r="B400" s="2" t="s">
        <v>2528</v>
      </c>
      <c r="C400" s="2" t="s">
        <v>1825</v>
      </c>
      <c r="D400" s="2" t="s">
        <v>1500</v>
      </c>
      <c r="E400" s="2" t="s">
        <v>1407</v>
      </c>
      <c r="F400" s="2" t="s">
        <v>1118</v>
      </c>
      <c r="G400" s="15">
        <f>SUMIF(orders!B:B,A400,orders!F:F)</f>
        <v>72.28</v>
      </c>
      <c r="H400" s="15">
        <f>COUNTIF(orders!B:B,A400)</f>
        <v>1</v>
      </c>
      <c r="I400" s="15" t="str">
        <f t="shared" si="7"/>
        <v>One-Time Customer</v>
      </c>
    </row>
    <row r="401" spans="1:9" ht="14.25" customHeight="1" x14ac:dyDescent="0.3">
      <c r="A401" s="2" t="s">
        <v>2529</v>
      </c>
      <c r="B401" s="2" t="s">
        <v>2530</v>
      </c>
      <c r="C401" s="2" t="s">
        <v>2067</v>
      </c>
      <c r="D401" s="2" t="s">
        <v>1464</v>
      </c>
      <c r="E401" s="2" t="s">
        <v>1296</v>
      </c>
      <c r="F401" s="2" t="s">
        <v>1117</v>
      </c>
      <c r="G401" s="15">
        <f>SUMIF(orders!B:B,A401,orders!F:F)</f>
        <v>53.96</v>
      </c>
      <c r="H401" s="15">
        <f>COUNTIF(orders!B:B,A401)</f>
        <v>1</v>
      </c>
      <c r="I401" s="15" t="str">
        <f t="shared" si="7"/>
        <v>One-Time Customer</v>
      </c>
    </row>
    <row r="402" spans="1:9" ht="14.25" customHeight="1" x14ac:dyDescent="0.3">
      <c r="A402" s="2" t="s">
        <v>2531</v>
      </c>
      <c r="B402" s="2" t="s">
        <v>2532</v>
      </c>
      <c r="C402" s="2" t="s">
        <v>1578</v>
      </c>
      <c r="D402" s="2" t="s">
        <v>1750</v>
      </c>
      <c r="E402" s="2" t="s">
        <v>1155</v>
      </c>
      <c r="F402" s="2" t="s">
        <v>1130</v>
      </c>
      <c r="G402" s="15">
        <f>SUMIF(orders!B:B,A402,orders!F:F)</f>
        <v>0</v>
      </c>
      <c r="H402" s="15">
        <f>COUNTIF(orders!B:B,A402)</f>
        <v>0</v>
      </c>
      <c r="I402" s="15" t="str">
        <f t="shared" si="7"/>
        <v>One-Time Customer</v>
      </c>
    </row>
    <row r="403" spans="1:9" ht="14.25" customHeight="1" x14ac:dyDescent="0.3">
      <c r="A403" s="2" t="s">
        <v>2533</v>
      </c>
      <c r="B403" s="2" t="s">
        <v>2534</v>
      </c>
      <c r="C403" s="2" t="s">
        <v>1598</v>
      </c>
      <c r="D403" s="2" t="s">
        <v>1496</v>
      </c>
      <c r="E403" s="2" t="s">
        <v>1198</v>
      </c>
      <c r="F403" s="2" t="s">
        <v>1117</v>
      </c>
      <c r="G403" s="15">
        <f>SUMIF(orders!B:B,A403,orders!F:F)</f>
        <v>0</v>
      </c>
      <c r="H403" s="15">
        <f>COUNTIF(orders!B:B,A403)</f>
        <v>0</v>
      </c>
      <c r="I403" s="15" t="str">
        <f t="shared" si="7"/>
        <v>One-Time Customer</v>
      </c>
    </row>
    <row r="404" spans="1:9" ht="14.25" customHeight="1" x14ac:dyDescent="0.3">
      <c r="A404" s="2" t="s">
        <v>2535</v>
      </c>
      <c r="B404" s="2" t="s">
        <v>2536</v>
      </c>
      <c r="C404" s="2" t="s">
        <v>1522</v>
      </c>
      <c r="D404" s="2" t="s">
        <v>1482</v>
      </c>
      <c r="E404" s="2" t="s">
        <v>1359</v>
      </c>
      <c r="F404" s="2" t="s">
        <v>1102</v>
      </c>
      <c r="G404" s="15">
        <f>SUMIF(orders!B:B,A404,orders!F:F)</f>
        <v>60.86</v>
      </c>
      <c r="H404" s="15">
        <f>COUNTIF(orders!B:B,A404)</f>
        <v>1</v>
      </c>
      <c r="I404" s="15" t="str">
        <f t="shared" si="7"/>
        <v>One-Time Customer</v>
      </c>
    </row>
    <row r="405" spans="1:9" ht="14.25" customHeight="1" x14ac:dyDescent="0.3">
      <c r="A405" s="2" t="s">
        <v>2537</v>
      </c>
      <c r="B405" s="2" t="s">
        <v>2538</v>
      </c>
      <c r="C405" s="2" t="s">
        <v>1525</v>
      </c>
      <c r="D405" s="2" t="s">
        <v>1709</v>
      </c>
      <c r="E405" s="2" t="s">
        <v>1359</v>
      </c>
      <c r="F405" s="2" t="s">
        <v>1102</v>
      </c>
      <c r="G405" s="15">
        <f>SUMIF(orders!B:B,A405,orders!F:F)</f>
        <v>0</v>
      </c>
      <c r="H405" s="15">
        <f>COUNTIF(orders!B:B,A405)</f>
        <v>0</v>
      </c>
      <c r="I405" s="15" t="str">
        <f t="shared" si="7"/>
        <v>One-Time Customer</v>
      </c>
    </row>
    <row r="406" spans="1:9" ht="14.25" customHeight="1" x14ac:dyDescent="0.3">
      <c r="A406" s="2" t="s">
        <v>2539</v>
      </c>
      <c r="B406" s="2" t="s">
        <v>2540</v>
      </c>
      <c r="C406" s="2" t="s">
        <v>2541</v>
      </c>
      <c r="D406" s="2" t="s">
        <v>1922</v>
      </c>
      <c r="E406" s="2" t="s">
        <v>1205</v>
      </c>
      <c r="F406" s="2" t="s">
        <v>1102</v>
      </c>
      <c r="G406" s="15">
        <f>SUMIF(orders!B:B,A406,orders!F:F)</f>
        <v>134.74</v>
      </c>
      <c r="H406" s="15">
        <f>COUNTIF(orders!B:B,A406)</f>
        <v>2</v>
      </c>
      <c r="I406" s="15" t="str">
        <f t="shared" si="7"/>
        <v>Repeat Customer</v>
      </c>
    </row>
    <row r="407" spans="1:9" ht="14.25" customHeight="1" x14ac:dyDescent="0.3">
      <c r="A407" s="2" t="s">
        <v>2542</v>
      </c>
      <c r="B407" s="2" t="s">
        <v>2543</v>
      </c>
      <c r="C407" s="2" t="s">
        <v>2268</v>
      </c>
      <c r="D407" s="2" t="s">
        <v>1591</v>
      </c>
      <c r="E407" s="2" t="s">
        <v>1205</v>
      </c>
      <c r="F407" s="2" t="s">
        <v>1102</v>
      </c>
      <c r="G407" s="15">
        <f>SUMIF(orders!B:B,A407,orders!F:F)</f>
        <v>0</v>
      </c>
      <c r="H407" s="15">
        <f>COUNTIF(orders!B:B,A407)</f>
        <v>0</v>
      </c>
      <c r="I407" s="15" t="str">
        <f t="shared" si="7"/>
        <v>One-Time Customer</v>
      </c>
    </row>
    <row r="408" spans="1:9" ht="14.25" customHeight="1" x14ac:dyDescent="0.3">
      <c r="A408" s="2" t="s">
        <v>2544</v>
      </c>
      <c r="B408" s="2" t="s">
        <v>2545</v>
      </c>
      <c r="C408" s="2" t="s">
        <v>2136</v>
      </c>
      <c r="D408" s="2" t="s">
        <v>2002</v>
      </c>
      <c r="E408" s="2" t="s">
        <v>1159</v>
      </c>
      <c r="F408" s="2" t="s">
        <v>1117</v>
      </c>
      <c r="G408" s="15">
        <f>SUMIF(orders!B:B,A408,orders!F:F)</f>
        <v>0</v>
      </c>
      <c r="H408" s="15">
        <f>COUNTIF(orders!B:B,A408)</f>
        <v>0</v>
      </c>
      <c r="I408" s="15" t="str">
        <f t="shared" si="7"/>
        <v>One-Time Customer</v>
      </c>
    </row>
    <row r="409" spans="1:9" ht="14.25" customHeight="1" x14ac:dyDescent="0.3">
      <c r="A409" s="2" t="s">
        <v>2546</v>
      </c>
      <c r="B409" s="2" t="s">
        <v>2547</v>
      </c>
      <c r="C409" s="2" t="s">
        <v>1676</v>
      </c>
      <c r="D409" s="2" t="s">
        <v>2124</v>
      </c>
      <c r="E409" s="2" t="s">
        <v>1168</v>
      </c>
      <c r="F409" s="2" t="s">
        <v>1111</v>
      </c>
      <c r="G409" s="15">
        <f>SUMIF(orders!B:B,A409,orders!F:F)</f>
        <v>0</v>
      </c>
      <c r="H409" s="15">
        <f>COUNTIF(orders!B:B,A409)</f>
        <v>0</v>
      </c>
      <c r="I409" s="15" t="str">
        <f t="shared" si="7"/>
        <v>One-Time Customer</v>
      </c>
    </row>
    <row r="410" spans="1:9" ht="14.25" customHeight="1" x14ac:dyDescent="0.3">
      <c r="A410" s="2" t="s">
        <v>2548</v>
      </c>
      <c r="B410" s="2" t="s">
        <v>2549</v>
      </c>
      <c r="C410" s="2" t="s">
        <v>1529</v>
      </c>
      <c r="D410" s="2" t="s">
        <v>2550</v>
      </c>
      <c r="E410" s="2" t="s">
        <v>1205</v>
      </c>
      <c r="F410" s="2" t="s">
        <v>1102</v>
      </c>
      <c r="G410" s="15">
        <f>SUMIF(orders!B:B,A410,orders!F:F)</f>
        <v>0</v>
      </c>
      <c r="H410" s="15">
        <f>COUNTIF(orders!B:B,A410)</f>
        <v>0</v>
      </c>
      <c r="I410" s="15" t="str">
        <f t="shared" si="7"/>
        <v>One-Time Customer</v>
      </c>
    </row>
    <row r="411" spans="1:9" ht="14.25" customHeight="1" x14ac:dyDescent="0.3">
      <c r="A411" s="2" t="s">
        <v>2551</v>
      </c>
      <c r="B411" s="2" t="s">
        <v>2552</v>
      </c>
      <c r="C411" s="2" t="s">
        <v>1602</v>
      </c>
      <c r="D411" s="2" t="s">
        <v>2553</v>
      </c>
      <c r="E411" s="2" t="s">
        <v>1116</v>
      </c>
      <c r="F411" s="2" t="s">
        <v>1117</v>
      </c>
      <c r="G411" s="15">
        <f>SUMIF(orders!B:B,A411,orders!F:F)</f>
        <v>0</v>
      </c>
      <c r="H411" s="15">
        <f>COUNTIF(orders!B:B,A411)</f>
        <v>0</v>
      </c>
      <c r="I411" s="15" t="str">
        <f t="shared" si="7"/>
        <v>One-Time Customer</v>
      </c>
    </row>
    <row r="412" spans="1:9" ht="14.25" customHeight="1" x14ac:dyDescent="0.3">
      <c r="A412" s="2" t="s">
        <v>2554</v>
      </c>
      <c r="B412" s="2" t="s">
        <v>2555</v>
      </c>
      <c r="C412" s="2" t="s">
        <v>1499</v>
      </c>
      <c r="D412" s="2" t="s">
        <v>1919</v>
      </c>
      <c r="E412" s="2" t="s">
        <v>1147</v>
      </c>
      <c r="F412" s="2" t="s">
        <v>1130</v>
      </c>
      <c r="G412" s="15">
        <f>SUMIF(orders!B:B,A412,orders!F:F)</f>
        <v>0</v>
      </c>
      <c r="H412" s="15">
        <f>COUNTIF(orders!B:B,A412)</f>
        <v>0</v>
      </c>
      <c r="I412" s="15" t="str">
        <f t="shared" si="7"/>
        <v>One-Time Customer</v>
      </c>
    </row>
    <row r="413" spans="1:9" ht="14.25" customHeight="1" x14ac:dyDescent="0.3">
      <c r="A413" s="2" t="s">
        <v>2556</v>
      </c>
      <c r="B413" s="2" t="s">
        <v>2557</v>
      </c>
      <c r="C413" s="2" t="s">
        <v>2239</v>
      </c>
      <c r="D413" s="2" t="s">
        <v>1919</v>
      </c>
      <c r="E413" s="2" t="s">
        <v>1205</v>
      </c>
      <c r="F413" s="2" t="s">
        <v>1102</v>
      </c>
      <c r="G413" s="15">
        <f>SUMIF(orders!B:B,A413,orders!F:F)</f>
        <v>38.11</v>
      </c>
      <c r="H413" s="15">
        <f>COUNTIF(orders!B:B,A413)</f>
        <v>1</v>
      </c>
      <c r="I413" s="15" t="str">
        <f t="shared" si="7"/>
        <v>One-Time Customer</v>
      </c>
    </row>
    <row r="414" spans="1:9" ht="14.25" customHeight="1" x14ac:dyDescent="0.3">
      <c r="A414" s="2" t="s">
        <v>2558</v>
      </c>
      <c r="B414" s="2" t="s">
        <v>2559</v>
      </c>
      <c r="C414" s="2" t="s">
        <v>1608</v>
      </c>
      <c r="D414" s="2" t="s">
        <v>1618</v>
      </c>
      <c r="E414" s="2" t="s">
        <v>1109</v>
      </c>
      <c r="F414" s="2" t="s">
        <v>1110</v>
      </c>
      <c r="G414" s="15">
        <f>SUMIF(orders!B:B,A414,orders!F:F)</f>
        <v>0</v>
      </c>
      <c r="H414" s="15">
        <f>COUNTIF(orders!B:B,A414)</f>
        <v>0</v>
      </c>
      <c r="I414" s="15" t="str">
        <f t="shared" si="7"/>
        <v>One-Time Customer</v>
      </c>
    </row>
    <row r="415" spans="1:9" ht="14.25" customHeight="1" x14ac:dyDescent="0.3">
      <c r="A415" s="2" t="s">
        <v>2560</v>
      </c>
      <c r="B415" s="2" t="s">
        <v>2561</v>
      </c>
      <c r="C415" s="2" t="s">
        <v>1397</v>
      </c>
      <c r="D415" s="2" t="s">
        <v>1522</v>
      </c>
      <c r="E415" s="2" t="s">
        <v>1454</v>
      </c>
      <c r="F415" s="2" t="s">
        <v>1118</v>
      </c>
      <c r="G415" s="15">
        <f>SUMIF(orders!B:B,A415,orders!F:F)</f>
        <v>0</v>
      </c>
      <c r="H415" s="15">
        <f>COUNTIF(orders!B:B,A415)</f>
        <v>0</v>
      </c>
      <c r="I415" s="15" t="str">
        <f t="shared" si="7"/>
        <v>One-Time Customer</v>
      </c>
    </row>
    <row r="416" spans="1:9" ht="14.25" customHeight="1" x14ac:dyDescent="0.3">
      <c r="A416" s="2" t="s">
        <v>2562</v>
      </c>
      <c r="B416" s="2" t="s">
        <v>2563</v>
      </c>
      <c r="C416" s="2" t="s">
        <v>1532</v>
      </c>
      <c r="D416" s="2" t="s">
        <v>1742</v>
      </c>
      <c r="E416" s="2" t="s">
        <v>1109</v>
      </c>
      <c r="F416" s="2" t="s">
        <v>1110</v>
      </c>
      <c r="G416" s="15">
        <f>SUMIF(orders!B:B,A416,orders!F:F)</f>
        <v>0</v>
      </c>
      <c r="H416" s="15">
        <f>COUNTIF(orders!B:B,A416)</f>
        <v>0</v>
      </c>
      <c r="I416" s="15" t="str">
        <f t="shared" si="7"/>
        <v>One-Time Customer</v>
      </c>
    </row>
    <row r="417" spans="1:9" ht="14.25" customHeight="1" x14ac:dyDescent="0.3">
      <c r="A417" s="2" t="s">
        <v>2564</v>
      </c>
      <c r="B417" s="2" t="s">
        <v>2565</v>
      </c>
      <c r="C417" s="2" t="s">
        <v>1432</v>
      </c>
      <c r="D417" s="2" t="s">
        <v>1547</v>
      </c>
      <c r="E417" s="2" t="s">
        <v>1270</v>
      </c>
      <c r="F417" s="2" t="s">
        <v>1130</v>
      </c>
      <c r="G417" s="15">
        <f>SUMIF(orders!B:B,A417,orders!F:F)</f>
        <v>150.78</v>
      </c>
      <c r="H417" s="15">
        <f>COUNTIF(orders!B:B,A417)</f>
        <v>2</v>
      </c>
      <c r="I417" s="15" t="str">
        <f t="shared" si="7"/>
        <v>Repeat Customer</v>
      </c>
    </row>
    <row r="418" spans="1:9" ht="14.25" customHeight="1" x14ac:dyDescent="0.3">
      <c r="A418" s="2" t="s">
        <v>2566</v>
      </c>
      <c r="B418" s="2" t="s">
        <v>2567</v>
      </c>
      <c r="C418" s="2" t="s">
        <v>2029</v>
      </c>
      <c r="D418" s="2" t="s">
        <v>2568</v>
      </c>
      <c r="E418" s="2" t="s">
        <v>1555</v>
      </c>
      <c r="F418" s="2" t="s">
        <v>1118</v>
      </c>
      <c r="G418" s="15">
        <f>SUMIF(orders!B:B,A418,orders!F:F)</f>
        <v>85.71</v>
      </c>
      <c r="H418" s="15">
        <f>COUNTIF(orders!B:B,A418)</f>
        <v>1</v>
      </c>
      <c r="I418" s="15" t="str">
        <f t="shared" si="7"/>
        <v>One-Time Customer</v>
      </c>
    </row>
    <row r="419" spans="1:9" ht="14.25" customHeight="1" x14ac:dyDescent="0.3">
      <c r="A419" s="2" t="s">
        <v>2569</v>
      </c>
      <c r="B419" s="2" t="s">
        <v>2570</v>
      </c>
      <c r="C419" s="2" t="s">
        <v>2571</v>
      </c>
      <c r="D419" s="2" t="s">
        <v>1771</v>
      </c>
      <c r="E419" s="2" t="s">
        <v>1151</v>
      </c>
      <c r="F419" s="2" t="s">
        <v>1102</v>
      </c>
      <c r="G419" s="15">
        <f>SUMIF(orders!B:B,A419,orders!F:F)</f>
        <v>0</v>
      </c>
      <c r="H419" s="15">
        <f>COUNTIF(orders!B:B,A419)</f>
        <v>0</v>
      </c>
      <c r="I419" s="15" t="str">
        <f t="shared" si="7"/>
        <v>One-Time Customer</v>
      </c>
    </row>
    <row r="420" spans="1:9" ht="14.25" customHeight="1" x14ac:dyDescent="0.3">
      <c r="A420" s="2" t="s">
        <v>2572</v>
      </c>
      <c r="B420" s="2" t="s">
        <v>2573</v>
      </c>
      <c r="C420" s="2" t="s">
        <v>1562</v>
      </c>
      <c r="D420" s="2" t="s">
        <v>1357</v>
      </c>
      <c r="E420" s="2" t="s">
        <v>1603</v>
      </c>
      <c r="F420" s="2" t="s">
        <v>1102</v>
      </c>
      <c r="G420" s="15">
        <f>SUMIF(orders!B:B,A420,orders!F:F)</f>
        <v>0</v>
      </c>
      <c r="H420" s="15">
        <f>COUNTIF(orders!B:B,A420)</f>
        <v>0</v>
      </c>
      <c r="I420" s="15" t="str">
        <f t="shared" si="7"/>
        <v>One-Time Customer</v>
      </c>
    </row>
    <row r="421" spans="1:9" ht="14.25" customHeight="1" x14ac:dyDescent="0.3">
      <c r="A421" s="2" t="s">
        <v>2574</v>
      </c>
      <c r="B421" s="2" t="s">
        <v>2575</v>
      </c>
      <c r="C421" s="2" t="s">
        <v>1397</v>
      </c>
      <c r="D421" s="2" t="s">
        <v>1947</v>
      </c>
      <c r="E421" s="2" t="s">
        <v>1155</v>
      </c>
      <c r="F421" s="2" t="s">
        <v>1130</v>
      </c>
      <c r="G421" s="15">
        <f>SUMIF(orders!B:B,A421,orders!F:F)</f>
        <v>0</v>
      </c>
      <c r="H421" s="15">
        <f>COUNTIF(orders!B:B,A421)</f>
        <v>0</v>
      </c>
      <c r="I421" s="15" t="str">
        <f t="shared" si="7"/>
        <v>One-Time Customer</v>
      </c>
    </row>
    <row r="422" spans="1:9" ht="14.25" customHeight="1" x14ac:dyDescent="0.3">
      <c r="A422" s="2" t="s">
        <v>2576</v>
      </c>
      <c r="B422" s="2" t="s">
        <v>2577</v>
      </c>
      <c r="C422" s="2" t="s">
        <v>1669</v>
      </c>
      <c r="D422" s="2" t="s">
        <v>1982</v>
      </c>
      <c r="E422" s="2" t="s">
        <v>1514</v>
      </c>
      <c r="F422" s="2" t="s">
        <v>1130</v>
      </c>
      <c r="G422" s="15">
        <f>SUMIF(orders!B:B,A422,orders!F:F)</f>
        <v>0</v>
      </c>
      <c r="H422" s="15">
        <f>COUNTIF(orders!B:B,A422)</f>
        <v>0</v>
      </c>
      <c r="I422" s="15" t="str">
        <f t="shared" si="7"/>
        <v>One-Time Customer</v>
      </c>
    </row>
    <row r="423" spans="1:9" ht="14.25" customHeight="1" x14ac:dyDescent="0.3">
      <c r="A423" s="2" t="s">
        <v>2578</v>
      </c>
      <c r="B423" s="2" t="s">
        <v>2579</v>
      </c>
      <c r="C423" s="2" t="s">
        <v>1862</v>
      </c>
      <c r="D423" s="2" t="s">
        <v>1750</v>
      </c>
      <c r="E423" s="2" t="s">
        <v>1270</v>
      </c>
      <c r="F423" s="2" t="s">
        <v>1130</v>
      </c>
      <c r="G423" s="15">
        <f>SUMIF(orders!B:B,A423,orders!F:F)</f>
        <v>0</v>
      </c>
      <c r="H423" s="15">
        <f>COUNTIF(orders!B:B,A423)</f>
        <v>0</v>
      </c>
      <c r="I423" s="15" t="str">
        <f t="shared" si="7"/>
        <v>One-Time Customer</v>
      </c>
    </row>
    <row r="424" spans="1:9" ht="14.25" customHeight="1" x14ac:dyDescent="0.3">
      <c r="A424" s="2" t="s">
        <v>2580</v>
      </c>
      <c r="B424" s="2" t="s">
        <v>2581</v>
      </c>
      <c r="C424" s="2" t="s">
        <v>1960</v>
      </c>
      <c r="D424" s="2" t="s">
        <v>2055</v>
      </c>
      <c r="E424" s="2" t="s">
        <v>2474</v>
      </c>
      <c r="F424" s="2" t="s">
        <v>1110</v>
      </c>
      <c r="G424" s="15">
        <f>SUMIF(orders!B:B,A424,orders!F:F)</f>
        <v>0</v>
      </c>
      <c r="H424" s="15">
        <f>COUNTIF(orders!B:B,A424)</f>
        <v>0</v>
      </c>
      <c r="I424" s="15" t="str">
        <f t="shared" si="7"/>
        <v>One-Time Customer</v>
      </c>
    </row>
    <row r="425" spans="1:9" ht="14.25" customHeight="1" x14ac:dyDescent="0.3">
      <c r="A425" s="2" t="s">
        <v>2582</v>
      </c>
      <c r="B425" s="2" t="s">
        <v>2583</v>
      </c>
      <c r="C425" s="2" t="s">
        <v>1858</v>
      </c>
      <c r="D425" s="2" t="s">
        <v>1919</v>
      </c>
      <c r="E425" s="2" t="s">
        <v>1172</v>
      </c>
      <c r="F425" s="2" t="s">
        <v>1118</v>
      </c>
      <c r="G425" s="15">
        <f>SUMIF(orders!B:B,A425,orders!F:F)</f>
        <v>0</v>
      </c>
      <c r="H425" s="15">
        <f>COUNTIF(orders!B:B,A425)</f>
        <v>0</v>
      </c>
      <c r="I425" s="15" t="str">
        <f t="shared" si="7"/>
        <v>One-Time Customer</v>
      </c>
    </row>
    <row r="426" spans="1:9" ht="14.25" customHeight="1" x14ac:dyDescent="0.3">
      <c r="A426" s="2" t="s">
        <v>2584</v>
      </c>
      <c r="B426" s="2" t="s">
        <v>2585</v>
      </c>
      <c r="C426" s="2" t="s">
        <v>1595</v>
      </c>
      <c r="D426" s="2" t="s">
        <v>1863</v>
      </c>
      <c r="E426" s="2" t="s">
        <v>1151</v>
      </c>
      <c r="F426" s="2" t="s">
        <v>1102</v>
      </c>
      <c r="G426" s="15">
        <f>SUMIF(orders!B:B,A426,orders!F:F)</f>
        <v>0</v>
      </c>
      <c r="H426" s="15">
        <f>COUNTIF(orders!B:B,A426)</f>
        <v>0</v>
      </c>
      <c r="I426" s="15" t="str">
        <f t="shared" si="7"/>
        <v>One-Time Customer</v>
      </c>
    </row>
    <row r="427" spans="1:9" ht="14.25" customHeight="1" x14ac:dyDescent="0.3">
      <c r="A427" s="2" t="s">
        <v>2586</v>
      </c>
      <c r="B427" s="2" t="s">
        <v>2587</v>
      </c>
      <c r="C427" s="2" t="s">
        <v>1529</v>
      </c>
      <c r="D427" s="2" t="s">
        <v>1982</v>
      </c>
      <c r="E427" s="2" t="s">
        <v>1205</v>
      </c>
      <c r="F427" s="2" t="s">
        <v>1102</v>
      </c>
      <c r="G427" s="15">
        <f>SUMIF(orders!B:B,A427,orders!F:F)</f>
        <v>11.92</v>
      </c>
      <c r="H427" s="15">
        <f>COUNTIF(orders!B:B,A427)</f>
        <v>1</v>
      </c>
      <c r="I427" s="15" t="str">
        <f t="shared" si="7"/>
        <v>One-Time Customer</v>
      </c>
    </row>
    <row r="428" spans="1:9" ht="14.25" customHeight="1" x14ac:dyDescent="0.3">
      <c r="A428" s="2" t="s">
        <v>2588</v>
      </c>
      <c r="B428" s="2" t="s">
        <v>2589</v>
      </c>
      <c r="C428" s="2" t="s">
        <v>1608</v>
      </c>
      <c r="D428" s="2" t="s">
        <v>1657</v>
      </c>
      <c r="E428" s="2" t="s">
        <v>1270</v>
      </c>
      <c r="F428" s="2" t="s">
        <v>1130</v>
      </c>
      <c r="G428" s="15">
        <f>SUMIF(orders!B:B,A428,orders!F:F)</f>
        <v>0</v>
      </c>
      <c r="H428" s="15">
        <f>COUNTIF(orders!B:B,A428)</f>
        <v>0</v>
      </c>
      <c r="I428" s="15" t="str">
        <f t="shared" si="7"/>
        <v>One-Time Customer</v>
      </c>
    </row>
    <row r="429" spans="1:9" ht="14.25" customHeight="1" x14ac:dyDescent="0.3">
      <c r="A429" s="2" t="s">
        <v>2590</v>
      </c>
      <c r="B429" s="2" t="s">
        <v>2591</v>
      </c>
      <c r="C429" s="2" t="s">
        <v>1960</v>
      </c>
      <c r="D429" s="2" t="s">
        <v>2592</v>
      </c>
      <c r="E429" s="2" t="s">
        <v>1151</v>
      </c>
      <c r="F429" s="2" t="s">
        <v>1102</v>
      </c>
      <c r="G429" s="15">
        <f>SUMIF(orders!B:B,A429,orders!F:F)</f>
        <v>24.270000000000003</v>
      </c>
      <c r="H429" s="15">
        <f>COUNTIF(orders!B:B,A429)</f>
        <v>1</v>
      </c>
      <c r="I429" s="15" t="str">
        <f t="shared" ref="I429:I442" si="8">IF(H429&gt;1,"Repeat Customer","One-Time Customer")</f>
        <v>One-Time Customer</v>
      </c>
    </row>
    <row r="430" spans="1:9" ht="14.25" customHeight="1" x14ac:dyDescent="0.3">
      <c r="A430" s="2" t="s">
        <v>2593</v>
      </c>
      <c r="B430" s="2" t="s">
        <v>2594</v>
      </c>
      <c r="C430" s="2" t="s">
        <v>1202</v>
      </c>
      <c r="D430" s="2" t="s">
        <v>1771</v>
      </c>
      <c r="E430" s="2" t="s">
        <v>1407</v>
      </c>
      <c r="F430" s="2" t="s">
        <v>1118</v>
      </c>
      <c r="G430" s="15">
        <f>SUMIF(orders!B:B,A430,orders!F:F)</f>
        <v>0</v>
      </c>
      <c r="H430" s="15">
        <f>COUNTIF(orders!B:B,A430)</f>
        <v>0</v>
      </c>
      <c r="I430" s="15" t="str">
        <f t="shared" si="8"/>
        <v>One-Time Customer</v>
      </c>
    </row>
    <row r="431" spans="1:9" ht="14.25" customHeight="1" x14ac:dyDescent="0.3">
      <c r="A431" s="2" t="s">
        <v>2595</v>
      </c>
      <c r="B431" s="2" t="s">
        <v>2596</v>
      </c>
      <c r="C431" s="2" t="s">
        <v>1562</v>
      </c>
      <c r="D431" s="2" t="s">
        <v>1919</v>
      </c>
      <c r="E431" s="2" t="s">
        <v>1296</v>
      </c>
      <c r="F431" s="2" t="s">
        <v>1117</v>
      </c>
      <c r="G431" s="15">
        <f>SUMIF(orders!B:B,A431,orders!F:F)</f>
        <v>0</v>
      </c>
      <c r="H431" s="15">
        <f>COUNTIF(orders!B:B,A431)</f>
        <v>0</v>
      </c>
      <c r="I431" s="15" t="str">
        <f t="shared" si="8"/>
        <v>One-Time Customer</v>
      </c>
    </row>
    <row r="432" spans="1:9" ht="14.25" customHeight="1" x14ac:dyDescent="0.3">
      <c r="A432" s="2" t="s">
        <v>2597</v>
      </c>
      <c r="B432" s="2" t="s">
        <v>2598</v>
      </c>
      <c r="C432" s="2" t="s">
        <v>2404</v>
      </c>
      <c r="D432" s="2" t="s">
        <v>1782</v>
      </c>
      <c r="E432" s="2" t="s">
        <v>1155</v>
      </c>
      <c r="F432" s="2" t="s">
        <v>1130</v>
      </c>
      <c r="G432" s="15">
        <f>SUMIF(orders!B:B,A432,orders!F:F)</f>
        <v>0</v>
      </c>
      <c r="H432" s="15">
        <f>COUNTIF(orders!B:B,A432)</f>
        <v>0</v>
      </c>
      <c r="I432" s="15" t="str">
        <f t="shared" si="8"/>
        <v>One-Time Customer</v>
      </c>
    </row>
    <row r="433" spans="1:9" ht="14.25" customHeight="1" x14ac:dyDescent="0.3">
      <c r="A433" s="2" t="s">
        <v>2599</v>
      </c>
      <c r="B433" s="2" t="s">
        <v>2600</v>
      </c>
      <c r="C433" s="2" t="s">
        <v>1858</v>
      </c>
      <c r="D433" s="2" t="s">
        <v>1547</v>
      </c>
      <c r="E433" s="2" t="s">
        <v>1407</v>
      </c>
      <c r="F433" s="2" t="s">
        <v>1118</v>
      </c>
      <c r="G433" s="15">
        <f>SUMIF(orders!B:B,A433,orders!F:F)</f>
        <v>0</v>
      </c>
      <c r="H433" s="15">
        <f>COUNTIF(orders!B:B,A433)</f>
        <v>0</v>
      </c>
      <c r="I433" s="15" t="str">
        <f t="shared" si="8"/>
        <v>One-Time Customer</v>
      </c>
    </row>
    <row r="434" spans="1:9" ht="14.25" customHeight="1" x14ac:dyDescent="0.3">
      <c r="A434" s="2" t="s">
        <v>2601</v>
      </c>
      <c r="B434" s="2" t="s">
        <v>2602</v>
      </c>
      <c r="C434" s="2" t="s">
        <v>1499</v>
      </c>
      <c r="D434" s="2" t="s">
        <v>1922</v>
      </c>
      <c r="E434" s="2" t="s">
        <v>1296</v>
      </c>
      <c r="F434" s="2" t="s">
        <v>1117</v>
      </c>
      <c r="G434" s="15">
        <f>SUMIF(orders!B:B,A434,orders!F:F)</f>
        <v>0</v>
      </c>
      <c r="H434" s="15">
        <f>COUNTIF(orders!B:B,A434)</f>
        <v>0</v>
      </c>
      <c r="I434" s="15" t="str">
        <f t="shared" si="8"/>
        <v>One-Time Customer</v>
      </c>
    </row>
    <row r="435" spans="1:9" ht="14.25" customHeight="1" x14ac:dyDescent="0.3">
      <c r="A435" s="2" t="s">
        <v>2603</v>
      </c>
      <c r="B435" s="2" t="s">
        <v>2604</v>
      </c>
      <c r="C435" s="2" t="s">
        <v>1788</v>
      </c>
      <c r="D435" s="2" t="s">
        <v>1826</v>
      </c>
      <c r="E435" s="2" t="s">
        <v>1359</v>
      </c>
      <c r="F435" s="2" t="s">
        <v>1102</v>
      </c>
      <c r="G435" s="15">
        <f>SUMIF(orders!B:B,A435,orders!F:F)</f>
        <v>0</v>
      </c>
      <c r="H435" s="15">
        <f>COUNTIF(orders!B:B,A435)</f>
        <v>0</v>
      </c>
      <c r="I435" s="15" t="str">
        <f t="shared" si="8"/>
        <v>One-Time Customer</v>
      </c>
    </row>
    <row r="436" spans="1:9" ht="14.25" customHeight="1" x14ac:dyDescent="0.3">
      <c r="A436" s="2" t="s">
        <v>2605</v>
      </c>
      <c r="B436" s="2" t="s">
        <v>2606</v>
      </c>
      <c r="C436" s="2" t="s">
        <v>1862</v>
      </c>
      <c r="D436" s="2" t="s">
        <v>2607</v>
      </c>
      <c r="E436" s="2" t="s">
        <v>1172</v>
      </c>
      <c r="F436" s="2" t="s">
        <v>1118</v>
      </c>
      <c r="G436" s="15">
        <f>SUMIF(orders!B:B,A436,orders!F:F)</f>
        <v>0</v>
      </c>
      <c r="H436" s="15">
        <f>COUNTIF(orders!B:B,A436)</f>
        <v>0</v>
      </c>
      <c r="I436" s="15" t="str">
        <f t="shared" si="8"/>
        <v>One-Time Customer</v>
      </c>
    </row>
    <row r="437" spans="1:9" ht="14.25" customHeight="1" x14ac:dyDescent="0.3">
      <c r="A437" s="2" t="s">
        <v>2608</v>
      </c>
      <c r="B437" s="2" t="s">
        <v>2609</v>
      </c>
      <c r="C437" s="2" t="s">
        <v>2001</v>
      </c>
      <c r="D437" s="2" t="s">
        <v>1565</v>
      </c>
      <c r="E437" s="2" t="s">
        <v>1654</v>
      </c>
      <c r="F437" s="2" t="s">
        <v>1110</v>
      </c>
      <c r="G437" s="15">
        <f>SUMIF(orders!B:B,A437,orders!F:F)</f>
        <v>0</v>
      </c>
      <c r="H437" s="15">
        <f>COUNTIF(orders!B:B,A437)</f>
        <v>0</v>
      </c>
      <c r="I437" s="15" t="str">
        <f t="shared" si="8"/>
        <v>One-Time Customer</v>
      </c>
    </row>
    <row r="438" spans="1:9" ht="14.25" customHeight="1" x14ac:dyDescent="0.3">
      <c r="A438" s="2" t="s">
        <v>2610</v>
      </c>
      <c r="B438" s="2" t="s">
        <v>2611</v>
      </c>
      <c r="C438" s="2" t="s">
        <v>2005</v>
      </c>
      <c r="D438" s="2" t="s">
        <v>2006</v>
      </c>
      <c r="E438" s="2" t="s">
        <v>1603</v>
      </c>
      <c r="F438" s="2" t="s">
        <v>1102</v>
      </c>
      <c r="G438" s="15">
        <f>SUMIF(orders!B:B,A438,orders!F:F)</f>
        <v>0</v>
      </c>
      <c r="H438" s="15">
        <f>COUNTIF(orders!B:B,A438)</f>
        <v>0</v>
      </c>
      <c r="I438" s="15" t="str">
        <f t="shared" si="8"/>
        <v>One-Time Customer</v>
      </c>
    </row>
    <row r="439" spans="1:9" ht="14.25" customHeight="1" x14ac:dyDescent="0.3">
      <c r="A439" s="2" t="s">
        <v>2612</v>
      </c>
      <c r="B439" s="2" t="s">
        <v>2613</v>
      </c>
      <c r="C439" s="2" t="s">
        <v>1891</v>
      </c>
      <c r="D439" s="2" t="s">
        <v>2614</v>
      </c>
      <c r="E439" s="2" t="s">
        <v>1159</v>
      </c>
      <c r="F439" s="2" t="s">
        <v>1117</v>
      </c>
      <c r="G439" s="15">
        <f>SUMIF(orders!B:B,A439,orders!F:F)</f>
        <v>0</v>
      </c>
      <c r="H439" s="15">
        <f>COUNTIF(orders!B:B,A439)</f>
        <v>0</v>
      </c>
      <c r="I439" s="15" t="str">
        <f t="shared" si="8"/>
        <v>One-Time Customer</v>
      </c>
    </row>
    <row r="440" spans="1:9" ht="14.25" customHeight="1" x14ac:dyDescent="0.3">
      <c r="A440" s="2" t="s">
        <v>2615</v>
      </c>
      <c r="B440" s="2" t="s">
        <v>2616</v>
      </c>
      <c r="C440" s="2" t="s">
        <v>1971</v>
      </c>
      <c r="D440" s="2" t="s">
        <v>1677</v>
      </c>
      <c r="E440" s="2" t="s">
        <v>1658</v>
      </c>
      <c r="F440" s="2" t="s">
        <v>1117</v>
      </c>
      <c r="G440" s="15">
        <f>SUMIF(orders!B:B,A440,orders!F:F)</f>
        <v>0</v>
      </c>
      <c r="H440" s="15">
        <f>COUNTIF(orders!B:B,A440)</f>
        <v>0</v>
      </c>
      <c r="I440" s="15" t="str">
        <f t="shared" si="8"/>
        <v>One-Time Customer</v>
      </c>
    </row>
    <row r="441" spans="1:9" ht="14.25" customHeight="1" x14ac:dyDescent="0.3">
      <c r="A441" s="2" t="s">
        <v>2617</v>
      </c>
      <c r="B441" s="2" t="s">
        <v>2618</v>
      </c>
      <c r="C441" s="2" t="s">
        <v>1878</v>
      </c>
      <c r="D441" s="2" t="s">
        <v>1966</v>
      </c>
      <c r="E441" s="2" t="s">
        <v>1319</v>
      </c>
      <c r="F441" s="2" t="s">
        <v>1118</v>
      </c>
      <c r="G441" s="15">
        <f>SUMIF(orders!B:B,A441,orders!F:F)</f>
        <v>0</v>
      </c>
      <c r="H441" s="15">
        <f>COUNTIF(orders!B:B,A441)</f>
        <v>0</v>
      </c>
      <c r="I441" s="15" t="str">
        <f t="shared" si="8"/>
        <v>One-Time Customer</v>
      </c>
    </row>
    <row r="442" spans="1:9" ht="14.25" customHeight="1" x14ac:dyDescent="0.3">
      <c r="A442" s="2" t="s">
        <v>2619</v>
      </c>
      <c r="B442" s="2" t="s">
        <v>2620</v>
      </c>
      <c r="C442" s="2" t="s">
        <v>1891</v>
      </c>
      <c r="D442" s="2" t="s">
        <v>2002</v>
      </c>
      <c r="E442" s="2" t="s">
        <v>1147</v>
      </c>
      <c r="F442" s="2" t="s">
        <v>1130</v>
      </c>
      <c r="G442" s="15">
        <f>SUMIF(orders!B:B,A442,orders!F:F)</f>
        <v>0</v>
      </c>
      <c r="H442" s="15">
        <f>COUNTIF(orders!B:B,A442)</f>
        <v>0</v>
      </c>
      <c r="I442" s="15" t="str">
        <f t="shared" si="8"/>
        <v>One-Time Customer</v>
      </c>
    </row>
    <row r="443" spans="1:9" ht="14.25" customHeight="1" x14ac:dyDescent="0.3"/>
    <row r="444" spans="1:9" ht="14.25" customHeight="1" x14ac:dyDescent="0.3"/>
    <row r="445" spans="1:9" ht="14.25" customHeight="1" x14ac:dyDescent="0.3"/>
    <row r="446" spans="1:9" ht="14.25" customHeight="1" x14ac:dyDescent="0.3"/>
    <row r="447" spans="1:9" ht="14.25" customHeight="1" x14ac:dyDescent="0.3"/>
    <row r="448" spans="1:9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5" right="0.75" top="1" bottom="1" header="0" footer="0"/>
  <pageSetup orientation="landscape"/>
  <tableParts count="1">
    <tablePart r:id="rId6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000"/>
  <sheetViews>
    <sheetView workbookViewId="0">
      <pane ySplit="1" topLeftCell="A468" activePane="bottomLeft" state="frozen"/>
      <selection pane="bottomLeft" activeCell="F482" sqref="F482"/>
    </sheetView>
  </sheetViews>
  <sheetFormatPr defaultColWidth="14.44140625" defaultRowHeight="15" customHeight="1" x14ac:dyDescent="0.3"/>
  <cols>
    <col min="1" max="1" width="12.6640625" bestFit="1" customWidth="1"/>
    <col min="2" max="2" width="16" bestFit="1" customWidth="1"/>
    <col min="3" max="5" width="18.33203125" bestFit="1" customWidth="1"/>
    <col min="6" max="6" width="19.44140625" style="6" bestFit="1" customWidth="1"/>
    <col min="7" max="7" width="28" bestFit="1" customWidth="1"/>
    <col min="8" max="9" width="28" customWidth="1"/>
    <col min="10" max="11" width="8.6640625" customWidth="1"/>
    <col min="12" max="12" width="18.88671875" customWidth="1"/>
    <col min="13" max="27" width="8.6640625" customWidth="1"/>
  </cols>
  <sheetData>
    <row r="1" spans="1:13" s="24" customFormat="1" ht="14.25" customHeight="1" x14ac:dyDescent="0.3">
      <c r="A1" s="1" t="s">
        <v>2621</v>
      </c>
      <c r="B1" s="1" t="s">
        <v>1438</v>
      </c>
      <c r="C1" s="1" t="s">
        <v>2622</v>
      </c>
      <c r="D1" s="1" t="s">
        <v>2623</v>
      </c>
      <c r="E1" s="1" t="s">
        <v>2624</v>
      </c>
      <c r="F1" s="7" t="s">
        <v>2625</v>
      </c>
      <c r="G1" s="5" t="s">
        <v>2626</v>
      </c>
      <c r="H1" s="22" t="s">
        <v>2627</v>
      </c>
      <c r="I1" s="23" t="s">
        <v>2628</v>
      </c>
    </row>
    <row r="2" spans="1:13" ht="14.25" customHeight="1" x14ac:dyDescent="0.3">
      <c r="A2" s="2" t="s">
        <v>2629</v>
      </c>
      <c r="B2" s="2" t="s">
        <v>1461</v>
      </c>
      <c r="C2" s="3">
        <v>45322.507650462961</v>
      </c>
      <c r="D2" s="3">
        <v>45333</v>
      </c>
      <c r="E2" s="3">
        <v>45333.672800925917</v>
      </c>
      <c r="F2" s="6">
        <v>18.740000000000002</v>
      </c>
      <c r="G2">
        <f>INT(E2)-INT(D2)</f>
        <v>0</v>
      </c>
      <c r="H2" s="20">
        <v>11.16515046</v>
      </c>
      <c r="I2" s="20">
        <v>-0.67280092599999997</v>
      </c>
      <c r="L2" s="6">
        <f>SUM(F2:F166)</f>
        <v>12430.730000000003</v>
      </c>
      <c r="M2">
        <f>SUM(N267)</f>
        <v>0</v>
      </c>
    </row>
    <row r="3" spans="1:13" ht="14.25" customHeight="1" x14ac:dyDescent="0.3">
      <c r="A3" s="2" t="s">
        <v>2630</v>
      </c>
      <c r="B3" s="2" t="s">
        <v>1465</v>
      </c>
      <c r="C3" s="3">
        <v>45323.160115740742</v>
      </c>
      <c r="D3" s="3">
        <v>45329</v>
      </c>
      <c r="E3" s="3">
        <v>45329.696157407408</v>
      </c>
      <c r="F3" s="6">
        <v>35.97</v>
      </c>
      <c r="G3">
        <f t="shared" ref="G3:G66" si="0">INT(E3)-INT(D3)</f>
        <v>0</v>
      </c>
      <c r="H3" s="20">
        <v>6.5360416670000001</v>
      </c>
      <c r="I3" s="20">
        <v>-0.69615740699999995</v>
      </c>
    </row>
    <row r="4" spans="1:13" ht="14.25" customHeight="1" x14ac:dyDescent="0.3">
      <c r="A4" s="2" t="s">
        <v>2631</v>
      </c>
      <c r="B4" s="2" t="s">
        <v>1493</v>
      </c>
      <c r="C4" s="3">
        <v>45342.848981481482</v>
      </c>
      <c r="D4" s="3">
        <v>45347</v>
      </c>
      <c r="E4" s="3">
        <v>45347.547986111109</v>
      </c>
      <c r="F4" s="6">
        <v>23.96</v>
      </c>
      <c r="G4">
        <f t="shared" si="0"/>
        <v>0</v>
      </c>
      <c r="H4" s="20">
        <v>4.6990046300000001</v>
      </c>
      <c r="I4" s="20">
        <v>-0.54798611100000005</v>
      </c>
    </row>
    <row r="5" spans="1:13" ht="14.25" customHeight="1" x14ac:dyDescent="0.3">
      <c r="A5" s="2" t="s">
        <v>2632</v>
      </c>
      <c r="B5" s="2" t="s">
        <v>1508</v>
      </c>
      <c r="C5" s="3">
        <v>45355.066817129627</v>
      </c>
      <c r="D5" s="3">
        <v>45359</v>
      </c>
      <c r="E5" s="3">
        <v>45361.396192129629</v>
      </c>
      <c r="F5" s="6">
        <v>36.25</v>
      </c>
      <c r="G5">
        <f t="shared" si="0"/>
        <v>2</v>
      </c>
      <c r="H5" s="20">
        <v>6.3293749999999998</v>
      </c>
      <c r="I5" s="20">
        <v>-2.3961921300000002</v>
      </c>
    </row>
    <row r="6" spans="1:13" ht="14.25" customHeight="1" x14ac:dyDescent="0.3">
      <c r="A6" s="2" t="s">
        <v>2633</v>
      </c>
      <c r="B6" s="2" t="s">
        <v>1515</v>
      </c>
      <c r="C6" s="3">
        <v>45356.482905092591</v>
      </c>
      <c r="D6" s="3">
        <v>45358</v>
      </c>
      <c r="E6" s="3">
        <v>45358.604641203703</v>
      </c>
      <c r="F6" s="6">
        <v>7.18</v>
      </c>
      <c r="G6">
        <f t="shared" si="0"/>
        <v>0</v>
      </c>
      <c r="H6" s="20">
        <v>2.1217361110000001</v>
      </c>
      <c r="I6" s="20">
        <v>-0.60464120399999999</v>
      </c>
    </row>
    <row r="7" spans="1:13" ht="14.25" customHeight="1" x14ac:dyDescent="0.3">
      <c r="A7" s="2" t="s">
        <v>2634</v>
      </c>
      <c r="B7" s="2" t="s">
        <v>1510</v>
      </c>
      <c r="C7" s="3">
        <v>45358.174120370371</v>
      </c>
      <c r="D7" s="3">
        <v>45363</v>
      </c>
      <c r="E7" s="3">
        <v>45363.655659722222</v>
      </c>
      <c r="F7" s="6">
        <v>46.28</v>
      </c>
      <c r="G7">
        <f t="shared" si="0"/>
        <v>0</v>
      </c>
      <c r="H7" s="20">
        <v>5.4815393520000004</v>
      </c>
      <c r="I7" s="20">
        <v>-0.655659722</v>
      </c>
    </row>
    <row r="8" spans="1:13" ht="14.25" customHeight="1" x14ac:dyDescent="0.3">
      <c r="A8" s="2" t="s">
        <v>2635</v>
      </c>
      <c r="B8" s="2" t="s">
        <v>1519</v>
      </c>
      <c r="C8" s="3">
        <v>45363.413958333331</v>
      </c>
      <c r="D8" s="3">
        <v>45367</v>
      </c>
      <c r="E8" s="3">
        <v>45367.34443287037</v>
      </c>
      <c r="F8" s="6">
        <v>31.78</v>
      </c>
      <c r="G8">
        <f t="shared" si="0"/>
        <v>0</v>
      </c>
      <c r="H8" s="20">
        <v>3.9304745369999998</v>
      </c>
      <c r="I8" s="20">
        <v>-0.34443287</v>
      </c>
    </row>
    <row r="9" spans="1:13" ht="14.25" customHeight="1" x14ac:dyDescent="0.3">
      <c r="A9" s="2" t="s">
        <v>2636</v>
      </c>
      <c r="B9" s="2" t="s">
        <v>1535</v>
      </c>
      <c r="C9" s="3">
        <v>45376.196956018517</v>
      </c>
      <c r="D9" s="3">
        <v>45381</v>
      </c>
      <c r="E9" s="3">
        <v>45382.512407407397</v>
      </c>
      <c r="F9" s="6">
        <v>20.200000000000003</v>
      </c>
      <c r="G9">
        <f t="shared" si="0"/>
        <v>1</v>
      </c>
      <c r="H9" s="20">
        <v>6.3154513889999997</v>
      </c>
      <c r="I9" s="20">
        <v>-1.512407407</v>
      </c>
    </row>
    <row r="10" spans="1:13" ht="14.25" customHeight="1" x14ac:dyDescent="0.3">
      <c r="A10" s="2" t="s">
        <v>2637</v>
      </c>
      <c r="B10" s="2" t="s">
        <v>1541</v>
      </c>
      <c r="C10" s="3">
        <v>45378.180763888893</v>
      </c>
      <c r="D10" s="3">
        <v>45386</v>
      </c>
      <c r="E10" s="3">
        <v>45386.64234953704</v>
      </c>
      <c r="F10" s="6">
        <v>26.37</v>
      </c>
      <c r="G10">
        <f t="shared" si="0"/>
        <v>0</v>
      </c>
      <c r="H10" s="20">
        <v>8.4615856479999998</v>
      </c>
      <c r="I10" s="20">
        <v>-0.64234953699999997</v>
      </c>
    </row>
    <row r="11" spans="1:13" ht="14.25" customHeight="1" x14ac:dyDescent="0.3">
      <c r="A11" s="2" t="s">
        <v>2638</v>
      </c>
      <c r="B11" s="2" t="s">
        <v>1556</v>
      </c>
      <c r="C11" s="3">
        <v>45384.319293981483</v>
      </c>
      <c r="D11" s="3">
        <v>45389</v>
      </c>
      <c r="E11" s="3">
        <v>45389.65525462963</v>
      </c>
      <c r="F11" s="6">
        <v>45.78</v>
      </c>
      <c r="G11">
        <f t="shared" si="0"/>
        <v>0</v>
      </c>
      <c r="H11" s="20">
        <v>5.3359606480000004</v>
      </c>
      <c r="I11" s="20">
        <v>-0.65525462999999995</v>
      </c>
    </row>
    <row r="12" spans="1:13" ht="14.25" customHeight="1" x14ac:dyDescent="0.3">
      <c r="A12" s="2" t="s">
        <v>2639</v>
      </c>
      <c r="B12" s="2" t="s">
        <v>1560</v>
      </c>
      <c r="C12" s="3">
        <v>45385.499548611107</v>
      </c>
      <c r="D12" s="3">
        <v>45393</v>
      </c>
      <c r="E12" s="3">
        <v>45391.603993055563</v>
      </c>
      <c r="F12" s="6">
        <v>104.6</v>
      </c>
      <c r="G12">
        <f t="shared" si="0"/>
        <v>-2</v>
      </c>
      <c r="H12" s="20">
        <v>6.1044444440000003</v>
      </c>
      <c r="I12" s="20">
        <v>1.396006944</v>
      </c>
    </row>
    <row r="13" spans="1:13" ht="14.25" customHeight="1" x14ac:dyDescent="0.3">
      <c r="A13" s="2" t="s">
        <v>2640</v>
      </c>
      <c r="B13" s="2" t="s">
        <v>1545</v>
      </c>
      <c r="C13" s="3">
        <v>45387.401018518518</v>
      </c>
      <c r="D13" s="3">
        <v>45397</v>
      </c>
      <c r="E13" s="3">
        <v>45396.668055555558</v>
      </c>
      <c r="F13" s="6">
        <v>48.67</v>
      </c>
      <c r="G13">
        <f t="shared" si="0"/>
        <v>-1</v>
      </c>
      <c r="H13" s="20">
        <v>9.2670370369999997</v>
      </c>
      <c r="I13" s="20">
        <v>0.33194444400000001</v>
      </c>
    </row>
    <row r="14" spans="1:13" ht="14.25" customHeight="1" x14ac:dyDescent="0.3">
      <c r="A14" s="2" t="s">
        <v>2641</v>
      </c>
      <c r="B14" s="2" t="s">
        <v>1576</v>
      </c>
      <c r="C14" s="3">
        <v>45388.230879629627</v>
      </c>
      <c r="D14" s="3">
        <v>45392</v>
      </c>
      <c r="E14" s="3">
        <v>45391.499745370369</v>
      </c>
      <c r="F14" s="6">
        <v>37.94</v>
      </c>
      <c r="G14">
        <f t="shared" si="0"/>
        <v>-1</v>
      </c>
      <c r="H14" s="20">
        <v>3.2688657409999999</v>
      </c>
      <c r="I14" s="20">
        <v>0.50025463000000003</v>
      </c>
    </row>
    <row r="15" spans="1:13" ht="14.25" customHeight="1" x14ac:dyDescent="0.3">
      <c r="A15" s="2" t="s">
        <v>2642</v>
      </c>
      <c r="B15" s="2" t="s">
        <v>1611</v>
      </c>
      <c r="C15" s="3">
        <v>45389.090428240743</v>
      </c>
      <c r="D15" s="3">
        <v>45395</v>
      </c>
      <c r="E15" s="3">
        <v>45396.529189814813</v>
      </c>
      <c r="F15" s="6">
        <v>219.65000000000003</v>
      </c>
      <c r="G15">
        <f t="shared" si="0"/>
        <v>1</v>
      </c>
      <c r="H15" s="20">
        <v>7.4387615739999999</v>
      </c>
      <c r="I15" s="20">
        <v>-1.5291898150000001</v>
      </c>
    </row>
    <row r="16" spans="1:13" ht="14.25" customHeight="1" x14ac:dyDescent="0.3">
      <c r="A16" s="2" t="s">
        <v>2643</v>
      </c>
      <c r="B16" s="2" t="s">
        <v>1622</v>
      </c>
      <c r="C16" s="3">
        <v>45389.860543981478</v>
      </c>
      <c r="D16" s="3">
        <v>45396</v>
      </c>
      <c r="E16" s="3">
        <v>45397.516111111108</v>
      </c>
      <c r="F16" s="6">
        <v>30.560000000000002</v>
      </c>
      <c r="G16">
        <f t="shared" si="0"/>
        <v>1</v>
      </c>
      <c r="H16" s="20">
        <v>7.6555671299999997</v>
      </c>
      <c r="I16" s="20">
        <v>-1.5161111110000001</v>
      </c>
    </row>
    <row r="17" spans="1:9" ht="14.25" customHeight="1" x14ac:dyDescent="0.3">
      <c r="A17" s="2" t="s">
        <v>2644</v>
      </c>
      <c r="B17" s="2" t="s">
        <v>1630</v>
      </c>
      <c r="C17" s="3">
        <v>45391.614131944443</v>
      </c>
      <c r="D17" s="3">
        <v>45398</v>
      </c>
      <c r="E17" s="3">
        <v>45398.357094907413</v>
      </c>
      <c r="F17" s="6">
        <v>93.25</v>
      </c>
      <c r="G17">
        <f t="shared" si="0"/>
        <v>0</v>
      </c>
      <c r="H17" s="20">
        <v>6.7429629630000001</v>
      </c>
      <c r="I17" s="20">
        <v>-0.35709490700000002</v>
      </c>
    </row>
    <row r="18" spans="1:9" ht="14.25" customHeight="1" x14ac:dyDescent="0.3">
      <c r="A18" s="2" t="s">
        <v>2645</v>
      </c>
      <c r="B18" s="2" t="s">
        <v>1633</v>
      </c>
      <c r="C18" s="3">
        <v>45393.594814814824</v>
      </c>
      <c r="D18" s="3">
        <v>45401</v>
      </c>
      <c r="E18" s="3">
        <v>45401.5153125</v>
      </c>
      <c r="F18" s="6">
        <v>48.23</v>
      </c>
      <c r="G18">
        <f t="shared" si="0"/>
        <v>0</v>
      </c>
      <c r="H18" s="20">
        <v>7.920497685</v>
      </c>
      <c r="I18" s="20">
        <v>-0.51531249999999995</v>
      </c>
    </row>
    <row r="19" spans="1:9" ht="14.25" customHeight="1" x14ac:dyDescent="0.3">
      <c r="A19" s="2" t="s">
        <v>2646</v>
      </c>
      <c r="B19" s="2" t="s">
        <v>1650</v>
      </c>
      <c r="C19" s="3">
        <v>45397.27648148148</v>
      </c>
      <c r="D19" s="3">
        <v>45402</v>
      </c>
      <c r="E19" s="3">
        <v>45402.500590277778</v>
      </c>
      <c r="F19" s="6">
        <v>20.69</v>
      </c>
      <c r="G19">
        <f t="shared" si="0"/>
        <v>0</v>
      </c>
      <c r="H19" s="20">
        <v>5.2241087960000003</v>
      </c>
      <c r="I19" s="20">
        <v>-0.500590278</v>
      </c>
    </row>
    <row r="20" spans="1:9" ht="14.25" customHeight="1" x14ac:dyDescent="0.3">
      <c r="A20" s="2" t="s">
        <v>2647</v>
      </c>
      <c r="B20" s="2" t="s">
        <v>1560</v>
      </c>
      <c r="C20" s="3">
        <v>45401.792997685188</v>
      </c>
      <c r="D20" s="3">
        <v>45409</v>
      </c>
      <c r="E20" s="3">
        <v>45409.62164351852</v>
      </c>
      <c r="F20" s="6">
        <v>92.28</v>
      </c>
      <c r="G20">
        <f t="shared" si="0"/>
        <v>0</v>
      </c>
      <c r="H20" s="20">
        <v>7.8286458330000004</v>
      </c>
      <c r="I20" s="20">
        <v>-0.62164351900000003</v>
      </c>
    </row>
    <row r="21" spans="1:9" ht="14.25" customHeight="1" x14ac:dyDescent="0.3">
      <c r="A21" s="2" t="s">
        <v>2648</v>
      </c>
      <c r="B21" s="2" t="s">
        <v>1504</v>
      </c>
      <c r="C21" s="3">
        <v>45405.789803240739</v>
      </c>
      <c r="D21" s="3">
        <v>45411</v>
      </c>
      <c r="E21" s="3">
        <v>45410.640069444453</v>
      </c>
      <c r="F21" s="6">
        <v>61.85</v>
      </c>
      <c r="G21">
        <f t="shared" si="0"/>
        <v>-1</v>
      </c>
      <c r="H21" s="20">
        <v>4.8502662040000004</v>
      </c>
      <c r="I21" s="20">
        <v>0.35993055600000001</v>
      </c>
    </row>
    <row r="22" spans="1:9" ht="14.25" customHeight="1" x14ac:dyDescent="0.3">
      <c r="A22" s="2" t="s">
        <v>2649</v>
      </c>
      <c r="B22" s="2" t="s">
        <v>1680</v>
      </c>
      <c r="C22" s="3">
        <v>45406.168993055559</v>
      </c>
      <c r="D22" s="3">
        <v>45411</v>
      </c>
      <c r="E22" s="3">
        <v>45412.446736111109</v>
      </c>
      <c r="F22" s="6">
        <v>37.589999999999996</v>
      </c>
      <c r="G22">
        <f t="shared" si="0"/>
        <v>1</v>
      </c>
      <c r="H22" s="20">
        <v>6.2777430560000003</v>
      </c>
      <c r="I22" s="20">
        <v>-1.4467361110000001</v>
      </c>
    </row>
    <row r="23" spans="1:9" ht="14.25" customHeight="1" x14ac:dyDescent="0.3">
      <c r="A23" s="2" t="s">
        <v>2650</v>
      </c>
      <c r="B23" s="2" t="s">
        <v>1687</v>
      </c>
      <c r="C23" s="3">
        <v>45407.209675925929</v>
      </c>
      <c r="D23" s="3">
        <v>45411</v>
      </c>
      <c r="E23" s="3">
        <v>45411.517905092587</v>
      </c>
      <c r="F23" s="6">
        <v>23.98</v>
      </c>
      <c r="G23">
        <f t="shared" si="0"/>
        <v>0</v>
      </c>
      <c r="H23" s="20">
        <v>4.3082291670000004</v>
      </c>
      <c r="I23" s="20">
        <v>-0.51790509299999998</v>
      </c>
    </row>
    <row r="24" spans="1:9" ht="14.25" customHeight="1" x14ac:dyDescent="0.3">
      <c r="A24" s="2" t="s">
        <v>2651</v>
      </c>
      <c r="B24" s="2" t="s">
        <v>1716</v>
      </c>
      <c r="C24" s="3">
        <v>45413.583055555559</v>
      </c>
      <c r="D24" s="3">
        <v>45419</v>
      </c>
      <c r="E24" s="3">
        <v>45419.381249999999</v>
      </c>
      <c r="F24" s="6">
        <v>114.83</v>
      </c>
      <c r="G24">
        <f t="shared" si="0"/>
        <v>0</v>
      </c>
      <c r="H24" s="20">
        <v>5.7981944439999999</v>
      </c>
      <c r="I24" s="20">
        <v>-0.38124999999999998</v>
      </c>
    </row>
    <row r="25" spans="1:9" ht="14.25" customHeight="1" x14ac:dyDescent="0.3">
      <c r="A25" s="2" t="s">
        <v>2652</v>
      </c>
      <c r="B25" s="2" t="s">
        <v>1722</v>
      </c>
      <c r="C25" s="3">
        <v>45414.582175925927</v>
      </c>
      <c r="D25" s="3">
        <v>45417</v>
      </c>
      <c r="E25" s="3">
        <v>45417.600763888891</v>
      </c>
      <c r="F25" s="6">
        <v>40.309999999999995</v>
      </c>
      <c r="G25">
        <f t="shared" si="0"/>
        <v>0</v>
      </c>
      <c r="H25" s="20">
        <v>3.0185879629999999</v>
      </c>
      <c r="I25" s="20">
        <v>-0.600763889</v>
      </c>
    </row>
    <row r="26" spans="1:9" ht="14.25" customHeight="1" x14ac:dyDescent="0.3">
      <c r="A26" s="2" t="s">
        <v>2653</v>
      </c>
      <c r="B26" s="2" t="s">
        <v>1734</v>
      </c>
      <c r="C26" s="3">
        <v>45418.123356481483</v>
      </c>
      <c r="D26" s="3">
        <v>45424</v>
      </c>
      <c r="E26" s="3">
        <v>45423.705960648149</v>
      </c>
      <c r="F26" s="6">
        <v>167.62</v>
      </c>
      <c r="G26">
        <f t="shared" si="0"/>
        <v>-1</v>
      </c>
      <c r="H26" s="20">
        <v>5.5826041670000004</v>
      </c>
      <c r="I26" s="20">
        <v>0.29403935199999998</v>
      </c>
    </row>
    <row r="27" spans="1:9" ht="14.25" customHeight="1" x14ac:dyDescent="0.3">
      <c r="A27" s="2" t="s">
        <v>2654</v>
      </c>
      <c r="B27" s="2" t="s">
        <v>1737</v>
      </c>
      <c r="C27" s="3">
        <v>45419.255509259259</v>
      </c>
      <c r="D27" s="3">
        <v>45421</v>
      </c>
      <c r="E27" s="3">
        <v>45421.483738425923</v>
      </c>
      <c r="F27" s="6">
        <v>164.86</v>
      </c>
      <c r="G27">
        <f t="shared" si="0"/>
        <v>0</v>
      </c>
      <c r="H27" s="20">
        <v>2.2282291669999998</v>
      </c>
      <c r="I27" s="20">
        <v>-0.483738426</v>
      </c>
    </row>
    <row r="28" spans="1:9" ht="14.25" customHeight="1" x14ac:dyDescent="0.3">
      <c r="A28" s="2" t="s">
        <v>2655</v>
      </c>
      <c r="B28" s="2" t="s">
        <v>1566</v>
      </c>
      <c r="C28" s="3">
        <v>45420.810532407413</v>
      </c>
      <c r="D28" s="3">
        <v>45423</v>
      </c>
      <c r="E28" s="3">
        <v>45423.549502314818</v>
      </c>
      <c r="F28" s="6">
        <v>39.760000000000005</v>
      </c>
      <c r="G28">
        <f t="shared" si="0"/>
        <v>0</v>
      </c>
      <c r="H28" s="20">
        <v>2.738969907</v>
      </c>
      <c r="I28" s="20">
        <v>-0.54950231500000002</v>
      </c>
    </row>
    <row r="29" spans="1:9" ht="14.25" customHeight="1" x14ac:dyDescent="0.3">
      <c r="A29" s="2" t="s">
        <v>2656</v>
      </c>
      <c r="B29" s="2" t="s">
        <v>1740</v>
      </c>
      <c r="C29" s="3">
        <v>45421.649363425917</v>
      </c>
      <c r="D29" s="3">
        <v>45426</v>
      </c>
      <c r="E29" s="3">
        <v>45428.584444444437</v>
      </c>
      <c r="F29" s="6">
        <v>43.79</v>
      </c>
      <c r="G29">
        <f t="shared" si="0"/>
        <v>2</v>
      </c>
      <c r="H29" s="20">
        <v>6.9350810190000001</v>
      </c>
      <c r="I29" s="20">
        <v>-2.5844444439999998</v>
      </c>
    </row>
    <row r="30" spans="1:9" ht="14.25" customHeight="1" x14ac:dyDescent="0.3">
      <c r="A30" s="2" t="s">
        <v>2657</v>
      </c>
      <c r="B30" s="2" t="s">
        <v>1745</v>
      </c>
      <c r="C30" s="3">
        <v>45423.037094907413</v>
      </c>
      <c r="D30" s="3">
        <v>45425</v>
      </c>
      <c r="E30" s="3">
        <v>45425.535763888889</v>
      </c>
      <c r="F30" s="6">
        <v>47.13</v>
      </c>
      <c r="G30">
        <f t="shared" si="0"/>
        <v>0</v>
      </c>
      <c r="H30" s="20">
        <v>2.4986689809999998</v>
      </c>
      <c r="I30" s="20">
        <v>-0.53576388900000005</v>
      </c>
    </row>
    <row r="31" spans="1:9" ht="14.25" customHeight="1" x14ac:dyDescent="0.3">
      <c r="A31" s="2" t="s">
        <v>2658</v>
      </c>
      <c r="B31" s="2" t="s">
        <v>1664</v>
      </c>
      <c r="C31" s="3">
        <v>45423.956620370373</v>
      </c>
      <c r="D31" s="3">
        <v>45433</v>
      </c>
      <c r="E31" s="3">
        <v>45434.572835648149</v>
      </c>
      <c r="F31" s="6">
        <v>32.089999999999996</v>
      </c>
      <c r="G31">
        <f t="shared" si="0"/>
        <v>1</v>
      </c>
      <c r="H31" s="20">
        <v>10.61621528</v>
      </c>
      <c r="I31" s="20">
        <v>-1.5728356480000001</v>
      </c>
    </row>
    <row r="32" spans="1:9" ht="14.25" customHeight="1" x14ac:dyDescent="0.3">
      <c r="A32" s="2" t="s">
        <v>2659</v>
      </c>
      <c r="B32" s="2" t="s">
        <v>1753</v>
      </c>
      <c r="C32" s="3">
        <v>45426.095243055563</v>
      </c>
      <c r="D32" s="3">
        <v>45430</v>
      </c>
      <c r="E32" s="3">
        <v>45432.50476851852</v>
      </c>
      <c r="F32" s="6">
        <v>6.74</v>
      </c>
      <c r="G32">
        <f t="shared" si="0"/>
        <v>2</v>
      </c>
      <c r="H32" s="20">
        <v>6.4095254629999996</v>
      </c>
      <c r="I32" s="20">
        <v>-2.5047685190000002</v>
      </c>
    </row>
    <row r="33" spans="1:9" ht="14.25" customHeight="1" x14ac:dyDescent="0.3">
      <c r="A33" s="2" t="s">
        <v>2660</v>
      </c>
      <c r="B33" s="2" t="s">
        <v>1761</v>
      </c>
      <c r="C33" s="3">
        <v>45428.279756944437</v>
      </c>
      <c r="D33" s="3">
        <v>45435</v>
      </c>
      <c r="E33" s="3">
        <v>45435.662361111114</v>
      </c>
      <c r="F33" s="6">
        <v>63.06</v>
      </c>
      <c r="G33">
        <f t="shared" si="0"/>
        <v>0</v>
      </c>
      <c r="H33" s="20">
        <v>7.3826041670000002</v>
      </c>
      <c r="I33" s="20">
        <v>-0.66236111099999995</v>
      </c>
    </row>
    <row r="34" spans="1:9" ht="14.25" customHeight="1" x14ac:dyDescent="0.3">
      <c r="A34" s="2" t="s">
        <v>2661</v>
      </c>
      <c r="B34" s="2" t="s">
        <v>1772</v>
      </c>
      <c r="C34" s="3">
        <v>45430.779062499998</v>
      </c>
      <c r="D34" s="3">
        <v>45436</v>
      </c>
      <c r="E34" s="3">
        <v>45436.470011574071</v>
      </c>
      <c r="F34" s="6">
        <v>53.7</v>
      </c>
      <c r="G34">
        <f t="shared" si="0"/>
        <v>0</v>
      </c>
      <c r="H34" s="20">
        <v>5.6909490739999997</v>
      </c>
      <c r="I34" s="20">
        <v>-0.47001157399999999</v>
      </c>
    </row>
    <row r="35" spans="1:9" ht="14.25" customHeight="1" x14ac:dyDescent="0.3">
      <c r="A35" s="2" t="s">
        <v>2662</v>
      </c>
      <c r="B35" s="2" t="s">
        <v>1680</v>
      </c>
      <c r="C35" s="3">
        <v>45431.483229166668</v>
      </c>
      <c r="D35" s="3">
        <v>45436</v>
      </c>
      <c r="E35" s="3">
        <v>45435.535590277781</v>
      </c>
      <c r="F35" s="6">
        <v>34.03</v>
      </c>
      <c r="G35">
        <f t="shared" si="0"/>
        <v>-1</v>
      </c>
      <c r="H35" s="20">
        <v>4.0523611109999997</v>
      </c>
      <c r="I35" s="20">
        <v>0.46440972200000002</v>
      </c>
    </row>
    <row r="36" spans="1:9" ht="14.25" customHeight="1" x14ac:dyDescent="0.3">
      <c r="A36" s="2" t="s">
        <v>2663</v>
      </c>
      <c r="B36" s="2" t="s">
        <v>1774</v>
      </c>
      <c r="C36" s="3">
        <v>45432.213321759264</v>
      </c>
      <c r="D36" s="3">
        <v>45439</v>
      </c>
      <c r="E36" s="3">
        <v>45440.365844907406</v>
      </c>
      <c r="F36" s="6">
        <v>155.57999999999998</v>
      </c>
      <c r="G36">
        <f t="shared" si="0"/>
        <v>1</v>
      </c>
      <c r="H36" s="20">
        <v>8.1525231480000002</v>
      </c>
      <c r="I36" s="20">
        <v>-1.3658449070000001</v>
      </c>
    </row>
    <row r="37" spans="1:9" ht="14.25" customHeight="1" x14ac:dyDescent="0.3">
      <c r="A37" s="2" t="s">
        <v>2664</v>
      </c>
      <c r="B37" s="2" t="s">
        <v>1783</v>
      </c>
      <c r="C37" s="3">
        <v>45434.082430555558</v>
      </c>
      <c r="D37" s="3">
        <v>45438</v>
      </c>
      <c r="E37" s="3">
        <v>45439.710729166669</v>
      </c>
      <c r="F37" s="6">
        <v>6.1499999999999995</v>
      </c>
      <c r="G37">
        <f t="shared" si="0"/>
        <v>1</v>
      </c>
      <c r="H37" s="20">
        <v>5.628298611</v>
      </c>
      <c r="I37" s="20">
        <v>-1.710729167</v>
      </c>
    </row>
    <row r="38" spans="1:9" ht="14.25" customHeight="1" x14ac:dyDescent="0.3">
      <c r="A38" s="2" t="s">
        <v>2665</v>
      </c>
      <c r="B38" s="2" t="s">
        <v>1684</v>
      </c>
      <c r="C38" s="3">
        <v>45434.895162037043</v>
      </c>
      <c r="D38" s="3">
        <v>45441</v>
      </c>
      <c r="E38" s="3">
        <v>45442.555115740739</v>
      </c>
      <c r="F38" s="6">
        <v>102.91000000000001</v>
      </c>
      <c r="G38">
        <f t="shared" si="0"/>
        <v>1</v>
      </c>
      <c r="H38" s="20">
        <v>7.6599537040000003</v>
      </c>
      <c r="I38" s="20">
        <v>-1.5551157410000001</v>
      </c>
    </row>
    <row r="39" spans="1:9" ht="14.25" customHeight="1" x14ac:dyDescent="0.3">
      <c r="A39" s="2" t="s">
        <v>2666</v>
      </c>
      <c r="B39" s="2" t="s">
        <v>1776</v>
      </c>
      <c r="C39" s="3">
        <v>45435.382303240738</v>
      </c>
      <c r="D39" s="3">
        <v>45437</v>
      </c>
      <c r="E39" s="3">
        <v>45437.573877314811</v>
      </c>
      <c r="F39" s="6">
        <v>12.95</v>
      </c>
      <c r="G39">
        <f t="shared" si="0"/>
        <v>0</v>
      </c>
      <c r="H39" s="20">
        <v>2.191574074</v>
      </c>
      <c r="I39" s="20">
        <v>-0.57387731500000005</v>
      </c>
    </row>
    <row r="40" spans="1:9" ht="14.25" customHeight="1" x14ac:dyDescent="0.3">
      <c r="A40" s="2" t="s">
        <v>2667</v>
      </c>
      <c r="B40" s="2" t="s">
        <v>1508</v>
      </c>
      <c r="C40" s="3">
        <v>45436.004189814812</v>
      </c>
      <c r="D40" s="3">
        <v>45439</v>
      </c>
      <c r="E40" s="3">
        <v>45440.560578703713</v>
      </c>
      <c r="F40" s="6">
        <v>204.92000000000002</v>
      </c>
      <c r="G40">
        <f t="shared" si="0"/>
        <v>1</v>
      </c>
      <c r="H40" s="20">
        <v>4.5563888889999999</v>
      </c>
      <c r="I40" s="20">
        <v>-1.5605787040000001</v>
      </c>
    </row>
    <row r="41" spans="1:9" ht="14.25" customHeight="1" x14ac:dyDescent="0.3">
      <c r="A41" s="2" t="s">
        <v>2668</v>
      </c>
      <c r="B41" s="2" t="s">
        <v>1789</v>
      </c>
      <c r="C41" s="3">
        <v>45436.382245370369</v>
      </c>
      <c r="D41" s="3">
        <v>45442</v>
      </c>
      <c r="E41" s="3">
        <v>45442.40834490741</v>
      </c>
      <c r="F41" s="6">
        <v>23.12</v>
      </c>
      <c r="G41">
        <f t="shared" si="0"/>
        <v>0</v>
      </c>
      <c r="H41" s="20">
        <v>6.0260995370000003</v>
      </c>
      <c r="I41" s="20">
        <v>-0.40834490699999998</v>
      </c>
    </row>
    <row r="42" spans="1:9" ht="14.25" customHeight="1" x14ac:dyDescent="0.3">
      <c r="A42" s="2" t="s">
        <v>2669</v>
      </c>
      <c r="B42" s="2" t="s">
        <v>1793</v>
      </c>
      <c r="C42" s="3">
        <v>45438.177997685183</v>
      </c>
      <c r="D42" s="3">
        <v>45442</v>
      </c>
      <c r="E42" s="3">
        <v>45441.636157407411</v>
      </c>
      <c r="F42" s="6">
        <v>69.699999999999989</v>
      </c>
      <c r="G42">
        <f t="shared" si="0"/>
        <v>-1</v>
      </c>
      <c r="H42" s="20">
        <v>3.458159722</v>
      </c>
      <c r="I42" s="20">
        <v>0.36384259299999999</v>
      </c>
    </row>
    <row r="43" spans="1:9" ht="14.25" customHeight="1" x14ac:dyDescent="0.3">
      <c r="A43" s="2" t="s">
        <v>2670</v>
      </c>
      <c r="B43" s="2" t="s">
        <v>1799</v>
      </c>
      <c r="C43" s="3">
        <v>45438.980069444442</v>
      </c>
      <c r="D43" s="3">
        <v>45444</v>
      </c>
      <c r="E43" s="3">
        <v>45444.602106481478</v>
      </c>
      <c r="F43" s="6">
        <v>74.2</v>
      </c>
      <c r="G43">
        <f t="shared" si="0"/>
        <v>0</v>
      </c>
      <c r="H43" s="20">
        <v>5.6220370370000001</v>
      </c>
      <c r="I43" s="20">
        <v>-0.60210648099999997</v>
      </c>
    </row>
    <row r="44" spans="1:9" ht="14.25" customHeight="1" x14ac:dyDescent="0.3">
      <c r="A44" s="2" t="s">
        <v>2671</v>
      </c>
      <c r="B44" s="2" t="s">
        <v>1811</v>
      </c>
      <c r="C44" s="3">
        <v>45441.688148148147</v>
      </c>
      <c r="D44" s="3">
        <v>45450</v>
      </c>
      <c r="E44" s="3">
        <v>45449.640023148153</v>
      </c>
      <c r="F44" s="6">
        <v>33.24</v>
      </c>
      <c r="G44">
        <f t="shared" si="0"/>
        <v>-1</v>
      </c>
      <c r="H44" s="20">
        <v>7.9518750000000002</v>
      </c>
      <c r="I44" s="20">
        <v>0.35997685200000001</v>
      </c>
    </row>
    <row r="45" spans="1:9" ht="14.25" customHeight="1" x14ac:dyDescent="0.3">
      <c r="A45" s="2" t="s">
        <v>2672</v>
      </c>
      <c r="B45" s="2" t="s">
        <v>1814</v>
      </c>
      <c r="C45" s="3">
        <v>45443.648657407408</v>
      </c>
      <c r="D45" s="3">
        <v>45446</v>
      </c>
      <c r="E45" s="3">
        <v>45448.401562500003</v>
      </c>
      <c r="F45" s="6">
        <v>41.89</v>
      </c>
      <c r="G45">
        <f t="shared" si="0"/>
        <v>2</v>
      </c>
      <c r="H45" s="20">
        <v>4.7529050929999999</v>
      </c>
      <c r="I45" s="20">
        <v>-2.4015624999999998</v>
      </c>
    </row>
    <row r="46" spans="1:9" ht="14.25" customHeight="1" x14ac:dyDescent="0.3">
      <c r="A46" s="2" t="s">
        <v>2673</v>
      </c>
      <c r="B46" s="2" t="s">
        <v>1829</v>
      </c>
      <c r="C46" s="3">
        <v>45446.384085648147</v>
      </c>
      <c r="D46" s="3">
        <v>45453</v>
      </c>
      <c r="E46" s="3">
        <v>45452.726574074077</v>
      </c>
      <c r="F46" s="6">
        <v>72.150000000000006</v>
      </c>
      <c r="G46">
        <f t="shared" si="0"/>
        <v>-1</v>
      </c>
      <c r="H46" s="20">
        <v>6.3424884260000001</v>
      </c>
      <c r="I46" s="20">
        <v>0.27342592599999999</v>
      </c>
    </row>
    <row r="47" spans="1:9" ht="14.25" customHeight="1" x14ac:dyDescent="0.3">
      <c r="A47" s="2" t="s">
        <v>2674</v>
      </c>
      <c r="B47" s="2" t="s">
        <v>1488</v>
      </c>
      <c r="C47" s="3">
        <v>45447.100162037037</v>
      </c>
      <c r="D47" s="3">
        <v>45450</v>
      </c>
      <c r="E47" s="3">
        <v>45449.701018518521</v>
      </c>
      <c r="F47" s="6">
        <v>70.540000000000006</v>
      </c>
      <c r="G47">
        <f t="shared" si="0"/>
        <v>-1</v>
      </c>
      <c r="H47" s="20">
        <v>2.6008564810000001</v>
      </c>
      <c r="I47" s="20">
        <v>0.29898148099999999</v>
      </c>
    </row>
    <row r="48" spans="1:9" ht="14.25" customHeight="1" x14ac:dyDescent="0.3">
      <c r="A48" s="2" t="s">
        <v>2675</v>
      </c>
      <c r="B48" s="2" t="s">
        <v>1833</v>
      </c>
      <c r="C48" s="3">
        <v>45448.592800925922</v>
      </c>
      <c r="D48" s="3">
        <v>45456</v>
      </c>
      <c r="E48" s="3">
        <v>45456.377939814818</v>
      </c>
      <c r="F48" s="6">
        <v>37.809999999999995</v>
      </c>
      <c r="G48">
        <f t="shared" si="0"/>
        <v>0</v>
      </c>
      <c r="H48" s="20">
        <v>7.7851388889999997</v>
      </c>
      <c r="I48" s="20">
        <v>-0.37793981500000001</v>
      </c>
    </row>
    <row r="49" spans="1:16" ht="14.25" customHeight="1" x14ac:dyDescent="0.3">
      <c r="A49" s="2" t="s">
        <v>2676</v>
      </c>
      <c r="B49" s="2" t="s">
        <v>1838</v>
      </c>
      <c r="C49" s="3">
        <v>45449.565972222219</v>
      </c>
      <c r="D49" s="3">
        <v>45455</v>
      </c>
      <c r="E49" s="3">
        <v>45456.51699074074</v>
      </c>
      <c r="F49" s="6">
        <v>70.28</v>
      </c>
      <c r="G49">
        <f t="shared" si="0"/>
        <v>1</v>
      </c>
      <c r="H49" s="20">
        <v>6.9510185189999998</v>
      </c>
      <c r="I49" s="20">
        <v>-1.5169907410000001</v>
      </c>
      <c r="P49" s="6">
        <f>SUM(F2:F479)</f>
        <v>37823.539999999972</v>
      </c>
    </row>
    <row r="50" spans="1:16" ht="14.25" customHeight="1" x14ac:dyDescent="0.3">
      <c r="A50" s="2" t="s">
        <v>2677</v>
      </c>
      <c r="B50" s="2" t="s">
        <v>1845</v>
      </c>
      <c r="C50" s="3">
        <v>45450.025972222233</v>
      </c>
      <c r="D50" s="3">
        <v>45454</v>
      </c>
      <c r="E50" s="3">
        <v>45457.594872685193</v>
      </c>
      <c r="F50" s="6">
        <v>10.02</v>
      </c>
      <c r="G50">
        <f t="shared" si="0"/>
        <v>3</v>
      </c>
      <c r="H50" s="20">
        <v>7.5689004630000003</v>
      </c>
      <c r="I50" s="20">
        <v>-3.5948726849999999</v>
      </c>
    </row>
    <row r="51" spans="1:16" ht="14.25" customHeight="1" x14ac:dyDescent="0.3">
      <c r="A51" s="2" t="s">
        <v>2678</v>
      </c>
      <c r="B51" s="2" t="s">
        <v>1847</v>
      </c>
      <c r="C51" s="3">
        <v>45450.610844907409</v>
      </c>
      <c r="D51" s="3">
        <v>45455</v>
      </c>
      <c r="E51" s="3">
        <v>45454.74013888889</v>
      </c>
      <c r="F51" s="6">
        <v>37.43</v>
      </c>
      <c r="G51">
        <f t="shared" si="0"/>
        <v>-1</v>
      </c>
      <c r="H51" s="20">
        <v>4.129293981</v>
      </c>
      <c r="I51" s="20">
        <v>0.25986111099999998</v>
      </c>
    </row>
    <row r="52" spans="1:16" ht="14.25" customHeight="1" x14ac:dyDescent="0.3">
      <c r="A52" s="2" t="s">
        <v>2679</v>
      </c>
      <c r="B52" s="2" t="s">
        <v>1851</v>
      </c>
      <c r="C52" s="3">
        <v>45452.310370370367</v>
      </c>
      <c r="D52" s="3">
        <v>45460</v>
      </c>
      <c r="E52" s="3">
        <v>45459.484571759262</v>
      </c>
      <c r="F52" s="6">
        <v>119.27</v>
      </c>
      <c r="G52">
        <f t="shared" si="0"/>
        <v>-1</v>
      </c>
      <c r="H52" s="20">
        <v>7.1742013890000003</v>
      </c>
      <c r="I52" s="20">
        <v>0.51542824099999995</v>
      </c>
    </row>
    <row r="53" spans="1:16" ht="14.25" customHeight="1" x14ac:dyDescent="0.3">
      <c r="A53" s="2" t="s">
        <v>2680</v>
      </c>
      <c r="B53" s="2" t="s">
        <v>1556</v>
      </c>
      <c r="C53" s="3">
        <v>45452.405729166669</v>
      </c>
      <c r="D53" s="3">
        <v>45462</v>
      </c>
      <c r="E53" s="3">
        <v>45464.639537037037</v>
      </c>
      <c r="F53" s="6">
        <v>16.14</v>
      </c>
      <c r="G53">
        <f t="shared" si="0"/>
        <v>2</v>
      </c>
      <c r="H53" s="20">
        <v>12.23380787</v>
      </c>
      <c r="I53" s="20">
        <v>-2.6395370370000002</v>
      </c>
    </row>
    <row r="54" spans="1:16" ht="14.25" customHeight="1" x14ac:dyDescent="0.3">
      <c r="A54" s="2" t="s">
        <v>2681</v>
      </c>
      <c r="B54" s="2" t="s">
        <v>1860</v>
      </c>
      <c r="C54" s="3">
        <v>45453.395300925928</v>
      </c>
      <c r="D54" s="3">
        <v>45463</v>
      </c>
      <c r="E54" s="3">
        <v>45464.684988425928</v>
      </c>
      <c r="F54" s="6">
        <v>46.84</v>
      </c>
      <c r="G54">
        <f t="shared" si="0"/>
        <v>1</v>
      </c>
      <c r="H54" s="20">
        <v>11.289687499999999</v>
      </c>
      <c r="I54" s="20">
        <v>-1.6849884260000001</v>
      </c>
    </row>
    <row r="55" spans="1:16" ht="14.25" customHeight="1" x14ac:dyDescent="0.3">
      <c r="A55" s="2" t="s">
        <v>2682</v>
      </c>
      <c r="B55" s="2" t="s">
        <v>1874</v>
      </c>
      <c r="C55" s="3">
        <v>45458.59952546296</v>
      </c>
      <c r="D55" s="3">
        <v>45467</v>
      </c>
      <c r="E55" s="3">
        <v>45466.362581018519</v>
      </c>
      <c r="F55" s="6">
        <v>4.9399999999999995</v>
      </c>
      <c r="G55">
        <f t="shared" si="0"/>
        <v>-1</v>
      </c>
      <c r="H55" s="20">
        <v>7.7630555560000003</v>
      </c>
      <c r="I55" s="20">
        <v>0.63741898100000005</v>
      </c>
    </row>
    <row r="56" spans="1:16" ht="14.25" customHeight="1" x14ac:dyDescent="0.3">
      <c r="A56" s="2" t="s">
        <v>2683</v>
      </c>
      <c r="B56" s="2" t="s">
        <v>1876</v>
      </c>
      <c r="C56" s="3">
        <v>45458.936284722222</v>
      </c>
      <c r="D56" s="3">
        <v>45466</v>
      </c>
      <c r="E56" s="3">
        <v>45466.454756944448</v>
      </c>
      <c r="F56" s="6">
        <v>126.89999999999999</v>
      </c>
      <c r="G56">
        <f t="shared" si="0"/>
        <v>0</v>
      </c>
      <c r="H56" s="20">
        <v>7.5184722219999998</v>
      </c>
      <c r="I56" s="20">
        <v>-0.454756944</v>
      </c>
    </row>
    <row r="57" spans="1:16" ht="14.25" customHeight="1" x14ac:dyDescent="0.3">
      <c r="A57" s="2" t="s">
        <v>2684</v>
      </c>
      <c r="B57" s="2" t="s">
        <v>1880</v>
      </c>
      <c r="C57" s="3">
        <v>45458.953946759262</v>
      </c>
      <c r="D57" s="3">
        <v>45465</v>
      </c>
      <c r="E57" s="3">
        <v>45467.544560185182</v>
      </c>
      <c r="F57" s="6">
        <v>155.05000000000001</v>
      </c>
      <c r="G57">
        <f t="shared" si="0"/>
        <v>2</v>
      </c>
      <c r="H57" s="20">
        <v>8.5906134260000009</v>
      </c>
      <c r="I57" s="20">
        <v>-2.5445601849999999</v>
      </c>
    </row>
    <row r="58" spans="1:16" ht="14.25" customHeight="1" x14ac:dyDescent="0.3">
      <c r="A58" s="2" t="s">
        <v>2685</v>
      </c>
      <c r="B58" s="2" t="s">
        <v>1883</v>
      </c>
      <c r="C58" s="3">
        <v>45460.713680555556</v>
      </c>
      <c r="D58" s="3">
        <v>45467</v>
      </c>
      <c r="E58" s="3">
        <v>45467.606388888889</v>
      </c>
      <c r="F58" s="6">
        <v>117.5</v>
      </c>
      <c r="G58">
        <f t="shared" si="0"/>
        <v>0</v>
      </c>
      <c r="H58" s="20">
        <v>6.8927083329999999</v>
      </c>
      <c r="I58" s="20">
        <v>-0.60638888899999999</v>
      </c>
    </row>
    <row r="59" spans="1:16" ht="14.25" customHeight="1" x14ac:dyDescent="0.3">
      <c r="A59" s="2" t="s">
        <v>2686</v>
      </c>
      <c r="B59" s="2" t="s">
        <v>1892</v>
      </c>
      <c r="C59" s="3">
        <v>45462.760740740741</v>
      </c>
      <c r="D59" s="3">
        <v>45467</v>
      </c>
      <c r="E59" s="3">
        <v>45467.646018518521</v>
      </c>
      <c r="F59" s="6">
        <v>18.990000000000002</v>
      </c>
      <c r="G59">
        <f t="shared" si="0"/>
        <v>0</v>
      </c>
      <c r="H59" s="20">
        <v>4.8852777779999998</v>
      </c>
      <c r="I59" s="20">
        <v>-0.64601851899999996</v>
      </c>
    </row>
    <row r="60" spans="1:16" ht="14.25" customHeight="1" x14ac:dyDescent="0.3">
      <c r="A60" s="2" t="s">
        <v>2687</v>
      </c>
      <c r="B60" s="2" t="s">
        <v>1761</v>
      </c>
      <c r="C60" s="3">
        <v>45463.543229166673</v>
      </c>
      <c r="D60" s="3">
        <v>45473</v>
      </c>
      <c r="E60" s="3">
        <v>45474.636006944442</v>
      </c>
      <c r="F60" s="6">
        <v>85.13000000000001</v>
      </c>
      <c r="G60">
        <f t="shared" si="0"/>
        <v>1</v>
      </c>
      <c r="H60" s="20">
        <v>11.09277778</v>
      </c>
      <c r="I60" s="20">
        <v>-1.636006944</v>
      </c>
    </row>
    <row r="61" spans="1:16" ht="14.25" customHeight="1" x14ac:dyDescent="0.3">
      <c r="A61" s="2" t="s">
        <v>2688</v>
      </c>
      <c r="B61" s="2" t="s">
        <v>1894</v>
      </c>
      <c r="C61" s="3">
        <v>45464.222997685189</v>
      </c>
      <c r="D61" s="3">
        <v>45471</v>
      </c>
      <c r="E61" s="3">
        <v>45472.66337962963</v>
      </c>
      <c r="F61" s="6">
        <v>86.28</v>
      </c>
      <c r="G61">
        <f t="shared" si="0"/>
        <v>1</v>
      </c>
      <c r="H61" s="20">
        <v>8.4403819440000003</v>
      </c>
      <c r="I61" s="20">
        <v>-1.6633796300000001</v>
      </c>
    </row>
    <row r="62" spans="1:16" ht="14.25" customHeight="1" x14ac:dyDescent="0.3">
      <c r="A62" s="2" t="s">
        <v>2689</v>
      </c>
      <c r="B62" s="2" t="s">
        <v>1722</v>
      </c>
      <c r="C62" s="3">
        <v>45465.067499999997</v>
      </c>
      <c r="D62" s="3">
        <v>45472</v>
      </c>
      <c r="E62" s="3">
        <v>45470.510810185187</v>
      </c>
      <c r="F62" s="6">
        <v>21.71</v>
      </c>
      <c r="G62">
        <f t="shared" si="0"/>
        <v>-2</v>
      </c>
      <c r="H62" s="20">
        <v>5.4433101849999996</v>
      </c>
      <c r="I62" s="20">
        <v>1.489189815</v>
      </c>
    </row>
    <row r="63" spans="1:16" ht="14.25" customHeight="1" x14ac:dyDescent="0.3">
      <c r="A63" s="2" t="s">
        <v>2690</v>
      </c>
      <c r="B63" s="2" t="s">
        <v>1902</v>
      </c>
      <c r="C63" s="3">
        <v>45467.381481481483</v>
      </c>
      <c r="D63" s="3">
        <v>45471</v>
      </c>
      <c r="E63" s="3">
        <v>45469.551087962973</v>
      </c>
      <c r="F63" s="6">
        <v>46.81</v>
      </c>
      <c r="G63">
        <f t="shared" si="0"/>
        <v>-2</v>
      </c>
      <c r="H63" s="20">
        <v>2.1696064810000002</v>
      </c>
      <c r="I63" s="20">
        <v>1.4489120369999999</v>
      </c>
    </row>
    <row r="64" spans="1:16" ht="14.25" customHeight="1" x14ac:dyDescent="0.3">
      <c r="A64" s="2" t="s">
        <v>2691</v>
      </c>
      <c r="B64" s="2" t="s">
        <v>1905</v>
      </c>
      <c r="C64" s="3">
        <v>45468.427523148152</v>
      </c>
      <c r="D64" s="3">
        <v>45476</v>
      </c>
      <c r="E64" s="3">
        <v>45478.566145833327</v>
      </c>
      <c r="F64" s="6">
        <v>65.81</v>
      </c>
      <c r="G64">
        <f t="shared" si="0"/>
        <v>2</v>
      </c>
      <c r="H64" s="20">
        <v>10.13862269</v>
      </c>
      <c r="I64" s="20">
        <v>-2.5661458330000002</v>
      </c>
    </row>
    <row r="65" spans="1:9" ht="14.25" customHeight="1" x14ac:dyDescent="0.3">
      <c r="A65" s="2" t="s">
        <v>2692</v>
      </c>
      <c r="B65" s="2" t="s">
        <v>1691</v>
      </c>
      <c r="C65" s="3">
        <v>45471.123460648138</v>
      </c>
      <c r="D65" s="3">
        <v>45477</v>
      </c>
      <c r="E65" s="3">
        <v>45477.361770833333</v>
      </c>
      <c r="F65" s="6">
        <v>70.89</v>
      </c>
      <c r="G65">
        <f t="shared" si="0"/>
        <v>0</v>
      </c>
      <c r="H65" s="20">
        <v>6.2383101849999996</v>
      </c>
      <c r="I65" s="20">
        <v>-0.36177083300000001</v>
      </c>
    </row>
    <row r="66" spans="1:9" ht="14.25" customHeight="1" x14ac:dyDescent="0.3">
      <c r="A66" s="2" t="s">
        <v>2693</v>
      </c>
      <c r="B66" s="2" t="s">
        <v>1938</v>
      </c>
      <c r="C66" s="3">
        <v>45476.53465277778</v>
      </c>
      <c r="D66" s="3">
        <v>45481</v>
      </c>
      <c r="E66" s="3">
        <v>45483.385717592602</v>
      </c>
      <c r="F66" s="6">
        <v>177.27</v>
      </c>
      <c r="G66">
        <f t="shared" si="0"/>
        <v>2</v>
      </c>
      <c r="H66" s="20">
        <v>6.851064815</v>
      </c>
      <c r="I66" s="20">
        <v>-2.3857175929999999</v>
      </c>
    </row>
    <row r="67" spans="1:9" ht="14.25" customHeight="1" x14ac:dyDescent="0.3">
      <c r="A67" s="2" t="s">
        <v>2694</v>
      </c>
      <c r="B67" s="2" t="s">
        <v>1642</v>
      </c>
      <c r="C67" s="3">
        <v>45478.540138888893</v>
      </c>
      <c r="D67" s="3">
        <v>45485</v>
      </c>
      <c r="E67" s="3">
        <v>45485.665567129632</v>
      </c>
      <c r="F67" s="6">
        <v>86.09</v>
      </c>
      <c r="G67">
        <f t="shared" ref="G67:G130" si="1">INT(E67)-INT(D67)</f>
        <v>0</v>
      </c>
      <c r="H67" s="20">
        <v>7.1254282409999998</v>
      </c>
      <c r="I67" s="20">
        <v>-0.66556713000000001</v>
      </c>
    </row>
    <row r="68" spans="1:9" ht="14.25" customHeight="1" x14ac:dyDescent="0.3">
      <c r="A68" s="2" t="s">
        <v>2695</v>
      </c>
      <c r="B68" s="2" t="s">
        <v>1551</v>
      </c>
      <c r="C68" s="3">
        <v>45483.496539351851</v>
      </c>
      <c r="D68" s="3">
        <v>45489</v>
      </c>
      <c r="E68" s="3">
        <v>45489.446157407408</v>
      </c>
      <c r="F68" s="6">
        <v>86.75</v>
      </c>
      <c r="G68">
        <f t="shared" si="1"/>
        <v>0</v>
      </c>
      <c r="H68" s="20">
        <v>5.9496180560000003</v>
      </c>
      <c r="I68" s="20">
        <v>-0.44615740700000001</v>
      </c>
    </row>
    <row r="69" spans="1:9" ht="14.25" customHeight="1" x14ac:dyDescent="0.3">
      <c r="A69" s="2" t="s">
        <v>2696</v>
      </c>
      <c r="B69" s="2" t="s">
        <v>1941</v>
      </c>
      <c r="C69" s="3">
        <v>45484.150706018518</v>
      </c>
      <c r="D69" s="3">
        <v>45486</v>
      </c>
      <c r="E69" s="3">
        <v>45487.591412037043</v>
      </c>
      <c r="F69" s="6">
        <v>32.01</v>
      </c>
      <c r="G69">
        <f t="shared" si="1"/>
        <v>1</v>
      </c>
      <c r="H69" s="20">
        <v>3.4407060189999998</v>
      </c>
      <c r="I69" s="20">
        <v>-1.591412037</v>
      </c>
    </row>
    <row r="70" spans="1:9" ht="14.25" customHeight="1" x14ac:dyDescent="0.3">
      <c r="A70" s="2" t="s">
        <v>2697</v>
      </c>
      <c r="B70" s="2" t="s">
        <v>1647</v>
      </c>
      <c r="C70" s="3">
        <v>45485.559502314813</v>
      </c>
      <c r="D70" s="3">
        <v>45491</v>
      </c>
      <c r="E70" s="3">
        <v>45492.401967592603</v>
      </c>
      <c r="F70" s="6">
        <v>27.240000000000002</v>
      </c>
      <c r="G70">
        <f t="shared" si="1"/>
        <v>1</v>
      </c>
      <c r="H70" s="20">
        <v>6.8424652779999997</v>
      </c>
      <c r="I70" s="20">
        <v>-1.401967593</v>
      </c>
    </row>
    <row r="71" spans="1:9" ht="14.25" customHeight="1" x14ac:dyDescent="0.3">
      <c r="A71" s="2" t="s">
        <v>2698</v>
      </c>
      <c r="B71" s="2" t="s">
        <v>1945</v>
      </c>
      <c r="C71" s="3">
        <v>45487.700057870366</v>
      </c>
      <c r="D71" s="3">
        <v>45491</v>
      </c>
      <c r="E71" s="3">
        <v>45491.423414351862</v>
      </c>
      <c r="F71" s="6">
        <v>88.36</v>
      </c>
      <c r="G71">
        <f t="shared" si="1"/>
        <v>0</v>
      </c>
      <c r="H71" s="20">
        <v>3.7233564810000002</v>
      </c>
      <c r="I71" s="20">
        <v>-0.42341435199999999</v>
      </c>
    </row>
    <row r="72" spans="1:9" ht="14.25" customHeight="1" x14ac:dyDescent="0.3">
      <c r="A72" s="2" t="s">
        <v>2699</v>
      </c>
      <c r="B72" s="2" t="s">
        <v>1571</v>
      </c>
      <c r="C72" s="3">
        <v>45488.699120370373</v>
      </c>
      <c r="D72" s="3">
        <v>45496</v>
      </c>
      <c r="E72" s="3">
        <v>45496.531782407408</v>
      </c>
      <c r="F72" s="6">
        <v>24.07</v>
      </c>
      <c r="G72">
        <f t="shared" si="1"/>
        <v>0</v>
      </c>
      <c r="H72" s="20">
        <v>7.8326620370000004</v>
      </c>
      <c r="I72" s="20">
        <v>-0.53178240700000001</v>
      </c>
    </row>
    <row r="73" spans="1:9" ht="14.25" customHeight="1" x14ac:dyDescent="0.3">
      <c r="A73" s="2" t="s">
        <v>2700</v>
      </c>
      <c r="B73" s="2" t="s">
        <v>1943</v>
      </c>
      <c r="C73" s="3">
        <v>45489.379016203697</v>
      </c>
      <c r="D73" s="3">
        <v>45497</v>
      </c>
      <c r="E73" s="3">
        <v>45498.472256944442</v>
      </c>
      <c r="F73" s="6">
        <v>148.25</v>
      </c>
      <c r="G73">
        <f t="shared" si="1"/>
        <v>1</v>
      </c>
      <c r="H73" s="20">
        <v>9.0932407410000007</v>
      </c>
      <c r="I73" s="20">
        <v>-1.472256944</v>
      </c>
    </row>
    <row r="74" spans="1:9" ht="14.25" customHeight="1" x14ac:dyDescent="0.3">
      <c r="A74" s="2" t="s">
        <v>2701</v>
      </c>
      <c r="B74" s="2" t="s">
        <v>1465</v>
      </c>
      <c r="C74" s="3">
        <v>45493.316388888888</v>
      </c>
      <c r="D74" s="3">
        <v>45502</v>
      </c>
      <c r="E74" s="3">
        <v>45503.665277777778</v>
      </c>
      <c r="F74" s="6">
        <v>13.25</v>
      </c>
      <c r="G74">
        <f t="shared" si="1"/>
        <v>1</v>
      </c>
      <c r="H74" s="20">
        <v>10.34888889</v>
      </c>
      <c r="I74" s="20">
        <v>-1.6652777780000001</v>
      </c>
    </row>
    <row r="75" spans="1:9" ht="14.25" customHeight="1" x14ac:dyDescent="0.3">
      <c r="A75" s="2" t="s">
        <v>2702</v>
      </c>
      <c r="B75" s="2" t="s">
        <v>1883</v>
      </c>
      <c r="C75" s="3">
        <v>45502.783402777779</v>
      </c>
      <c r="D75" s="3">
        <v>45507</v>
      </c>
      <c r="E75" s="3">
        <v>45507.404872685183</v>
      </c>
      <c r="F75" s="6">
        <v>190.51</v>
      </c>
      <c r="G75">
        <f t="shared" si="1"/>
        <v>0</v>
      </c>
      <c r="H75" s="20">
        <v>4.6214699069999998</v>
      </c>
      <c r="I75" s="20">
        <v>-0.40487268500000001</v>
      </c>
    </row>
    <row r="76" spans="1:9" ht="14.25" customHeight="1" x14ac:dyDescent="0.3">
      <c r="A76" s="2" t="s">
        <v>2703</v>
      </c>
      <c r="B76" s="2" t="s">
        <v>1789</v>
      </c>
      <c r="C76" s="3">
        <v>45520.613715277781</v>
      </c>
      <c r="D76" s="3">
        <v>45528</v>
      </c>
      <c r="E76" s="3">
        <v>45528.342326388891</v>
      </c>
      <c r="F76" s="6">
        <v>117.42</v>
      </c>
      <c r="G76">
        <f t="shared" si="1"/>
        <v>0</v>
      </c>
      <c r="H76" s="20">
        <v>7.7286111110000002</v>
      </c>
      <c r="I76" s="20">
        <v>-0.34232638900000001</v>
      </c>
    </row>
    <row r="77" spans="1:9" ht="14.25" customHeight="1" x14ac:dyDescent="0.3">
      <c r="A77" s="2" t="s">
        <v>2704</v>
      </c>
      <c r="B77" s="2" t="s">
        <v>1969</v>
      </c>
      <c r="C77" s="3">
        <v>45572.203182870369</v>
      </c>
      <c r="D77" s="3">
        <v>45578</v>
      </c>
      <c r="E77" s="3">
        <v>45578.597627314812</v>
      </c>
      <c r="F77" s="6">
        <v>156.29999999999998</v>
      </c>
      <c r="G77">
        <f t="shared" si="1"/>
        <v>0</v>
      </c>
      <c r="H77" s="20">
        <v>6.3944444440000003</v>
      </c>
      <c r="I77" s="20">
        <v>-0.59762731499999999</v>
      </c>
    </row>
    <row r="78" spans="1:9" ht="14.25" customHeight="1" x14ac:dyDescent="0.3">
      <c r="A78" s="2" t="s">
        <v>2705</v>
      </c>
      <c r="B78" s="2" t="s">
        <v>1974</v>
      </c>
      <c r="C78" s="3">
        <v>45578.167071759257</v>
      </c>
      <c r="D78" s="3">
        <v>45581</v>
      </c>
      <c r="E78" s="3">
        <v>45580.427060185182</v>
      </c>
      <c r="F78" s="6">
        <v>37.53</v>
      </c>
      <c r="G78">
        <f t="shared" si="1"/>
        <v>-1</v>
      </c>
      <c r="H78" s="20">
        <v>2.2599884260000001</v>
      </c>
      <c r="I78" s="20">
        <v>0.57293981500000002</v>
      </c>
    </row>
    <row r="79" spans="1:9" ht="14.25" customHeight="1" x14ac:dyDescent="0.3">
      <c r="A79" s="2" t="s">
        <v>2706</v>
      </c>
      <c r="B79" s="2" t="s">
        <v>1976</v>
      </c>
      <c r="C79" s="3">
        <v>45580.663576388892</v>
      </c>
      <c r="D79" s="3">
        <v>45586</v>
      </c>
      <c r="E79" s="3">
        <v>45583.336597222216</v>
      </c>
      <c r="F79" s="6">
        <v>163.72000000000003</v>
      </c>
      <c r="G79">
        <f t="shared" si="1"/>
        <v>-3</v>
      </c>
      <c r="H79" s="20">
        <v>2.6730208329999998</v>
      </c>
      <c r="I79" s="20">
        <v>2.663402778</v>
      </c>
    </row>
    <row r="80" spans="1:9" ht="14.25" customHeight="1" x14ac:dyDescent="0.3">
      <c r="A80" s="2" t="s">
        <v>2707</v>
      </c>
      <c r="B80" s="2" t="s">
        <v>1556</v>
      </c>
      <c r="C80" s="3">
        <v>45592.389907407407</v>
      </c>
      <c r="D80" s="3">
        <v>45601</v>
      </c>
      <c r="E80" s="3">
        <v>45603.693761574083</v>
      </c>
      <c r="F80" s="6">
        <v>25.650000000000002</v>
      </c>
      <c r="G80">
        <f t="shared" si="1"/>
        <v>2</v>
      </c>
      <c r="H80" s="20">
        <v>11.303854169999999</v>
      </c>
      <c r="I80" s="20">
        <v>-2.6937615739999998</v>
      </c>
    </row>
    <row r="81" spans="1:9" ht="14.25" customHeight="1" x14ac:dyDescent="0.3">
      <c r="A81" s="2" t="s">
        <v>2708</v>
      </c>
      <c r="B81" s="2" t="s">
        <v>1938</v>
      </c>
      <c r="C81" s="3">
        <v>45594.414814814823</v>
      </c>
      <c r="D81" s="3">
        <v>45598</v>
      </c>
      <c r="E81" s="3">
        <v>45598.481840277767</v>
      </c>
      <c r="F81" s="6">
        <v>94.52</v>
      </c>
      <c r="G81">
        <f t="shared" si="1"/>
        <v>0</v>
      </c>
      <c r="H81" s="20">
        <v>4.0670254630000002</v>
      </c>
      <c r="I81" s="20">
        <v>-0.48184027800000001</v>
      </c>
    </row>
    <row r="82" spans="1:9" ht="14.25" customHeight="1" x14ac:dyDescent="0.3">
      <c r="A82" s="2" t="s">
        <v>2709</v>
      </c>
      <c r="B82" s="2" t="s">
        <v>1983</v>
      </c>
      <c r="C82" s="3">
        <v>45597.36996527778</v>
      </c>
      <c r="D82" s="3">
        <v>45603</v>
      </c>
      <c r="E82" s="3">
        <v>45604.390925925924</v>
      </c>
      <c r="F82" s="6">
        <v>164.63000000000002</v>
      </c>
      <c r="G82">
        <f t="shared" si="1"/>
        <v>1</v>
      </c>
      <c r="H82" s="20">
        <v>7.020960648</v>
      </c>
      <c r="I82" s="20">
        <v>-1.390925926</v>
      </c>
    </row>
    <row r="83" spans="1:9" ht="14.25" customHeight="1" x14ac:dyDescent="0.3">
      <c r="A83" s="2" t="s">
        <v>2710</v>
      </c>
      <c r="B83" s="2" t="s">
        <v>1470</v>
      </c>
      <c r="C83" s="3">
        <v>45599.064733796287</v>
      </c>
      <c r="D83" s="3">
        <v>45605</v>
      </c>
      <c r="E83" s="3">
        <v>45604.667268518519</v>
      </c>
      <c r="F83" s="6">
        <v>215.90999999999997</v>
      </c>
      <c r="G83">
        <f t="shared" si="1"/>
        <v>-1</v>
      </c>
      <c r="H83" s="20">
        <v>5.6025347219999997</v>
      </c>
      <c r="I83" s="20">
        <v>0.332731481</v>
      </c>
    </row>
    <row r="84" spans="1:9" ht="14.25" customHeight="1" x14ac:dyDescent="0.3">
      <c r="A84" s="2" t="s">
        <v>2711</v>
      </c>
      <c r="B84" s="2" t="s">
        <v>1994</v>
      </c>
      <c r="C84" s="3">
        <v>45600.681956018518</v>
      </c>
      <c r="D84" s="3">
        <v>45609</v>
      </c>
      <c r="E84" s="3">
        <v>45608.58625</v>
      </c>
      <c r="F84" s="6">
        <v>76.38</v>
      </c>
      <c r="G84">
        <f t="shared" si="1"/>
        <v>-1</v>
      </c>
      <c r="H84" s="20">
        <v>7.9042939810000004</v>
      </c>
      <c r="I84" s="20">
        <v>0.41375000000000001</v>
      </c>
    </row>
    <row r="85" spans="1:9" ht="14.25" customHeight="1" x14ac:dyDescent="0.3">
      <c r="A85" s="2" t="s">
        <v>2712</v>
      </c>
      <c r="B85" s="2" t="s">
        <v>1997</v>
      </c>
      <c r="C85" s="3">
        <v>45600.698888888888</v>
      </c>
      <c r="D85" s="3">
        <v>45610</v>
      </c>
      <c r="E85" s="3">
        <v>45611.490185185183</v>
      </c>
      <c r="F85" s="6">
        <v>23.82</v>
      </c>
      <c r="G85">
        <f t="shared" si="1"/>
        <v>1</v>
      </c>
      <c r="H85" s="20">
        <v>10.791296300000001</v>
      </c>
      <c r="I85" s="20">
        <v>-1.4901851850000001</v>
      </c>
    </row>
    <row r="86" spans="1:9" ht="14.25" customHeight="1" x14ac:dyDescent="0.3">
      <c r="A86" s="2" t="s">
        <v>2713</v>
      </c>
      <c r="B86" s="2" t="s">
        <v>2009</v>
      </c>
      <c r="C86" s="3">
        <v>45601.248576388891</v>
      </c>
      <c r="D86" s="3">
        <v>45610</v>
      </c>
      <c r="E86" s="3">
        <v>45609.473449074067</v>
      </c>
      <c r="F86" s="6">
        <v>141.16</v>
      </c>
      <c r="G86">
        <f t="shared" si="1"/>
        <v>-1</v>
      </c>
      <c r="H86" s="20">
        <v>8.2248726849999994</v>
      </c>
      <c r="I86" s="20">
        <v>0.52655092599999997</v>
      </c>
    </row>
    <row r="87" spans="1:9" ht="14.25" customHeight="1" x14ac:dyDescent="0.3">
      <c r="A87" s="2" t="s">
        <v>2714</v>
      </c>
      <c r="B87" s="2" t="s">
        <v>2003</v>
      </c>
      <c r="C87" s="3">
        <v>45601.766284722216</v>
      </c>
      <c r="D87" s="3">
        <v>45610</v>
      </c>
      <c r="E87" s="3">
        <v>45609.579722222217</v>
      </c>
      <c r="F87" s="6">
        <v>32.82</v>
      </c>
      <c r="G87">
        <f t="shared" si="1"/>
        <v>-1</v>
      </c>
      <c r="H87" s="20">
        <v>7.8134375</v>
      </c>
      <c r="I87" s="20">
        <v>0.42027777799999999</v>
      </c>
    </row>
    <row r="88" spans="1:9" ht="14.25" customHeight="1" x14ac:dyDescent="0.3">
      <c r="A88" s="2" t="s">
        <v>2715</v>
      </c>
      <c r="B88" s="2" t="s">
        <v>1972</v>
      </c>
      <c r="C88" s="3">
        <v>45602.593923611108</v>
      </c>
      <c r="D88" s="3">
        <v>45613</v>
      </c>
      <c r="E88" s="3">
        <v>45614.639884259261</v>
      </c>
      <c r="F88" s="6">
        <v>90.32</v>
      </c>
      <c r="G88">
        <f t="shared" si="1"/>
        <v>1</v>
      </c>
      <c r="H88" s="20">
        <v>12.04596065</v>
      </c>
      <c r="I88" s="20">
        <v>-1.639884259</v>
      </c>
    </row>
    <row r="89" spans="1:9" ht="14.25" customHeight="1" x14ac:dyDescent="0.3">
      <c r="A89" s="2" t="s">
        <v>2716</v>
      </c>
      <c r="B89" s="2" t="s">
        <v>2011</v>
      </c>
      <c r="C89" s="3">
        <v>45602.866388888891</v>
      </c>
      <c r="D89" s="3">
        <v>45608</v>
      </c>
      <c r="E89" s="3">
        <v>45609.440671296303</v>
      </c>
      <c r="F89" s="6">
        <v>94.91</v>
      </c>
      <c r="G89">
        <f t="shared" si="1"/>
        <v>1</v>
      </c>
      <c r="H89" s="20">
        <v>6.5742824070000001</v>
      </c>
      <c r="I89" s="20">
        <v>-1.4406712960000001</v>
      </c>
    </row>
    <row r="90" spans="1:9" ht="14.25" customHeight="1" x14ac:dyDescent="0.3">
      <c r="A90" s="2" t="s">
        <v>2717</v>
      </c>
      <c r="B90" s="2" t="s">
        <v>1624</v>
      </c>
      <c r="C90" s="3">
        <v>45604.552303240736</v>
      </c>
      <c r="D90" s="3">
        <v>45607</v>
      </c>
      <c r="E90" s="3">
        <v>45607.533032407409</v>
      </c>
      <c r="F90" s="6">
        <v>20.420000000000002</v>
      </c>
      <c r="G90">
        <f t="shared" si="1"/>
        <v>0</v>
      </c>
      <c r="H90" s="20">
        <v>2.9807291669999998</v>
      </c>
      <c r="I90" s="20">
        <v>-0.53303240699999999</v>
      </c>
    </row>
    <row r="91" spans="1:9" ht="14.25" customHeight="1" x14ac:dyDescent="0.3">
      <c r="A91" s="2" t="s">
        <v>2718</v>
      </c>
      <c r="B91" s="2" t="s">
        <v>1671</v>
      </c>
      <c r="C91" s="3">
        <v>45604.90185185185</v>
      </c>
      <c r="D91" s="3">
        <v>45610</v>
      </c>
      <c r="E91" s="3">
        <v>45609.711944444447</v>
      </c>
      <c r="F91" s="6">
        <v>278.8</v>
      </c>
      <c r="G91">
        <f t="shared" si="1"/>
        <v>-1</v>
      </c>
      <c r="H91" s="20">
        <v>4.8100925930000002</v>
      </c>
      <c r="I91" s="20">
        <v>0.28805555599999999</v>
      </c>
    </row>
    <row r="92" spans="1:9" ht="14.25" customHeight="1" x14ac:dyDescent="0.3">
      <c r="A92" s="2" t="s">
        <v>2719</v>
      </c>
      <c r="B92" s="2" t="s">
        <v>1633</v>
      </c>
      <c r="C92" s="3">
        <v>45605.181469907409</v>
      </c>
      <c r="D92" s="3">
        <v>45611</v>
      </c>
      <c r="E92" s="3">
        <v>45612.395358796297</v>
      </c>
      <c r="F92" s="6">
        <v>39.090000000000003</v>
      </c>
      <c r="G92">
        <f t="shared" si="1"/>
        <v>1</v>
      </c>
      <c r="H92" s="20">
        <v>7.2138888889999997</v>
      </c>
      <c r="I92" s="20">
        <v>-1.395358796</v>
      </c>
    </row>
    <row r="93" spans="1:9" ht="14.25" customHeight="1" x14ac:dyDescent="0.3">
      <c r="A93" s="2" t="s">
        <v>2720</v>
      </c>
      <c r="B93" s="2" t="s">
        <v>1791</v>
      </c>
      <c r="C93" s="3">
        <v>45605.26972222222</v>
      </c>
      <c r="D93" s="3">
        <v>45611</v>
      </c>
      <c r="E93" s="3">
        <v>45611.399016203701</v>
      </c>
      <c r="F93" s="6">
        <v>103.63000000000001</v>
      </c>
      <c r="G93">
        <f t="shared" si="1"/>
        <v>0</v>
      </c>
      <c r="H93" s="20">
        <v>6.129293981</v>
      </c>
      <c r="I93" s="20">
        <v>-0.39901620399999999</v>
      </c>
    </row>
    <row r="94" spans="1:9" ht="14.25" customHeight="1" x14ac:dyDescent="0.3">
      <c r="A94" s="2" t="s">
        <v>2721</v>
      </c>
      <c r="B94" s="2" t="s">
        <v>2018</v>
      </c>
      <c r="C94" s="3">
        <v>45605.815509259257</v>
      </c>
      <c r="D94" s="3">
        <v>45617</v>
      </c>
      <c r="E94" s="3">
        <v>45615.503865740742</v>
      </c>
      <c r="F94" s="6">
        <v>59.22</v>
      </c>
      <c r="G94">
        <f t="shared" si="1"/>
        <v>-2</v>
      </c>
      <c r="H94" s="20">
        <v>9.6883564809999996</v>
      </c>
      <c r="I94" s="20">
        <v>1.496134259</v>
      </c>
    </row>
    <row r="95" spans="1:9" ht="14.25" customHeight="1" x14ac:dyDescent="0.3">
      <c r="A95" s="2" t="s">
        <v>2722</v>
      </c>
      <c r="B95" s="2" t="s">
        <v>1619</v>
      </c>
      <c r="C95" s="3">
        <v>45606.251759259263</v>
      </c>
      <c r="D95" s="3">
        <v>45609</v>
      </c>
      <c r="E95" s="3">
        <v>45610.686979166669</v>
      </c>
      <c r="F95" s="6">
        <v>86.27</v>
      </c>
      <c r="G95">
        <f t="shared" si="1"/>
        <v>1</v>
      </c>
      <c r="H95" s="20">
        <v>4.4352199069999996</v>
      </c>
      <c r="I95" s="20">
        <v>-1.6869791670000001</v>
      </c>
    </row>
    <row r="96" spans="1:9" ht="14.25" customHeight="1" x14ac:dyDescent="0.3">
      <c r="A96" s="2" t="s">
        <v>2723</v>
      </c>
      <c r="B96" s="2" t="s">
        <v>2013</v>
      </c>
      <c r="C96" s="3">
        <v>45607.495358796303</v>
      </c>
      <c r="D96" s="3">
        <v>45615</v>
      </c>
      <c r="E96" s="3">
        <v>45617.56726851852</v>
      </c>
      <c r="F96" s="6">
        <v>24.05</v>
      </c>
      <c r="G96">
        <f t="shared" si="1"/>
        <v>2</v>
      </c>
      <c r="H96" s="20">
        <v>10.071909720000001</v>
      </c>
      <c r="I96" s="20">
        <v>-2.5672685190000002</v>
      </c>
    </row>
    <row r="97" spans="1:9" ht="14.25" customHeight="1" x14ac:dyDescent="0.3">
      <c r="A97" s="2" t="s">
        <v>2724</v>
      </c>
      <c r="B97" s="2" t="s">
        <v>1545</v>
      </c>
      <c r="C97" s="3">
        <v>45607.515486111108</v>
      </c>
      <c r="D97" s="3">
        <v>45612</v>
      </c>
      <c r="E97" s="3">
        <v>45615.716574074067</v>
      </c>
      <c r="F97" s="6">
        <v>20.650000000000002</v>
      </c>
      <c r="G97">
        <f t="shared" si="1"/>
        <v>3</v>
      </c>
      <c r="H97" s="20">
        <v>8.2010879630000009</v>
      </c>
      <c r="I97" s="20">
        <v>-3.7165740739999999</v>
      </c>
    </row>
    <row r="98" spans="1:9" ht="14.25" customHeight="1" x14ac:dyDescent="0.3">
      <c r="A98" s="2" t="s">
        <v>2725</v>
      </c>
      <c r="B98" s="2" t="s">
        <v>2034</v>
      </c>
      <c r="C98" s="3">
        <v>45610.69462962963</v>
      </c>
      <c r="D98" s="3">
        <v>45614</v>
      </c>
      <c r="E98" s="3">
        <v>45614.440324074072</v>
      </c>
      <c r="F98" s="6">
        <v>38.119999999999997</v>
      </c>
      <c r="G98">
        <f t="shared" si="1"/>
        <v>0</v>
      </c>
      <c r="H98" s="20">
        <v>3.7456944440000002</v>
      </c>
      <c r="I98" s="20">
        <v>-0.44032407400000001</v>
      </c>
    </row>
    <row r="99" spans="1:9" ht="14.25" customHeight="1" x14ac:dyDescent="0.3">
      <c r="A99" s="2" t="s">
        <v>2726</v>
      </c>
      <c r="B99" s="2" t="s">
        <v>2036</v>
      </c>
      <c r="C99" s="3">
        <v>45610.904027777768</v>
      </c>
      <c r="D99" s="3">
        <v>45620</v>
      </c>
      <c r="E99" s="3">
        <v>45620.419537037043</v>
      </c>
      <c r="F99" s="6">
        <v>43.919999999999995</v>
      </c>
      <c r="G99">
        <f t="shared" si="1"/>
        <v>0</v>
      </c>
      <c r="H99" s="20">
        <v>9.5155092589999999</v>
      </c>
      <c r="I99" s="20">
        <v>-0.419537037</v>
      </c>
    </row>
    <row r="100" spans="1:9" ht="14.25" customHeight="1" x14ac:dyDescent="0.3">
      <c r="A100" s="2" t="s">
        <v>2727</v>
      </c>
      <c r="B100" s="2" t="s">
        <v>2039</v>
      </c>
      <c r="C100" s="3">
        <v>45611.658020833333</v>
      </c>
      <c r="D100" s="3">
        <v>45611</v>
      </c>
      <c r="E100" s="3">
        <v>45612.522372685176</v>
      </c>
      <c r="F100" s="6">
        <v>232.44</v>
      </c>
      <c r="G100">
        <f t="shared" si="1"/>
        <v>1</v>
      </c>
      <c r="H100" s="20">
        <v>0.86435185199999998</v>
      </c>
      <c r="I100" s="20">
        <v>-1.5223726849999999</v>
      </c>
    </row>
    <row r="101" spans="1:9" ht="14.25" customHeight="1" x14ac:dyDescent="0.3">
      <c r="A101" s="2" t="s">
        <v>2728</v>
      </c>
      <c r="B101" s="2" t="s">
        <v>2043</v>
      </c>
      <c r="C101" s="3">
        <v>45612.309629629628</v>
      </c>
      <c r="D101" s="3">
        <v>45621</v>
      </c>
      <c r="E101" s="3">
        <v>45621.544641203713</v>
      </c>
      <c r="F101" s="6">
        <v>45.81</v>
      </c>
      <c r="G101">
        <f t="shared" si="1"/>
        <v>0</v>
      </c>
      <c r="H101" s="20">
        <v>9.2350115739999996</v>
      </c>
      <c r="I101" s="20">
        <v>-0.54464120400000005</v>
      </c>
    </row>
    <row r="102" spans="1:9" ht="14.25" customHeight="1" x14ac:dyDescent="0.3">
      <c r="A102" s="2" t="s">
        <v>2729</v>
      </c>
      <c r="B102" s="2" t="s">
        <v>2056</v>
      </c>
      <c r="C102" s="3">
        <v>45615.047523148147</v>
      </c>
      <c r="D102" s="3">
        <v>45627</v>
      </c>
      <c r="E102" s="3">
        <v>45627.429270833331</v>
      </c>
      <c r="F102" s="6">
        <v>71.959999999999994</v>
      </c>
      <c r="G102">
        <f t="shared" si="1"/>
        <v>0</v>
      </c>
      <c r="H102" s="20">
        <v>12.381747689999999</v>
      </c>
      <c r="I102" s="20">
        <v>-0.42927083300000002</v>
      </c>
    </row>
    <row r="103" spans="1:9" ht="14.25" customHeight="1" x14ac:dyDescent="0.3">
      <c r="A103" s="2" t="s">
        <v>2730</v>
      </c>
      <c r="B103" s="2" t="s">
        <v>1674</v>
      </c>
      <c r="C103" s="3">
        <v>45615.934942129628</v>
      </c>
      <c r="D103" s="3">
        <v>45622</v>
      </c>
      <c r="E103" s="3">
        <v>45623.548993055563</v>
      </c>
      <c r="F103" s="6">
        <v>30.62</v>
      </c>
      <c r="G103">
        <f t="shared" si="1"/>
        <v>1</v>
      </c>
      <c r="H103" s="20">
        <v>7.614050926</v>
      </c>
      <c r="I103" s="20">
        <v>-1.548993056</v>
      </c>
    </row>
    <row r="104" spans="1:9" ht="14.25" customHeight="1" x14ac:dyDescent="0.3">
      <c r="A104" s="2" t="s">
        <v>2731</v>
      </c>
      <c r="B104" s="2" t="s">
        <v>2063</v>
      </c>
      <c r="C104" s="3">
        <v>45616.091770833344</v>
      </c>
      <c r="D104" s="3">
        <v>45625</v>
      </c>
      <c r="E104" s="3">
        <v>45624.697650462957</v>
      </c>
      <c r="F104" s="6">
        <v>84.87</v>
      </c>
      <c r="G104">
        <f t="shared" si="1"/>
        <v>-1</v>
      </c>
      <c r="H104" s="20">
        <v>8.6058796300000004</v>
      </c>
      <c r="I104" s="20">
        <v>0.302349537</v>
      </c>
    </row>
    <row r="105" spans="1:9" ht="14.25" customHeight="1" x14ac:dyDescent="0.3">
      <c r="A105" s="2" t="s">
        <v>2732</v>
      </c>
      <c r="B105" s="2" t="s">
        <v>2061</v>
      </c>
      <c r="C105" s="3">
        <v>45616.10527777778</v>
      </c>
      <c r="D105" s="3">
        <v>45620</v>
      </c>
      <c r="E105" s="3">
        <v>45619.428726851853</v>
      </c>
      <c r="F105" s="6">
        <v>90.23</v>
      </c>
      <c r="G105">
        <f t="shared" si="1"/>
        <v>-1</v>
      </c>
      <c r="H105" s="20">
        <v>3.323449074</v>
      </c>
      <c r="I105" s="20">
        <v>0.57127314799999995</v>
      </c>
    </row>
    <row r="106" spans="1:9" ht="14.25" customHeight="1" x14ac:dyDescent="0.3">
      <c r="A106" s="2" t="s">
        <v>2733</v>
      </c>
      <c r="B106" s="2" t="s">
        <v>1687</v>
      </c>
      <c r="C106" s="3">
        <v>45616.554699074077</v>
      </c>
      <c r="D106" s="3">
        <v>45623</v>
      </c>
      <c r="E106" s="3">
        <v>45622.40284722222</v>
      </c>
      <c r="F106" s="6">
        <v>112.96000000000001</v>
      </c>
      <c r="G106">
        <f t="shared" si="1"/>
        <v>-1</v>
      </c>
      <c r="H106" s="20">
        <v>5.8481481479999999</v>
      </c>
      <c r="I106" s="20">
        <v>0.597152778</v>
      </c>
    </row>
    <row r="107" spans="1:9" ht="14.25" customHeight="1" x14ac:dyDescent="0.3">
      <c r="A107" s="2" t="s">
        <v>2734</v>
      </c>
      <c r="B107" s="2" t="s">
        <v>1774</v>
      </c>
      <c r="C107" s="3">
        <v>45617.407847222217</v>
      </c>
      <c r="D107" s="3">
        <v>45622</v>
      </c>
      <c r="E107" s="3">
        <v>45624.4921412037</v>
      </c>
      <c r="F107" s="6">
        <v>16.810000000000002</v>
      </c>
      <c r="G107">
        <f t="shared" si="1"/>
        <v>2</v>
      </c>
      <c r="H107" s="20">
        <v>7.0842939810000001</v>
      </c>
      <c r="I107" s="20">
        <v>-2.4921412040000002</v>
      </c>
    </row>
    <row r="108" spans="1:9" ht="14.25" customHeight="1" x14ac:dyDescent="0.3">
      <c r="A108" s="2" t="s">
        <v>2735</v>
      </c>
      <c r="B108" s="2" t="s">
        <v>1938</v>
      </c>
      <c r="C108" s="3">
        <v>45617.676562499997</v>
      </c>
      <c r="D108" s="3">
        <v>45626</v>
      </c>
      <c r="E108" s="3">
        <v>45628.654074074067</v>
      </c>
      <c r="F108" s="6">
        <v>120.32</v>
      </c>
      <c r="G108">
        <f t="shared" si="1"/>
        <v>2</v>
      </c>
      <c r="H108" s="20">
        <v>10.977511570000001</v>
      </c>
      <c r="I108" s="20">
        <v>-2.6540740739999999</v>
      </c>
    </row>
    <row r="109" spans="1:9" ht="14.25" customHeight="1" x14ac:dyDescent="0.3">
      <c r="A109" s="2" t="s">
        <v>2736</v>
      </c>
      <c r="B109" s="2" t="s">
        <v>2070</v>
      </c>
      <c r="C109" s="3">
        <v>45618.355115740742</v>
      </c>
      <c r="D109" s="3">
        <v>45626</v>
      </c>
      <c r="E109" s="3">
        <v>45626.427893518521</v>
      </c>
      <c r="F109" s="6">
        <v>156.82000000000002</v>
      </c>
      <c r="G109">
        <f t="shared" si="1"/>
        <v>0</v>
      </c>
      <c r="H109" s="20">
        <v>8.0727777780000007</v>
      </c>
      <c r="I109" s="20">
        <v>-0.427893519</v>
      </c>
    </row>
    <row r="110" spans="1:9" ht="14.25" customHeight="1" x14ac:dyDescent="0.3">
      <c r="A110" s="2" t="s">
        <v>2737</v>
      </c>
      <c r="B110" s="2" t="s">
        <v>1566</v>
      </c>
      <c r="C110" s="3">
        <v>45620.376527777778</v>
      </c>
      <c r="D110" s="3">
        <v>45625</v>
      </c>
      <c r="E110" s="3">
        <v>45626.418865740743</v>
      </c>
      <c r="F110" s="6">
        <v>162.49</v>
      </c>
      <c r="G110">
        <f t="shared" si="1"/>
        <v>1</v>
      </c>
      <c r="H110" s="20">
        <v>6.0423379629999996</v>
      </c>
      <c r="I110" s="20">
        <v>-1.4188657410000001</v>
      </c>
    </row>
    <row r="111" spans="1:9" ht="14.25" customHeight="1" x14ac:dyDescent="0.3">
      <c r="A111" s="2" t="s">
        <v>2738</v>
      </c>
      <c r="B111" s="2" t="s">
        <v>2074</v>
      </c>
      <c r="C111" s="3">
        <v>45620.884675925918</v>
      </c>
      <c r="D111" s="3">
        <v>45626</v>
      </c>
      <c r="E111" s="3">
        <v>45626.511250000003</v>
      </c>
      <c r="F111" s="6">
        <v>46.370000000000005</v>
      </c>
      <c r="G111">
        <f t="shared" si="1"/>
        <v>0</v>
      </c>
      <c r="H111" s="20">
        <v>5.6265740739999996</v>
      </c>
      <c r="I111" s="20">
        <v>-0.51124999999999998</v>
      </c>
    </row>
    <row r="112" spans="1:9" ht="14.25" customHeight="1" x14ac:dyDescent="0.3">
      <c r="A112" s="2" t="s">
        <v>2739</v>
      </c>
      <c r="B112" s="2" t="s">
        <v>1566</v>
      </c>
      <c r="C112" s="3">
        <v>45621.174004629633</v>
      </c>
      <c r="D112" s="3">
        <v>45631</v>
      </c>
      <c r="E112" s="3">
        <v>45630.490370370368</v>
      </c>
      <c r="F112" s="6">
        <v>46.7</v>
      </c>
      <c r="G112">
        <f t="shared" si="1"/>
        <v>-1</v>
      </c>
      <c r="H112" s="20">
        <v>9.3163657410000003</v>
      </c>
      <c r="I112" s="20">
        <v>0.50962962999999994</v>
      </c>
    </row>
    <row r="113" spans="1:9" ht="14.25" customHeight="1" x14ac:dyDescent="0.3">
      <c r="A113" s="2" t="s">
        <v>2740</v>
      </c>
      <c r="B113" s="2" t="s">
        <v>2078</v>
      </c>
      <c r="C113" s="3">
        <v>45622.862002314818</v>
      </c>
      <c r="D113" s="3">
        <v>45634</v>
      </c>
      <c r="E113" s="3">
        <v>45635.353796296287</v>
      </c>
      <c r="F113" s="6">
        <v>12.63</v>
      </c>
      <c r="G113">
        <f t="shared" si="1"/>
        <v>1</v>
      </c>
      <c r="H113" s="20">
        <v>12.491793980000001</v>
      </c>
      <c r="I113" s="20">
        <v>-1.3537962960000001</v>
      </c>
    </row>
    <row r="114" spans="1:9" ht="14.25" customHeight="1" x14ac:dyDescent="0.3">
      <c r="A114" s="2" t="s">
        <v>2741</v>
      </c>
      <c r="B114" s="2" t="s">
        <v>1636</v>
      </c>
      <c r="C114" s="3">
        <v>45623.368923611109</v>
      </c>
      <c r="D114" s="3">
        <v>45630</v>
      </c>
      <c r="E114" s="3">
        <v>45630.589988425927</v>
      </c>
      <c r="F114" s="6">
        <v>42.800000000000004</v>
      </c>
      <c r="G114">
        <f t="shared" si="1"/>
        <v>0</v>
      </c>
      <c r="H114" s="20">
        <v>7.2210648150000001</v>
      </c>
      <c r="I114" s="20">
        <v>-0.58998842600000001</v>
      </c>
    </row>
    <row r="115" spans="1:9" ht="14.25" customHeight="1" x14ac:dyDescent="0.3">
      <c r="A115" s="2" t="s">
        <v>2742</v>
      </c>
      <c r="B115" s="2" t="s">
        <v>1568</v>
      </c>
      <c r="C115" s="3">
        <v>45624.432118055563</v>
      </c>
      <c r="D115" s="3">
        <v>45631</v>
      </c>
      <c r="E115" s="3">
        <v>45630.679375</v>
      </c>
      <c r="F115" s="6">
        <v>116.77000000000001</v>
      </c>
      <c r="G115">
        <f t="shared" si="1"/>
        <v>-1</v>
      </c>
      <c r="H115" s="20">
        <v>6.2472569440000001</v>
      </c>
      <c r="I115" s="20">
        <v>0.32062499999999999</v>
      </c>
    </row>
    <row r="116" spans="1:9" ht="14.25" customHeight="1" x14ac:dyDescent="0.3">
      <c r="A116" s="2" t="s">
        <v>2743</v>
      </c>
      <c r="B116" s="2" t="s">
        <v>2016</v>
      </c>
      <c r="C116" s="3">
        <v>45624.823576388888</v>
      </c>
      <c r="D116" s="3">
        <v>45628</v>
      </c>
      <c r="E116" s="3">
        <v>45629.515567129631</v>
      </c>
      <c r="F116" s="6">
        <v>25.77</v>
      </c>
      <c r="G116">
        <f t="shared" si="1"/>
        <v>1</v>
      </c>
      <c r="H116" s="20">
        <v>4.6919907409999997</v>
      </c>
      <c r="I116" s="20">
        <v>-1.51556713</v>
      </c>
    </row>
    <row r="117" spans="1:9" ht="14.25" customHeight="1" x14ac:dyDescent="0.3">
      <c r="A117" s="2" t="s">
        <v>2744</v>
      </c>
      <c r="B117" s="2" t="s">
        <v>1880</v>
      </c>
      <c r="C117" s="3">
        <v>45625.493692129632</v>
      </c>
      <c r="D117" s="3">
        <v>45630</v>
      </c>
      <c r="E117" s="3">
        <v>45629.638078703712</v>
      </c>
      <c r="F117" s="6">
        <v>94.429999999999993</v>
      </c>
      <c r="G117">
        <f t="shared" si="1"/>
        <v>-1</v>
      </c>
      <c r="H117" s="20">
        <v>4.1443865740000003</v>
      </c>
      <c r="I117" s="20">
        <v>0.361921296</v>
      </c>
    </row>
    <row r="118" spans="1:9" ht="14.25" customHeight="1" x14ac:dyDescent="0.3">
      <c r="A118" s="2" t="s">
        <v>2745</v>
      </c>
      <c r="B118" s="2" t="s">
        <v>1734</v>
      </c>
      <c r="C118" s="3">
        <v>45626.150914351849</v>
      </c>
      <c r="D118" s="3">
        <v>45636</v>
      </c>
      <c r="E118" s="3">
        <v>45636.358032407406</v>
      </c>
      <c r="F118" s="6">
        <v>42.47</v>
      </c>
      <c r="G118">
        <f t="shared" si="1"/>
        <v>0</v>
      </c>
      <c r="H118" s="20">
        <v>10.207118060000001</v>
      </c>
      <c r="I118" s="20">
        <v>-0.358032407</v>
      </c>
    </row>
    <row r="119" spans="1:9" ht="14.25" customHeight="1" x14ac:dyDescent="0.3">
      <c r="A119" s="2" t="s">
        <v>2746</v>
      </c>
      <c r="B119" s="2" t="s">
        <v>1687</v>
      </c>
      <c r="C119" s="3">
        <v>45626.481793981482</v>
      </c>
      <c r="D119" s="3">
        <v>45633</v>
      </c>
      <c r="E119" s="3">
        <v>45632.510300925933</v>
      </c>
      <c r="F119" s="6">
        <v>53.940000000000005</v>
      </c>
      <c r="G119">
        <f t="shared" si="1"/>
        <v>-1</v>
      </c>
      <c r="H119" s="20">
        <v>6.0285069440000001</v>
      </c>
      <c r="I119" s="20">
        <v>0.48969907400000001</v>
      </c>
    </row>
    <row r="120" spans="1:9" ht="14.25" customHeight="1" x14ac:dyDescent="0.3">
      <c r="A120" s="2" t="s">
        <v>2747</v>
      </c>
      <c r="B120" s="2" t="s">
        <v>2092</v>
      </c>
      <c r="C120" s="3">
        <v>45626.864976851852</v>
      </c>
      <c r="D120" s="3">
        <v>45632</v>
      </c>
      <c r="E120" s="3">
        <v>45631.734988425917</v>
      </c>
      <c r="F120" s="6">
        <v>27.590000000000003</v>
      </c>
      <c r="G120">
        <f t="shared" si="1"/>
        <v>-1</v>
      </c>
      <c r="H120" s="20">
        <v>4.8700115740000003</v>
      </c>
      <c r="I120" s="20">
        <v>0.26501157400000003</v>
      </c>
    </row>
    <row r="121" spans="1:9" ht="14.25" customHeight="1" x14ac:dyDescent="0.3">
      <c r="A121" s="2" t="s">
        <v>2748</v>
      </c>
      <c r="B121" s="2" t="s">
        <v>2094</v>
      </c>
      <c r="C121" s="3">
        <v>45627.253854166673</v>
      </c>
      <c r="D121" s="3">
        <v>45637</v>
      </c>
      <c r="E121" s="3">
        <v>45636.526354166657</v>
      </c>
      <c r="F121" s="6">
        <v>72.739999999999995</v>
      </c>
      <c r="G121">
        <f t="shared" si="1"/>
        <v>-1</v>
      </c>
      <c r="H121" s="20">
        <v>9.2725000000000009</v>
      </c>
      <c r="I121" s="20">
        <v>0.47364583300000002</v>
      </c>
    </row>
    <row r="122" spans="1:9" ht="14.25" customHeight="1" x14ac:dyDescent="0.3">
      <c r="A122" s="2" t="s">
        <v>2749</v>
      </c>
      <c r="B122" s="2" t="s">
        <v>2105</v>
      </c>
      <c r="C122" s="3">
        <v>45629.677337962959</v>
      </c>
      <c r="D122" s="3">
        <v>45634</v>
      </c>
      <c r="E122" s="3">
        <v>45634.47079861111</v>
      </c>
      <c r="F122" s="6">
        <v>143.6</v>
      </c>
      <c r="G122">
        <f t="shared" si="1"/>
        <v>0</v>
      </c>
      <c r="H122" s="20">
        <v>4.7934606479999999</v>
      </c>
      <c r="I122" s="20">
        <v>-0.47079861099999998</v>
      </c>
    </row>
    <row r="123" spans="1:9" ht="14.25" customHeight="1" x14ac:dyDescent="0.3">
      <c r="A123" s="2" t="s">
        <v>2750</v>
      </c>
      <c r="B123" s="2" t="s">
        <v>2107</v>
      </c>
      <c r="C123" s="3">
        <v>45630.308807870373</v>
      </c>
      <c r="D123" s="3">
        <v>45633</v>
      </c>
      <c r="E123" s="3">
        <v>45632.56144675926</v>
      </c>
      <c r="F123" s="6">
        <v>108.64</v>
      </c>
      <c r="G123">
        <f t="shared" si="1"/>
        <v>-1</v>
      </c>
      <c r="H123" s="20">
        <v>2.252638889</v>
      </c>
      <c r="I123" s="20">
        <v>0.43855324099999998</v>
      </c>
    </row>
    <row r="124" spans="1:9" ht="14.25" customHeight="1" x14ac:dyDescent="0.3">
      <c r="A124" s="2" t="s">
        <v>2751</v>
      </c>
      <c r="B124" s="2" t="s">
        <v>1687</v>
      </c>
      <c r="C124" s="3">
        <v>45630.426041666673</v>
      </c>
      <c r="D124" s="3">
        <v>45641</v>
      </c>
      <c r="E124" s="3">
        <v>45641.632800925923</v>
      </c>
      <c r="F124" s="6">
        <v>43.15</v>
      </c>
      <c r="G124">
        <f t="shared" si="1"/>
        <v>0</v>
      </c>
      <c r="H124" s="20">
        <v>11.20675926</v>
      </c>
      <c r="I124" s="20">
        <v>-0.63280092600000004</v>
      </c>
    </row>
    <row r="125" spans="1:9" ht="14.25" customHeight="1" x14ac:dyDescent="0.3">
      <c r="A125" s="2" t="s">
        <v>2752</v>
      </c>
      <c r="B125" s="2" t="s">
        <v>2119</v>
      </c>
      <c r="C125" s="3">
        <v>45630.970625000002</v>
      </c>
      <c r="D125" s="3">
        <v>45634</v>
      </c>
      <c r="E125" s="3">
        <v>45636.377881944441</v>
      </c>
      <c r="F125" s="6">
        <v>161.54</v>
      </c>
      <c r="G125">
        <f t="shared" si="1"/>
        <v>2</v>
      </c>
      <c r="H125" s="20">
        <v>5.4072569440000002</v>
      </c>
      <c r="I125" s="20">
        <v>-2.3778819439999999</v>
      </c>
    </row>
    <row r="126" spans="1:9" ht="14.25" customHeight="1" x14ac:dyDescent="0.3">
      <c r="A126" s="2" t="s">
        <v>2753</v>
      </c>
      <c r="B126" s="2" t="s">
        <v>2116</v>
      </c>
      <c r="C126" s="3">
        <v>45630.972453703696</v>
      </c>
      <c r="D126" s="3">
        <v>45637</v>
      </c>
      <c r="E126" s="3">
        <v>45639.359699074077</v>
      </c>
      <c r="F126" s="6">
        <v>39.699999999999996</v>
      </c>
      <c r="G126">
        <f t="shared" si="1"/>
        <v>2</v>
      </c>
      <c r="H126" s="20">
        <v>8.3872453700000005</v>
      </c>
      <c r="I126" s="20">
        <v>-2.3596990739999999</v>
      </c>
    </row>
    <row r="127" spans="1:9" ht="14.25" customHeight="1" x14ac:dyDescent="0.3">
      <c r="A127" s="2" t="s">
        <v>2754</v>
      </c>
      <c r="B127" s="2" t="s">
        <v>2122</v>
      </c>
      <c r="C127" s="3">
        <v>45631.474120370367</v>
      </c>
      <c r="D127" s="3">
        <v>45639</v>
      </c>
      <c r="E127" s="3">
        <v>45641.71261574074</v>
      </c>
      <c r="F127" s="6">
        <v>75.81</v>
      </c>
      <c r="G127">
        <f t="shared" si="1"/>
        <v>2</v>
      </c>
      <c r="H127" s="20">
        <v>10.238495370000001</v>
      </c>
      <c r="I127" s="20">
        <v>-2.712615741</v>
      </c>
    </row>
    <row r="128" spans="1:9" ht="14.25" customHeight="1" x14ac:dyDescent="0.3">
      <c r="A128" s="2" t="s">
        <v>2755</v>
      </c>
      <c r="B128" s="2" t="s">
        <v>1856</v>
      </c>
      <c r="C128" s="3">
        <v>45631.637604166674</v>
      </c>
      <c r="D128" s="3">
        <v>45645</v>
      </c>
      <c r="E128" s="3">
        <v>45644.498043981483</v>
      </c>
      <c r="F128" s="6">
        <v>53.209999999999994</v>
      </c>
      <c r="G128">
        <f t="shared" si="1"/>
        <v>-1</v>
      </c>
      <c r="H128" s="20">
        <v>12.860439810000001</v>
      </c>
      <c r="I128" s="20">
        <v>0.50195601899999998</v>
      </c>
    </row>
    <row r="129" spans="1:12" ht="14.25" customHeight="1" x14ac:dyDescent="0.3">
      <c r="A129" s="2" t="s">
        <v>2756</v>
      </c>
      <c r="B129" s="2" t="s">
        <v>2125</v>
      </c>
      <c r="C129" s="3">
        <v>45631.758900462963</v>
      </c>
      <c r="D129" s="3">
        <v>45636</v>
      </c>
      <c r="E129" s="3">
        <v>45636.656307870369</v>
      </c>
      <c r="F129" s="6">
        <v>9.6999999999999993</v>
      </c>
      <c r="G129">
        <f t="shared" si="1"/>
        <v>0</v>
      </c>
      <c r="H129" s="20">
        <v>4.8974074070000002</v>
      </c>
      <c r="I129" s="20">
        <v>-0.65630787000000002</v>
      </c>
    </row>
    <row r="130" spans="1:12" ht="14.25" customHeight="1" x14ac:dyDescent="0.3">
      <c r="A130" s="2" t="s">
        <v>2757</v>
      </c>
      <c r="B130" s="2" t="s">
        <v>1838</v>
      </c>
      <c r="C130" s="3">
        <v>45632.524004629631</v>
      </c>
      <c r="D130" s="3">
        <v>45636</v>
      </c>
      <c r="E130" s="3">
        <v>45637.342858796299</v>
      </c>
      <c r="F130" s="6">
        <v>12.54</v>
      </c>
      <c r="G130">
        <f t="shared" si="1"/>
        <v>1</v>
      </c>
      <c r="H130" s="20">
        <v>4.8188541669999996</v>
      </c>
      <c r="I130" s="20">
        <v>-1.342858796</v>
      </c>
    </row>
    <row r="131" spans="1:12" ht="14.25" customHeight="1" x14ac:dyDescent="0.3">
      <c r="A131" s="2" t="s">
        <v>2758</v>
      </c>
      <c r="B131" s="2" t="s">
        <v>1470</v>
      </c>
      <c r="C131" s="3">
        <v>45633.843912037039</v>
      </c>
      <c r="D131" s="3">
        <v>45642</v>
      </c>
      <c r="E131" s="3">
        <v>45641.687974537039</v>
      </c>
      <c r="F131" s="6">
        <v>26.76</v>
      </c>
      <c r="G131">
        <f t="shared" ref="G131:G194" si="2">INT(E131)-INT(D131)</f>
        <v>-1</v>
      </c>
      <c r="H131" s="20">
        <v>7.8440624999999997</v>
      </c>
      <c r="I131" s="20">
        <v>0.312025463</v>
      </c>
    </row>
    <row r="132" spans="1:12" ht="14.25" customHeight="1" x14ac:dyDescent="0.3">
      <c r="A132" s="2" t="s">
        <v>2759</v>
      </c>
      <c r="B132" s="2" t="s">
        <v>2129</v>
      </c>
      <c r="C132" s="3">
        <v>45633.909942129627</v>
      </c>
      <c r="D132" s="3">
        <v>45642</v>
      </c>
      <c r="E132" s="3">
        <v>45642.442141203697</v>
      </c>
      <c r="F132" s="6">
        <v>173.72</v>
      </c>
      <c r="G132">
        <f t="shared" si="2"/>
        <v>0</v>
      </c>
      <c r="H132" s="20">
        <v>8.5321990739999993</v>
      </c>
      <c r="I132" s="20">
        <v>-0.44214120400000001</v>
      </c>
    </row>
    <row r="133" spans="1:12" ht="14.25" customHeight="1" x14ac:dyDescent="0.3">
      <c r="A133" s="2" t="s">
        <v>2760</v>
      </c>
      <c r="B133" s="2" t="s">
        <v>1731</v>
      </c>
      <c r="C133" s="3">
        <v>45634.614293981482</v>
      </c>
      <c r="D133" s="3">
        <v>45646</v>
      </c>
      <c r="E133" s="3">
        <v>45645.668090277781</v>
      </c>
      <c r="F133" s="6">
        <v>35.339999999999996</v>
      </c>
      <c r="G133">
        <f t="shared" si="2"/>
        <v>-1</v>
      </c>
      <c r="H133" s="20">
        <v>11.0537963</v>
      </c>
      <c r="I133" s="20">
        <v>0.33190972200000002</v>
      </c>
    </row>
    <row r="134" spans="1:12" ht="14.25" customHeight="1" x14ac:dyDescent="0.3">
      <c r="A134" s="2" t="s">
        <v>2761</v>
      </c>
      <c r="B134" s="2" t="s">
        <v>2131</v>
      </c>
      <c r="C134" s="3">
        <v>45634.624351851853</v>
      </c>
      <c r="D134" s="3">
        <v>45639</v>
      </c>
      <c r="E134" s="3">
        <v>45641.511365740742</v>
      </c>
      <c r="F134" s="6">
        <v>23.12</v>
      </c>
      <c r="G134">
        <f t="shared" si="2"/>
        <v>2</v>
      </c>
      <c r="H134" s="20">
        <v>6.8870138890000003</v>
      </c>
      <c r="I134" s="20">
        <v>-2.5113657410000001</v>
      </c>
    </row>
    <row r="135" spans="1:12" ht="14.25" customHeight="1" x14ac:dyDescent="0.3">
      <c r="A135" s="2" t="s">
        <v>2762</v>
      </c>
      <c r="B135" s="2" t="s">
        <v>1493</v>
      </c>
      <c r="C135" s="3">
        <v>45635.100104166668</v>
      </c>
      <c r="D135" s="3">
        <v>45643</v>
      </c>
      <c r="E135" s="3">
        <v>45643.667372685188</v>
      </c>
      <c r="F135" s="6">
        <v>105.72000000000001</v>
      </c>
      <c r="G135">
        <f t="shared" si="2"/>
        <v>0</v>
      </c>
      <c r="H135" s="20">
        <v>8.5672685190000006</v>
      </c>
      <c r="I135" s="20">
        <v>-0.66737268500000002</v>
      </c>
      <c r="L135" s="6">
        <f>AVERAGE(F2:F166)</f>
        <v>75.337757575757593</v>
      </c>
    </row>
    <row r="136" spans="1:12" ht="14.25" customHeight="1" x14ac:dyDescent="0.3">
      <c r="A136" s="2" t="s">
        <v>2763</v>
      </c>
      <c r="B136" s="2" t="s">
        <v>2138</v>
      </c>
      <c r="C136" s="3">
        <v>45635.411377314813</v>
      </c>
      <c r="D136" s="3">
        <v>45641</v>
      </c>
      <c r="E136" s="3">
        <v>45641.440092592587</v>
      </c>
      <c r="F136" s="6">
        <v>63.789999999999992</v>
      </c>
      <c r="G136">
        <f t="shared" si="2"/>
        <v>0</v>
      </c>
      <c r="H136" s="20">
        <v>6.028715278</v>
      </c>
      <c r="I136" s="20">
        <v>-0.44009259299999998</v>
      </c>
    </row>
    <row r="137" spans="1:12" ht="14.25" customHeight="1" x14ac:dyDescent="0.3">
      <c r="A137" s="2" t="s">
        <v>2764</v>
      </c>
      <c r="B137" s="2" t="s">
        <v>2063</v>
      </c>
      <c r="C137" s="3">
        <v>45635.541655092587</v>
      </c>
      <c r="D137" s="3">
        <v>45642</v>
      </c>
      <c r="E137" s="3">
        <v>45643.444432870368</v>
      </c>
      <c r="F137" s="6">
        <v>171.34</v>
      </c>
      <c r="G137">
        <f t="shared" si="2"/>
        <v>1</v>
      </c>
      <c r="H137" s="20">
        <v>7.9027777779999999</v>
      </c>
      <c r="I137" s="20">
        <v>-1.44443287</v>
      </c>
      <c r="L137" t="s">
        <v>2765</v>
      </c>
    </row>
    <row r="138" spans="1:12" ht="14.25" customHeight="1" x14ac:dyDescent="0.3">
      <c r="A138" s="2" t="s">
        <v>2766</v>
      </c>
      <c r="B138" s="2" t="s">
        <v>2142</v>
      </c>
      <c r="C138" s="3">
        <v>45637.408587962957</v>
      </c>
      <c r="D138" s="3">
        <v>45642</v>
      </c>
      <c r="E138" s="3">
        <v>45644.353194444448</v>
      </c>
      <c r="F138" s="6">
        <v>80.95</v>
      </c>
      <c r="G138">
        <f t="shared" si="2"/>
        <v>2</v>
      </c>
      <c r="H138" s="20">
        <v>6.9446064810000001</v>
      </c>
      <c r="I138" s="20">
        <v>-2.3531944440000001</v>
      </c>
    </row>
    <row r="139" spans="1:12" ht="14.25" customHeight="1" x14ac:dyDescent="0.3">
      <c r="A139" s="2" t="s">
        <v>2767</v>
      </c>
      <c r="B139" s="2" t="s">
        <v>2149</v>
      </c>
      <c r="C139" s="3">
        <v>45638.01494212963</v>
      </c>
      <c r="D139" s="3">
        <v>45644</v>
      </c>
      <c r="E139" s="3">
        <v>45644.71912037037</v>
      </c>
      <c r="F139" s="6">
        <v>97.18</v>
      </c>
      <c r="G139">
        <f t="shared" si="2"/>
        <v>0</v>
      </c>
      <c r="H139" s="20">
        <v>6.7041782410000001</v>
      </c>
      <c r="I139" s="20">
        <v>-0.71912036999999995</v>
      </c>
    </row>
    <row r="140" spans="1:12" ht="14.25" customHeight="1" x14ac:dyDescent="0.3">
      <c r="A140" s="2" t="s">
        <v>2768</v>
      </c>
      <c r="B140" s="2" t="s">
        <v>2153</v>
      </c>
      <c r="C140" s="3">
        <v>45638.340416666673</v>
      </c>
      <c r="D140" s="3">
        <v>45643</v>
      </c>
      <c r="E140" s="3">
        <v>45643.423668981479</v>
      </c>
      <c r="F140" s="6">
        <v>27.180000000000003</v>
      </c>
      <c r="G140">
        <f t="shared" si="2"/>
        <v>0</v>
      </c>
      <c r="H140" s="20">
        <v>5.0832523150000002</v>
      </c>
      <c r="I140" s="20">
        <v>-0.423668981</v>
      </c>
    </row>
    <row r="141" spans="1:12" ht="14.25" customHeight="1" x14ac:dyDescent="0.3">
      <c r="A141" s="2" t="s">
        <v>2769</v>
      </c>
      <c r="B141" s="2" t="s">
        <v>2151</v>
      </c>
      <c r="C141" s="3">
        <v>45638.610972222217</v>
      </c>
      <c r="D141" s="3">
        <v>45644</v>
      </c>
      <c r="E141" s="3">
        <v>45644.453263888892</v>
      </c>
      <c r="F141" s="6">
        <v>91.220000000000013</v>
      </c>
      <c r="G141">
        <f t="shared" si="2"/>
        <v>0</v>
      </c>
      <c r="H141" s="20">
        <v>5.8422916669999996</v>
      </c>
      <c r="I141" s="20">
        <v>-0.45326388899999998</v>
      </c>
    </row>
    <row r="142" spans="1:12" ht="14.25" customHeight="1" x14ac:dyDescent="0.3">
      <c r="A142" s="2" t="s">
        <v>2770</v>
      </c>
      <c r="B142" s="2" t="s">
        <v>1737</v>
      </c>
      <c r="C142" s="3">
        <v>45639.339004629634</v>
      </c>
      <c r="D142" s="3">
        <v>45643</v>
      </c>
      <c r="E142" s="3">
        <v>45642.66715277778</v>
      </c>
      <c r="F142" s="6">
        <v>53.83</v>
      </c>
      <c r="G142">
        <f t="shared" si="2"/>
        <v>-1</v>
      </c>
      <c r="H142" s="20">
        <v>3.3281481479999999</v>
      </c>
      <c r="I142" s="20">
        <v>0.332847222</v>
      </c>
    </row>
    <row r="143" spans="1:12" ht="14.25" customHeight="1" x14ac:dyDescent="0.3">
      <c r="A143" s="2" t="s">
        <v>2771</v>
      </c>
      <c r="B143" s="2" t="s">
        <v>1983</v>
      </c>
      <c r="C143" s="3">
        <v>45639.97452546296</v>
      </c>
      <c r="D143" s="3">
        <v>45644</v>
      </c>
      <c r="E143" s="3">
        <v>45644.422997685193</v>
      </c>
      <c r="F143" s="6">
        <v>50.449999999999996</v>
      </c>
      <c r="G143">
        <f t="shared" si="2"/>
        <v>0</v>
      </c>
      <c r="H143" s="20">
        <v>4.4484722220000004</v>
      </c>
      <c r="I143" s="20">
        <v>-0.42299768500000001</v>
      </c>
    </row>
    <row r="144" spans="1:12" ht="14.25" customHeight="1" x14ac:dyDescent="0.3">
      <c r="A144" s="2" t="s">
        <v>2772</v>
      </c>
      <c r="B144" s="2" t="s">
        <v>2149</v>
      </c>
      <c r="C144" s="3">
        <v>45642.910694444443</v>
      </c>
      <c r="D144" s="3">
        <v>45649</v>
      </c>
      <c r="E144" s="3">
        <v>45648.736168981479</v>
      </c>
      <c r="F144" s="6">
        <v>78.150000000000006</v>
      </c>
      <c r="G144">
        <f t="shared" si="2"/>
        <v>-1</v>
      </c>
      <c r="H144" s="20">
        <v>5.8254745369999998</v>
      </c>
      <c r="I144" s="20">
        <v>0.263831019</v>
      </c>
    </row>
    <row r="145" spans="1:9" ht="14.25" customHeight="1" x14ac:dyDescent="0.3">
      <c r="A145" s="2" t="s">
        <v>2773</v>
      </c>
      <c r="B145" s="2" t="s">
        <v>1588</v>
      </c>
      <c r="C145" s="3">
        <v>45642.931203703702</v>
      </c>
      <c r="D145" s="3">
        <v>45649</v>
      </c>
      <c r="E145" s="3">
        <v>45653.384606481479</v>
      </c>
      <c r="F145" s="6">
        <v>232.38</v>
      </c>
      <c r="G145">
        <f t="shared" si="2"/>
        <v>4</v>
      </c>
      <c r="H145" s="20">
        <v>10.453402779999999</v>
      </c>
      <c r="I145" s="20">
        <v>-4.3846064809999996</v>
      </c>
    </row>
    <row r="146" spans="1:9" ht="14.25" customHeight="1" x14ac:dyDescent="0.3">
      <c r="A146" s="2" t="s">
        <v>2774</v>
      </c>
      <c r="B146" s="2" t="s">
        <v>1493</v>
      </c>
      <c r="C146" s="3">
        <v>45643.380810185183</v>
      </c>
      <c r="D146" s="3">
        <v>45653</v>
      </c>
      <c r="E146" s="3">
        <v>45653.588194444441</v>
      </c>
      <c r="F146" s="6">
        <v>159.54000000000002</v>
      </c>
      <c r="G146">
        <f t="shared" si="2"/>
        <v>0</v>
      </c>
      <c r="H146" s="20">
        <v>10.20738426</v>
      </c>
      <c r="I146" s="20">
        <v>-0.58819444399999998</v>
      </c>
    </row>
    <row r="147" spans="1:9" ht="14.25" customHeight="1" x14ac:dyDescent="0.3">
      <c r="A147" s="2" t="s">
        <v>2775</v>
      </c>
      <c r="B147" s="2" t="s">
        <v>2107</v>
      </c>
      <c r="C147" s="3">
        <v>45645.144814814812</v>
      </c>
      <c r="D147" s="3">
        <v>45653</v>
      </c>
      <c r="E147" s="3">
        <v>45653.6093287037</v>
      </c>
      <c r="F147" s="6">
        <v>68.97</v>
      </c>
      <c r="G147">
        <f t="shared" si="2"/>
        <v>0</v>
      </c>
      <c r="H147" s="20">
        <v>8.4645138889999991</v>
      </c>
      <c r="I147" s="20">
        <v>-0.60932870400000005</v>
      </c>
    </row>
    <row r="148" spans="1:9" ht="14.25" customHeight="1" x14ac:dyDescent="0.3">
      <c r="A148" s="2" t="s">
        <v>2776</v>
      </c>
      <c r="B148" s="2" t="s">
        <v>1568</v>
      </c>
      <c r="C148" s="3">
        <v>45646.378888888888</v>
      </c>
      <c r="D148" s="3">
        <v>45654</v>
      </c>
      <c r="E148" s="3">
        <v>45656.385300925933</v>
      </c>
      <c r="F148" s="6">
        <v>102.85999999999999</v>
      </c>
      <c r="G148">
        <f t="shared" si="2"/>
        <v>2</v>
      </c>
      <c r="H148" s="20">
        <v>10.006412040000001</v>
      </c>
      <c r="I148" s="20">
        <v>-2.3853009260000002</v>
      </c>
    </row>
    <row r="149" spans="1:9" ht="14.25" customHeight="1" x14ac:dyDescent="0.3">
      <c r="A149" s="2" t="s">
        <v>2777</v>
      </c>
      <c r="B149" s="2" t="s">
        <v>2172</v>
      </c>
      <c r="C149" s="3">
        <v>45646.579907407409</v>
      </c>
      <c r="D149" s="3">
        <v>45656</v>
      </c>
      <c r="E149" s="3">
        <v>45661.528587962966</v>
      </c>
      <c r="F149" s="6">
        <v>185.82000000000002</v>
      </c>
      <c r="G149">
        <f t="shared" si="2"/>
        <v>5</v>
      </c>
      <c r="H149" s="20">
        <v>14.94868056</v>
      </c>
      <c r="I149" s="20">
        <v>-5.5285879629999997</v>
      </c>
    </row>
    <row r="150" spans="1:9" ht="14.25" customHeight="1" x14ac:dyDescent="0.3">
      <c r="A150" s="2" t="s">
        <v>2778</v>
      </c>
      <c r="B150" s="2" t="s">
        <v>1958</v>
      </c>
      <c r="C150" s="3">
        <v>45646.692488425928</v>
      </c>
      <c r="D150" s="3">
        <v>45653</v>
      </c>
      <c r="E150" s="3">
        <v>45653.448831018519</v>
      </c>
      <c r="F150" s="6">
        <v>176.22</v>
      </c>
      <c r="G150">
        <f t="shared" si="2"/>
        <v>0</v>
      </c>
      <c r="H150" s="20">
        <v>6.7563425930000003</v>
      </c>
      <c r="I150" s="20">
        <v>-0.448831019</v>
      </c>
    </row>
    <row r="151" spans="1:9" ht="14.25" customHeight="1" x14ac:dyDescent="0.3">
      <c r="A151" s="2" t="s">
        <v>2779</v>
      </c>
      <c r="B151" s="2" t="s">
        <v>2175</v>
      </c>
      <c r="C151" s="3">
        <v>45647.013495370367</v>
      </c>
      <c r="D151" s="3">
        <v>45656</v>
      </c>
      <c r="E151" s="3">
        <v>45655.405752314808</v>
      </c>
      <c r="F151" s="6">
        <v>229.98000000000002</v>
      </c>
      <c r="G151">
        <f t="shared" si="2"/>
        <v>-1</v>
      </c>
      <c r="H151" s="20">
        <v>8.3922569439999997</v>
      </c>
      <c r="I151" s="20">
        <v>0.59424768500000003</v>
      </c>
    </row>
    <row r="152" spans="1:9" ht="14.25" customHeight="1" x14ac:dyDescent="0.3">
      <c r="A152" s="2" t="s">
        <v>2780</v>
      </c>
      <c r="B152" s="2" t="s">
        <v>1650</v>
      </c>
      <c r="C152" s="3">
        <v>45647.972488425927</v>
      </c>
      <c r="D152" s="3">
        <v>45653</v>
      </c>
      <c r="E152" s="3">
        <v>45653.602592592593</v>
      </c>
      <c r="F152" s="6">
        <v>13.93</v>
      </c>
      <c r="G152">
        <f t="shared" si="2"/>
        <v>0</v>
      </c>
      <c r="H152" s="20">
        <v>5.6301041669999998</v>
      </c>
      <c r="I152" s="20">
        <v>-0.60259259300000001</v>
      </c>
    </row>
    <row r="153" spans="1:9" ht="14.25" customHeight="1" x14ac:dyDescent="0.3">
      <c r="A153" s="2" t="s">
        <v>2781</v>
      </c>
      <c r="B153" s="2" t="s">
        <v>2181</v>
      </c>
      <c r="C153" s="3">
        <v>45649.310219907413</v>
      </c>
      <c r="D153" s="3">
        <v>45654</v>
      </c>
      <c r="E153" s="3">
        <v>45654.546805555547</v>
      </c>
      <c r="F153" s="6">
        <v>92.53</v>
      </c>
      <c r="G153">
        <f t="shared" si="2"/>
        <v>0</v>
      </c>
      <c r="H153" s="20">
        <v>5.2365856480000001</v>
      </c>
      <c r="I153" s="20">
        <v>-0.54680555600000003</v>
      </c>
    </row>
    <row r="154" spans="1:9" ht="14.25" customHeight="1" x14ac:dyDescent="0.3">
      <c r="A154" s="2" t="s">
        <v>2782</v>
      </c>
      <c r="B154" s="2" t="s">
        <v>2144</v>
      </c>
      <c r="C154" s="3">
        <v>45651.342476851853</v>
      </c>
      <c r="D154" s="3">
        <v>45660</v>
      </c>
      <c r="E154" s="3">
        <v>45659.505023148151</v>
      </c>
      <c r="F154" s="6">
        <v>87.92</v>
      </c>
      <c r="G154">
        <f t="shared" si="2"/>
        <v>-1</v>
      </c>
      <c r="H154" s="20">
        <v>8.1625462960000004</v>
      </c>
      <c r="I154" s="20">
        <v>0.49497685200000002</v>
      </c>
    </row>
    <row r="155" spans="1:9" ht="14.25" customHeight="1" x14ac:dyDescent="0.3">
      <c r="A155" s="2" t="s">
        <v>2783</v>
      </c>
      <c r="B155" s="2" t="s">
        <v>2187</v>
      </c>
      <c r="C155" s="3">
        <v>45651.562673611108</v>
      </c>
      <c r="D155" s="3">
        <v>45659</v>
      </c>
      <c r="E155" s="3">
        <v>45659.541979166657</v>
      </c>
      <c r="F155" s="6">
        <v>96.81</v>
      </c>
      <c r="G155">
        <f t="shared" si="2"/>
        <v>0</v>
      </c>
      <c r="H155" s="20">
        <v>7.9793055559999999</v>
      </c>
      <c r="I155" s="20">
        <v>-0.54197916700000004</v>
      </c>
    </row>
    <row r="156" spans="1:9" ht="14.25" customHeight="1" x14ac:dyDescent="0.3">
      <c r="A156" s="2" t="s">
        <v>2784</v>
      </c>
      <c r="B156" s="2" t="s">
        <v>2191</v>
      </c>
      <c r="C156" s="3">
        <v>45651.710625</v>
      </c>
      <c r="D156" s="3">
        <v>45660</v>
      </c>
      <c r="E156" s="3">
        <v>45661.408900462957</v>
      </c>
      <c r="F156" s="6">
        <v>120.87</v>
      </c>
      <c r="G156">
        <f t="shared" si="2"/>
        <v>1</v>
      </c>
      <c r="H156" s="20">
        <v>9.6982754629999999</v>
      </c>
      <c r="I156" s="20">
        <v>-1.4089004629999999</v>
      </c>
    </row>
    <row r="157" spans="1:9" ht="14.25" customHeight="1" x14ac:dyDescent="0.3">
      <c r="A157" s="2" t="s">
        <v>2785</v>
      </c>
      <c r="B157" s="2" t="s">
        <v>1902</v>
      </c>
      <c r="C157" s="3">
        <v>45652.342129629629</v>
      </c>
      <c r="D157" s="3">
        <v>45661</v>
      </c>
      <c r="E157" s="3">
        <v>45663.449363425927</v>
      </c>
      <c r="F157" s="6">
        <v>4.3600000000000003</v>
      </c>
      <c r="G157">
        <f t="shared" si="2"/>
        <v>2</v>
      </c>
      <c r="H157" s="20">
        <v>11.107233799999999</v>
      </c>
      <c r="I157" s="20">
        <v>-2.4493634260000001</v>
      </c>
    </row>
    <row r="158" spans="1:9" ht="14.25" customHeight="1" x14ac:dyDescent="0.3">
      <c r="A158" s="2" t="s">
        <v>2786</v>
      </c>
      <c r="B158" s="2" t="s">
        <v>1556</v>
      </c>
      <c r="C158" s="3">
        <v>45654.334594907406</v>
      </c>
      <c r="D158" s="3">
        <v>45661</v>
      </c>
      <c r="E158" s="3">
        <v>45662.336018518523</v>
      </c>
      <c r="F158" s="6">
        <v>86.33</v>
      </c>
      <c r="G158">
        <f t="shared" si="2"/>
        <v>1</v>
      </c>
      <c r="H158" s="20">
        <v>8.0014236109999999</v>
      </c>
      <c r="I158" s="20">
        <v>-1.336018519</v>
      </c>
    </row>
    <row r="159" spans="1:9" ht="14.25" customHeight="1" x14ac:dyDescent="0.3">
      <c r="A159" s="2" t="s">
        <v>2787</v>
      </c>
      <c r="B159" s="2" t="s">
        <v>1956</v>
      </c>
      <c r="C159" s="3">
        <v>45654.344224537039</v>
      </c>
      <c r="D159" s="3">
        <v>45659</v>
      </c>
      <c r="E159" s="3">
        <v>45659.653078703697</v>
      </c>
      <c r="F159" s="6">
        <v>101.47999999999999</v>
      </c>
      <c r="G159">
        <f t="shared" si="2"/>
        <v>0</v>
      </c>
      <c r="H159" s="20">
        <v>5.3088541669999998</v>
      </c>
      <c r="I159" s="20">
        <v>-0.65307870400000001</v>
      </c>
    </row>
    <row r="160" spans="1:9" ht="14.25" customHeight="1" x14ac:dyDescent="0.3">
      <c r="A160" s="2" t="s">
        <v>2788</v>
      </c>
      <c r="B160" s="2" t="s">
        <v>2205</v>
      </c>
      <c r="C160" s="3">
        <v>45654.825416666667</v>
      </c>
      <c r="D160" s="3">
        <v>45660</v>
      </c>
      <c r="E160" s="3">
        <v>45659.703287037039</v>
      </c>
      <c r="F160" s="6">
        <v>12.14</v>
      </c>
      <c r="G160">
        <f t="shared" si="2"/>
        <v>-1</v>
      </c>
      <c r="H160" s="20">
        <v>4.8778703700000001</v>
      </c>
      <c r="I160" s="20">
        <v>0.296712963</v>
      </c>
    </row>
    <row r="161" spans="1:12" ht="14.25" customHeight="1" x14ac:dyDescent="0.3">
      <c r="A161" s="2" t="s">
        <v>2789</v>
      </c>
      <c r="B161" s="2" t="s">
        <v>2203</v>
      </c>
      <c r="C161" s="3">
        <v>45654.987083333333</v>
      </c>
      <c r="D161" s="3">
        <v>45661</v>
      </c>
      <c r="E161" s="3">
        <v>45660.737766203703</v>
      </c>
      <c r="F161" s="6">
        <v>15.06</v>
      </c>
      <c r="G161">
        <f t="shared" si="2"/>
        <v>-1</v>
      </c>
      <c r="H161" s="20">
        <v>5.7506828700000003</v>
      </c>
      <c r="I161" s="20">
        <v>0.26223379600000002</v>
      </c>
    </row>
    <row r="162" spans="1:12" ht="14.25" customHeight="1" x14ac:dyDescent="0.3">
      <c r="A162" s="2" t="s">
        <v>2790</v>
      </c>
      <c r="B162" s="2" t="s">
        <v>2208</v>
      </c>
      <c r="C162" s="3">
        <v>45655.450636574067</v>
      </c>
      <c r="D162" s="3">
        <v>45659</v>
      </c>
      <c r="E162" s="3">
        <v>45662.663368055553</v>
      </c>
      <c r="F162" s="6">
        <v>6.92</v>
      </c>
      <c r="G162">
        <f t="shared" si="2"/>
        <v>3</v>
      </c>
      <c r="H162" s="20">
        <v>7.2127314809999996</v>
      </c>
      <c r="I162" s="20">
        <v>-3.6633680559999999</v>
      </c>
    </row>
    <row r="163" spans="1:12" ht="14.25" customHeight="1" x14ac:dyDescent="0.3">
      <c r="A163" s="2" t="s">
        <v>2791</v>
      </c>
      <c r="B163" s="2" t="s">
        <v>2213</v>
      </c>
      <c r="C163" s="3">
        <v>45655.957175925927</v>
      </c>
      <c r="D163" s="3">
        <v>45662</v>
      </c>
      <c r="E163" s="3">
        <v>45661.52449074074</v>
      </c>
      <c r="F163" s="6">
        <v>7.09</v>
      </c>
      <c r="G163">
        <f t="shared" si="2"/>
        <v>-1</v>
      </c>
      <c r="H163" s="20">
        <v>5.5673148149999996</v>
      </c>
      <c r="I163" s="20">
        <v>0.47550925900000002</v>
      </c>
    </row>
    <row r="164" spans="1:12" ht="14.25" customHeight="1" x14ac:dyDescent="0.3">
      <c r="A164" s="2" t="s">
        <v>2792</v>
      </c>
      <c r="B164" s="2" t="s">
        <v>2215</v>
      </c>
      <c r="C164" s="3">
        <v>45656.01394675926</v>
      </c>
      <c r="D164" s="3">
        <v>45666</v>
      </c>
      <c r="E164" s="3">
        <v>45665.567511574067</v>
      </c>
      <c r="F164" s="6">
        <v>31.94</v>
      </c>
      <c r="G164">
        <f t="shared" si="2"/>
        <v>-1</v>
      </c>
      <c r="H164" s="20">
        <v>9.5535648149999997</v>
      </c>
      <c r="I164" s="20">
        <v>0.43248842599999998</v>
      </c>
    </row>
    <row r="165" spans="1:12" ht="14.25" customHeight="1" x14ac:dyDescent="0.3">
      <c r="A165" s="2" t="s">
        <v>2793</v>
      </c>
      <c r="B165" s="2" t="s">
        <v>1880</v>
      </c>
      <c r="C165" s="3">
        <v>45656.912094907413</v>
      </c>
      <c r="D165" s="3">
        <v>45662</v>
      </c>
      <c r="E165" s="3">
        <v>45663.686481481483</v>
      </c>
      <c r="F165" s="6">
        <v>62.79</v>
      </c>
      <c r="G165">
        <f t="shared" si="2"/>
        <v>1</v>
      </c>
      <c r="H165" s="20">
        <v>6.7743865740000002</v>
      </c>
      <c r="I165" s="20">
        <v>-1.6864814809999999</v>
      </c>
    </row>
    <row r="166" spans="1:12" ht="14.25" customHeight="1" x14ac:dyDescent="0.3">
      <c r="A166" s="2" t="s">
        <v>2794</v>
      </c>
      <c r="B166" s="2" t="s">
        <v>2205</v>
      </c>
      <c r="C166" s="3">
        <v>45657.368055555547</v>
      </c>
      <c r="D166" s="3">
        <v>45664</v>
      </c>
      <c r="E166" s="3">
        <v>45663.721435185187</v>
      </c>
      <c r="F166" s="6">
        <v>152.68</v>
      </c>
      <c r="G166">
        <f t="shared" si="2"/>
        <v>-1</v>
      </c>
      <c r="H166" s="20">
        <v>6.3533796300000001</v>
      </c>
      <c r="I166" s="20">
        <v>0.27856481500000002</v>
      </c>
    </row>
    <row r="167" spans="1:12" ht="14.25" customHeight="1" x14ac:dyDescent="0.3">
      <c r="A167" s="2" t="s">
        <v>2795</v>
      </c>
      <c r="B167" s="2" t="s">
        <v>2221</v>
      </c>
      <c r="C167" s="25">
        <v>45660.308715277781</v>
      </c>
      <c r="D167" s="3">
        <v>45662</v>
      </c>
      <c r="E167" s="3">
        <v>45661.623055555552</v>
      </c>
      <c r="F167" s="6">
        <v>25.6</v>
      </c>
      <c r="G167">
        <f t="shared" si="2"/>
        <v>-1</v>
      </c>
      <c r="H167" s="20">
        <v>1.314340278</v>
      </c>
      <c r="I167" s="20">
        <v>0.37694444399999999</v>
      </c>
      <c r="L167" s="6">
        <f>AVERAGE(F167:F417)</f>
        <v>81.915617529880507</v>
      </c>
    </row>
    <row r="168" spans="1:12" ht="14.25" customHeight="1" x14ac:dyDescent="0.3">
      <c r="A168" s="2" t="s">
        <v>2796</v>
      </c>
      <c r="B168" s="2" t="s">
        <v>1470</v>
      </c>
      <c r="C168" s="3">
        <v>45669.388981481483</v>
      </c>
      <c r="D168" s="3">
        <v>45677</v>
      </c>
      <c r="E168" s="3">
        <v>45679.359166666669</v>
      </c>
      <c r="F168" s="6">
        <v>14.97</v>
      </c>
      <c r="G168">
        <f t="shared" si="2"/>
        <v>2</v>
      </c>
      <c r="H168" s="20">
        <v>9.9701851850000001</v>
      </c>
      <c r="I168" s="20">
        <v>-2.3591666670000002</v>
      </c>
    </row>
    <row r="169" spans="1:12" ht="14.25" customHeight="1" x14ac:dyDescent="0.3">
      <c r="A169" s="2" t="s">
        <v>2797</v>
      </c>
      <c r="B169" s="2" t="s">
        <v>2125</v>
      </c>
      <c r="C169" s="3">
        <v>45671.235972222217</v>
      </c>
      <c r="D169" s="3">
        <v>45674</v>
      </c>
      <c r="E169" s="3">
        <v>45673.73773148148</v>
      </c>
      <c r="F169" s="6">
        <v>32.39</v>
      </c>
      <c r="G169">
        <f t="shared" si="2"/>
        <v>-1</v>
      </c>
      <c r="H169" s="20">
        <v>2.501759259</v>
      </c>
      <c r="I169" s="20">
        <v>0.26226851899999998</v>
      </c>
    </row>
    <row r="170" spans="1:12" ht="14.25" customHeight="1" x14ac:dyDescent="0.3">
      <c r="A170" s="2" t="s">
        <v>2798</v>
      </c>
      <c r="B170" s="2" t="s">
        <v>1488</v>
      </c>
      <c r="C170" s="3">
        <v>45675.211284722223</v>
      </c>
      <c r="D170" s="3">
        <v>45679</v>
      </c>
      <c r="E170" s="3">
        <v>45678.607685185183</v>
      </c>
      <c r="F170" s="6">
        <v>13.34</v>
      </c>
      <c r="G170">
        <f t="shared" si="2"/>
        <v>-1</v>
      </c>
      <c r="H170" s="20">
        <v>3.396400463</v>
      </c>
      <c r="I170" s="20">
        <v>0.39231481499999998</v>
      </c>
    </row>
    <row r="171" spans="1:12" ht="14.25" customHeight="1" x14ac:dyDescent="0.3">
      <c r="A171" s="2" t="s">
        <v>2799</v>
      </c>
      <c r="B171" s="2" t="s">
        <v>1571</v>
      </c>
      <c r="C171" s="3">
        <v>45683.503969907397</v>
      </c>
      <c r="D171" s="3">
        <v>45689</v>
      </c>
      <c r="E171" s="3">
        <v>45693.472280092603</v>
      </c>
      <c r="F171" s="6">
        <v>53.99</v>
      </c>
      <c r="G171">
        <f t="shared" si="2"/>
        <v>4</v>
      </c>
      <c r="H171" s="20">
        <v>9.968310185</v>
      </c>
      <c r="I171" s="20">
        <v>-4.4722800930000002</v>
      </c>
    </row>
    <row r="172" spans="1:12" ht="14.25" customHeight="1" x14ac:dyDescent="0.3">
      <c r="A172" s="2" t="s">
        <v>2800</v>
      </c>
      <c r="B172" s="2" t="s">
        <v>1606</v>
      </c>
      <c r="C172" s="3">
        <v>45688.778344907398</v>
      </c>
      <c r="D172" s="3">
        <v>45697</v>
      </c>
      <c r="E172" s="3">
        <v>45697.414525462962</v>
      </c>
      <c r="F172" s="6">
        <v>117.05</v>
      </c>
      <c r="G172">
        <f t="shared" si="2"/>
        <v>0</v>
      </c>
      <c r="H172" s="20">
        <v>8.6361805559999993</v>
      </c>
      <c r="I172" s="20">
        <v>-0.41452546299999998</v>
      </c>
    </row>
    <row r="173" spans="1:12" ht="14.25" customHeight="1" x14ac:dyDescent="0.3">
      <c r="A173" s="2" t="s">
        <v>2801</v>
      </c>
      <c r="B173" s="2" t="s">
        <v>2237</v>
      </c>
      <c r="C173" s="3">
        <v>45689.416192129633</v>
      </c>
      <c r="D173" s="3">
        <v>45698</v>
      </c>
      <c r="E173" s="3">
        <v>45698.54146990741</v>
      </c>
      <c r="F173" s="6">
        <v>87.68</v>
      </c>
      <c r="G173">
        <f t="shared" si="2"/>
        <v>0</v>
      </c>
      <c r="H173" s="20">
        <v>9.1252777779999992</v>
      </c>
      <c r="I173" s="20">
        <v>-0.54146990699999997</v>
      </c>
    </row>
    <row r="174" spans="1:12" ht="14.25" customHeight="1" x14ac:dyDescent="0.3">
      <c r="A174" s="2" t="s">
        <v>2802</v>
      </c>
      <c r="B174" s="2" t="s">
        <v>2036</v>
      </c>
      <c r="C174" s="3">
        <v>45691.453460648147</v>
      </c>
      <c r="D174" s="3">
        <v>45697</v>
      </c>
      <c r="E174" s="3">
        <v>45696.555509259262</v>
      </c>
      <c r="F174" s="6">
        <v>245.60999999999999</v>
      </c>
      <c r="G174">
        <f t="shared" si="2"/>
        <v>-1</v>
      </c>
      <c r="H174" s="20">
        <v>5.1020486109999998</v>
      </c>
      <c r="I174" s="20">
        <v>0.44449074100000002</v>
      </c>
    </row>
    <row r="175" spans="1:12" ht="14.25" customHeight="1" x14ac:dyDescent="0.3">
      <c r="A175" s="2" t="s">
        <v>2803</v>
      </c>
      <c r="B175" s="2" t="s">
        <v>2047</v>
      </c>
      <c r="C175" s="3">
        <v>45693.40625</v>
      </c>
      <c r="D175" s="3">
        <v>45703</v>
      </c>
      <c r="E175" s="3">
        <v>45703.528599537043</v>
      </c>
      <c r="F175" s="6">
        <v>32.159999999999997</v>
      </c>
      <c r="G175">
        <f t="shared" si="2"/>
        <v>0</v>
      </c>
      <c r="H175" s="20">
        <v>10.12234954</v>
      </c>
      <c r="I175" s="20">
        <v>-0.52859953699999995</v>
      </c>
    </row>
    <row r="176" spans="1:12" ht="14.25" customHeight="1" x14ac:dyDescent="0.3">
      <c r="A176" s="2" t="s">
        <v>2804</v>
      </c>
      <c r="B176" s="2" t="s">
        <v>1958</v>
      </c>
      <c r="C176" s="3">
        <v>45703.16306712963</v>
      </c>
      <c r="D176" s="3">
        <v>45706</v>
      </c>
      <c r="E176" s="3">
        <v>45707.358425925922</v>
      </c>
      <c r="F176" s="6">
        <v>68.77</v>
      </c>
      <c r="G176">
        <f t="shared" si="2"/>
        <v>1</v>
      </c>
      <c r="H176" s="20">
        <v>4.1953587959999998</v>
      </c>
      <c r="I176" s="20">
        <v>-1.358425926</v>
      </c>
    </row>
    <row r="177" spans="1:9" ht="14.25" customHeight="1" x14ac:dyDescent="0.3">
      <c r="A177" s="2" t="s">
        <v>2805</v>
      </c>
      <c r="B177" s="2" t="s">
        <v>1580</v>
      </c>
      <c r="C177" s="3">
        <v>45709.390775462962</v>
      </c>
      <c r="D177" s="3">
        <v>45714</v>
      </c>
      <c r="E177" s="3">
        <v>45715.425497685188</v>
      </c>
      <c r="F177" s="6">
        <v>58.42</v>
      </c>
      <c r="G177">
        <f t="shared" si="2"/>
        <v>1</v>
      </c>
      <c r="H177" s="20">
        <v>6.0347222220000001</v>
      </c>
      <c r="I177" s="20">
        <v>-1.4254976850000001</v>
      </c>
    </row>
    <row r="178" spans="1:9" ht="14.25" customHeight="1" x14ac:dyDescent="0.3">
      <c r="A178" s="2" t="s">
        <v>2806</v>
      </c>
      <c r="B178" s="2" t="s">
        <v>1745</v>
      </c>
      <c r="C178" s="3">
        <v>45709.530451388891</v>
      </c>
      <c r="D178" s="3">
        <v>45714</v>
      </c>
      <c r="E178" s="3">
        <v>45714.504756944443</v>
      </c>
      <c r="F178" s="6">
        <v>95.13</v>
      </c>
      <c r="G178">
        <f t="shared" si="2"/>
        <v>0</v>
      </c>
      <c r="H178" s="20">
        <v>4.974305556</v>
      </c>
      <c r="I178" s="20">
        <v>-0.50475694400000004</v>
      </c>
    </row>
    <row r="179" spans="1:9" ht="14.25" customHeight="1" x14ac:dyDescent="0.3">
      <c r="A179" s="2" t="s">
        <v>2807</v>
      </c>
      <c r="B179" s="2" t="s">
        <v>1969</v>
      </c>
      <c r="C179" s="3">
        <v>45709.63890046296</v>
      </c>
      <c r="D179" s="3">
        <v>45712</v>
      </c>
      <c r="E179" s="3">
        <v>45711.670659722222</v>
      </c>
      <c r="F179" s="6">
        <v>57.559999999999995</v>
      </c>
      <c r="G179">
        <f t="shared" si="2"/>
        <v>-1</v>
      </c>
      <c r="H179" s="20">
        <v>2.0317592590000002</v>
      </c>
      <c r="I179" s="20">
        <v>0.32934027799999999</v>
      </c>
    </row>
    <row r="180" spans="1:9" ht="14.25" customHeight="1" x14ac:dyDescent="0.3">
      <c r="A180" s="2" t="s">
        <v>2808</v>
      </c>
      <c r="B180" s="2" t="s">
        <v>1994</v>
      </c>
      <c r="C180" s="3">
        <v>45711.611828703702</v>
      </c>
      <c r="D180" s="3">
        <v>45717</v>
      </c>
      <c r="E180" s="3">
        <v>45717.569328703707</v>
      </c>
      <c r="F180" s="6">
        <v>379.57</v>
      </c>
      <c r="G180">
        <f t="shared" si="2"/>
        <v>0</v>
      </c>
      <c r="H180" s="20">
        <v>5.9574999999999996</v>
      </c>
      <c r="I180" s="20">
        <v>-0.56932870400000002</v>
      </c>
    </row>
    <row r="181" spans="1:9" ht="14.25" customHeight="1" x14ac:dyDescent="0.3">
      <c r="A181" s="2" t="s">
        <v>2809</v>
      </c>
      <c r="B181" s="2" t="s">
        <v>1902</v>
      </c>
      <c r="C181" s="3">
        <v>45712.284942129627</v>
      </c>
      <c r="D181" s="3">
        <v>45719</v>
      </c>
      <c r="E181" s="3">
        <v>45718.539363425924</v>
      </c>
      <c r="F181" s="6">
        <v>117.5</v>
      </c>
      <c r="G181">
        <f t="shared" si="2"/>
        <v>-1</v>
      </c>
      <c r="H181" s="20">
        <v>6.2544212960000003</v>
      </c>
      <c r="I181" s="20">
        <v>0.46063657400000002</v>
      </c>
    </row>
    <row r="182" spans="1:9" ht="14.25" customHeight="1" x14ac:dyDescent="0.3">
      <c r="A182" s="2" t="s">
        <v>2810</v>
      </c>
      <c r="B182" s="2" t="s">
        <v>2018</v>
      </c>
      <c r="C182" s="3">
        <v>45712.642337962963</v>
      </c>
      <c r="D182" s="3">
        <v>45718</v>
      </c>
      <c r="E182" s="3">
        <v>45718.465844907398</v>
      </c>
      <c r="F182" s="6">
        <v>20.610000000000003</v>
      </c>
      <c r="G182">
        <f t="shared" si="2"/>
        <v>0</v>
      </c>
      <c r="H182" s="20">
        <v>5.823506944</v>
      </c>
      <c r="I182" s="20">
        <v>-0.46584490699999997</v>
      </c>
    </row>
    <row r="183" spans="1:9" ht="14.25" customHeight="1" x14ac:dyDescent="0.3">
      <c r="A183" s="2" t="s">
        <v>2811</v>
      </c>
      <c r="B183" s="2" t="s">
        <v>1983</v>
      </c>
      <c r="C183" s="3">
        <v>45713.485289351847</v>
      </c>
      <c r="D183" s="3">
        <v>45722</v>
      </c>
      <c r="E183" s="3">
        <v>45723.747418981482</v>
      </c>
      <c r="F183" s="6">
        <v>53.69</v>
      </c>
      <c r="G183">
        <f t="shared" si="2"/>
        <v>1</v>
      </c>
      <c r="H183" s="20">
        <v>10.26212963</v>
      </c>
      <c r="I183" s="20">
        <v>-1.747418981</v>
      </c>
    </row>
    <row r="184" spans="1:9" ht="14.25" customHeight="1" x14ac:dyDescent="0.3">
      <c r="A184" s="2" t="s">
        <v>2812</v>
      </c>
      <c r="B184" s="2" t="s">
        <v>2138</v>
      </c>
      <c r="C184" s="3">
        <v>45713.727476851847</v>
      </c>
      <c r="D184" s="3">
        <v>45718</v>
      </c>
      <c r="E184" s="3">
        <v>45717.434155092589</v>
      </c>
      <c r="F184" s="6">
        <v>34.53</v>
      </c>
      <c r="G184">
        <f t="shared" si="2"/>
        <v>-1</v>
      </c>
      <c r="H184" s="20">
        <v>3.7066782410000001</v>
      </c>
      <c r="I184" s="20">
        <v>0.56584490700000001</v>
      </c>
    </row>
    <row r="185" spans="1:9" ht="14.25" customHeight="1" x14ac:dyDescent="0.3">
      <c r="A185" s="2" t="s">
        <v>2813</v>
      </c>
      <c r="B185" s="2" t="s">
        <v>2269</v>
      </c>
      <c r="C185" s="3">
        <v>45714.276053240741</v>
      </c>
      <c r="D185" s="3">
        <v>45717</v>
      </c>
      <c r="E185" s="3">
        <v>45718.625405092593</v>
      </c>
      <c r="F185" s="6">
        <v>113.19000000000001</v>
      </c>
      <c r="G185">
        <f t="shared" si="2"/>
        <v>1</v>
      </c>
      <c r="H185" s="20">
        <v>4.3493518519999999</v>
      </c>
      <c r="I185" s="20">
        <v>-1.6254050929999999</v>
      </c>
    </row>
    <row r="186" spans="1:9" ht="14.25" customHeight="1" x14ac:dyDescent="0.3">
      <c r="A186" s="2" t="s">
        <v>2814</v>
      </c>
      <c r="B186" s="2" t="s">
        <v>1630</v>
      </c>
      <c r="C186" s="3">
        <v>45716.711226851847</v>
      </c>
      <c r="D186" s="3">
        <v>45719</v>
      </c>
      <c r="E186" s="3">
        <v>45720.421689814822</v>
      </c>
      <c r="F186" s="6">
        <v>39.21</v>
      </c>
      <c r="G186">
        <f t="shared" si="2"/>
        <v>1</v>
      </c>
      <c r="H186" s="20">
        <v>3.7104629629999999</v>
      </c>
      <c r="I186" s="20">
        <v>-1.4216898149999999</v>
      </c>
    </row>
    <row r="187" spans="1:9" ht="14.25" customHeight="1" x14ac:dyDescent="0.3">
      <c r="A187" s="2" t="s">
        <v>2815</v>
      </c>
      <c r="B187" s="2" t="s">
        <v>2138</v>
      </c>
      <c r="C187" s="3">
        <v>45717.042557870373</v>
      </c>
      <c r="D187" s="3">
        <v>45721</v>
      </c>
      <c r="E187" s="3">
        <v>45724.509236111109</v>
      </c>
      <c r="F187" s="6">
        <v>64.19</v>
      </c>
      <c r="G187">
        <f t="shared" si="2"/>
        <v>3</v>
      </c>
      <c r="H187" s="20">
        <v>7.4666782410000003</v>
      </c>
      <c r="I187" s="20">
        <v>-3.5092361109999999</v>
      </c>
    </row>
    <row r="188" spans="1:9" ht="14.25" customHeight="1" x14ac:dyDescent="0.3">
      <c r="A188" s="2" t="s">
        <v>2816</v>
      </c>
      <c r="B188" s="2" t="s">
        <v>1488</v>
      </c>
      <c r="C188" s="3">
        <v>45717.640682870369</v>
      </c>
      <c r="D188" s="3">
        <v>45725</v>
      </c>
      <c r="E188" s="3">
        <v>45726.730486111112</v>
      </c>
      <c r="F188" s="6">
        <v>113.52000000000001</v>
      </c>
      <c r="G188">
        <f t="shared" si="2"/>
        <v>1</v>
      </c>
      <c r="H188" s="20">
        <v>9.0898032410000003</v>
      </c>
      <c r="I188" s="20">
        <v>-1.730486111</v>
      </c>
    </row>
    <row r="189" spans="1:9" ht="14.25" customHeight="1" x14ac:dyDescent="0.3">
      <c r="A189" s="2" t="s">
        <v>2817</v>
      </c>
      <c r="B189" s="2" t="s">
        <v>1519</v>
      </c>
      <c r="C189" s="3">
        <v>45717.696076388893</v>
      </c>
      <c r="D189" s="3">
        <v>45721</v>
      </c>
      <c r="E189" s="3">
        <v>45724.627847222233</v>
      </c>
      <c r="F189" s="6">
        <v>22.39</v>
      </c>
      <c r="G189">
        <f t="shared" si="2"/>
        <v>3</v>
      </c>
      <c r="H189" s="20">
        <v>6.9317708329999999</v>
      </c>
      <c r="I189" s="20">
        <v>-3.6278472220000002</v>
      </c>
    </row>
    <row r="190" spans="1:9" ht="14.25" customHeight="1" x14ac:dyDescent="0.3">
      <c r="A190" s="2" t="s">
        <v>2818</v>
      </c>
      <c r="B190" s="2" t="s">
        <v>1655</v>
      </c>
      <c r="C190" s="3">
        <v>45719.618958333333</v>
      </c>
      <c r="D190" s="3">
        <v>45726</v>
      </c>
      <c r="E190" s="3">
        <v>45727.694826388892</v>
      </c>
      <c r="F190" s="6">
        <v>14.5</v>
      </c>
      <c r="G190">
        <f t="shared" si="2"/>
        <v>1</v>
      </c>
      <c r="H190" s="20">
        <v>8.0758680559999991</v>
      </c>
      <c r="I190" s="20">
        <v>-1.6948263889999999</v>
      </c>
    </row>
    <row r="191" spans="1:9" ht="14.25" customHeight="1" x14ac:dyDescent="0.3">
      <c r="A191" s="2" t="s">
        <v>2819</v>
      </c>
      <c r="B191" s="2" t="s">
        <v>1671</v>
      </c>
      <c r="C191" s="3">
        <v>45720.196608796286</v>
      </c>
      <c r="D191" s="3">
        <v>45728</v>
      </c>
      <c r="E191" s="3">
        <v>45727.545011574082</v>
      </c>
      <c r="F191" s="6">
        <v>59.39</v>
      </c>
      <c r="G191">
        <f t="shared" si="2"/>
        <v>-1</v>
      </c>
      <c r="H191" s="20">
        <v>7.3484027779999996</v>
      </c>
      <c r="I191" s="20">
        <v>0.454988426</v>
      </c>
    </row>
    <row r="192" spans="1:9" ht="14.25" customHeight="1" x14ac:dyDescent="0.3">
      <c r="A192" s="2" t="s">
        <v>2820</v>
      </c>
      <c r="B192" s="2" t="s">
        <v>1905</v>
      </c>
      <c r="C192" s="3">
        <v>45725.848541666674</v>
      </c>
      <c r="D192" s="3">
        <v>45736</v>
      </c>
      <c r="E192" s="3">
        <v>45736.535416666673</v>
      </c>
      <c r="F192" s="6">
        <v>88.49</v>
      </c>
      <c r="G192">
        <f t="shared" si="2"/>
        <v>0</v>
      </c>
      <c r="H192" s="20">
        <v>10.686875000000001</v>
      </c>
      <c r="I192" s="20">
        <v>-0.53541666700000001</v>
      </c>
    </row>
    <row r="193" spans="1:9" ht="14.25" customHeight="1" x14ac:dyDescent="0.3">
      <c r="A193" s="2" t="s">
        <v>2821</v>
      </c>
      <c r="B193" s="2" t="s">
        <v>2304</v>
      </c>
      <c r="C193" s="3">
        <v>45733.667210648149</v>
      </c>
      <c r="D193" s="3">
        <v>45742</v>
      </c>
      <c r="E193" s="3">
        <v>45743.648564814823</v>
      </c>
      <c r="F193" s="6">
        <v>30.51</v>
      </c>
      <c r="G193">
        <f t="shared" si="2"/>
        <v>1</v>
      </c>
      <c r="H193" s="20">
        <v>9.9813541669999992</v>
      </c>
      <c r="I193" s="20">
        <v>-1.6485648150000001</v>
      </c>
    </row>
    <row r="194" spans="1:9" ht="14.25" customHeight="1" x14ac:dyDescent="0.3">
      <c r="A194" s="2" t="s">
        <v>2822</v>
      </c>
      <c r="B194" s="2" t="s">
        <v>2309</v>
      </c>
      <c r="C194" s="3">
        <v>45739.614166666674</v>
      </c>
      <c r="D194" s="3">
        <v>45745</v>
      </c>
      <c r="E194" s="3">
        <v>45747.637881944444</v>
      </c>
      <c r="F194" s="6">
        <v>14.89</v>
      </c>
      <c r="G194">
        <f t="shared" si="2"/>
        <v>2</v>
      </c>
      <c r="H194" s="20">
        <v>8.0237152779999992</v>
      </c>
      <c r="I194" s="20">
        <v>-2.6378819440000001</v>
      </c>
    </row>
    <row r="195" spans="1:9" ht="14.25" customHeight="1" x14ac:dyDescent="0.3">
      <c r="A195" s="2" t="s">
        <v>2823</v>
      </c>
      <c r="B195" s="2" t="s">
        <v>2074</v>
      </c>
      <c r="C195" s="3">
        <v>45740.469641203701</v>
      </c>
      <c r="D195" s="3">
        <v>45747</v>
      </c>
      <c r="E195" s="3">
        <v>45747.452719907407</v>
      </c>
      <c r="F195" s="6">
        <v>37.68</v>
      </c>
      <c r="G195">
        <f t="shared" ref="G195:G258" si="3">INT(E195)-INT(D195)</f>
        <v>0</v>
      </c>
      <c r="H195" s="20">
        <v>6.9830787040000004</v>
      </c>
      <c r="I195" s="20">
        <v>-0.45271990699999998</v>
      </c>
    </row>
    <row r="196" spans="1:9" ht="14.25" customHeight="1" x14ac:dyDescent="0.3">
      <c r="A196" s="2" t="s">
        <v>2824</v>
      </c>
      <c r="B196" s="2" t="s">
        <v>1804</v>
      </c>
      <c r="C196" s="3">
        <v>45742.788541666669</v>
      </c>
      <c r="D196" s="3">
        <v>45748</v>
      </c>
      <c r="E196" s="3">
        <v>45748.49324074074</v>
      </c>
      <c r="F196" s="6">
        <v>14.86</v>
      </c>
      <c r="G196">
        <f t="shared" si="3"/>
        <v>0</v>
      </c>
      <c r="H196" s="20">
        <v>5.7046990739999996</v>
      </c>
      <c r="I196" s="20">
        <v>-0.49324074099999998</v>
      </c>
    </row>
    <row r="197" spans="1:9" ht="14.25" customHeight="1" x14ac:dyDescent="0.3">
      <c r="A197" s="2" t="s">
        <v>2825</v>
      </c>
      <c r="B197" s="2" t="s">
        <v>1470</v>
      </c>
      <c r="C197" s="3">
        <v>45743.077268518522</v>
      </c>
      <c r="D197" s="3">
        <v>45749</v>
      </c>
      <c r="E197" s="3">
        <v>45749.383796296293</v>
      </c>
      <c r="F197" s="6">
        <v>40.53</v>
      </c>
      <c r="G197">
        <f t="shared" si="3"/>
        <v>0</v>
      </c>
      <c r="H197" s="20">
        <v>6.3065277780000004</v>
      </c>
      <c r="I197" s="20">
        <v>-0.38379629599999998</v>
      </c>
    </row>
    <row r="198" spans="1:9" ht="14.25" customHeight="1" x14ac:dyDescent="0.3">
      <c r="A198" s="2" t="s">
        <v>2826</v>
      </c>
      <c r="B198" s="2" t="s">
        <v>1647</v>
      </c>
      <c r="C198" s="3">
        <v>45744.235694444447</v>
      </c>
      <c r="D198" s="3">
        <v>45752</v>
      </c>
      <c r="E198" s="3">
        <v>45751.378993055558</v>
      </c>
      <c r="F198" s="6">
        <v>15.25</v>
      </c>
      <c r="G198">
        <f t="shared" si="3"/>
        <v>-1</v>
      </c>
      <c r="H198" s="20">
        <v>7.1432986109999996</v>
      </c>
      <c r="I198" s="20">
        <v>0.62100694400000001</v>
      </c>
    </row>
    <row r="199" spans="1:9" ht="14.25" customHeight="1" x14ac:dyDescent="0.3">
      <c r="A199" s="2" t="s">
        <v>2827</v>
      </c>
      <c r="B199" s="2" t="s">
        <v>2160</v>
      </c>
      <c r="C199" s="3">
        <v>45745.345462962963</v>
      </c>
      <c r="D199" s="3">
        <v>45752</v>
      </c>
      <c r="E199" s="3">
        <v>45751.344722222217</v>
      </c>
      <c r="F199" s="6">
        <v>39.169999999999995</v>
      </c>
      <c r="G199">
        <f t="shared" si="3"/>
        <v>-1</v>
      </c>
      <c r="H199" s="20">
        <v>5.9992592589999996</v>
      </c>
      <c r="I199" s="20">
        <v>0.65527777799999998</v>
      </c>
    </row>
    <row r="200" spans="1:9" ht="14.25" customHeight="1" x14ac:dyDescent="0.3">
      <c r="A200" s="2" t="s">
        <v>2828</v>
      </c>
      <c r="B200" s="2" t="s">
        <v>2070</v>
      </c>
      <c r="C200" s="3">
        <v>45745.56958333333</v>
      </c>
      <c r="D200" s="3">
        <v>45750</v>
      </c>
      <c r="E200" s="3">
        <v>45751.485023148147</v>
      </c>
      <c r="F200" s="6">
        <v>66.739999999999995</v>
      </c>
      <c r="G200">
        <f t="shared" si="3"/>
        <v>1</v>
      </c>
      <c r="H200" s="20">
        <v>5.915439815</v>
      </c>
      <c r="I200" s="20">
        <v>-1.485023148</v>
      </c>
    </row>
    <row r="201" spans="1:9" ht="14.25" customHeight="1" x14ac:dyDescent="0.3">
      <c r="A201" s="2" t="s">
        <v>2829</v>
      </c>
      <c r="B201" s="2" t="s">
        <v>2334</v>
      </c>
      <c r="C201" s="3">
        <v>45745.613263888888</v>
      </c>
      <c r="D201" s="3">
        <v>45754</v>
      </c>
      <c r="E201" s="3">
        <v>45756.398761574077</v>
      </c>
      <c r="F201" s="6">
        <v>36.04</v>
      </c>
      <c r="G201">
        <f t="shared" si="3"/>
        <v>2</v>
      </c>
      <c r="H201" s="20">
        <v>10.78549769</v>
      </c>
      <c r="I201" s="20">
        <v>-2.3987615739999999</v>
      </c>
    </row>
    <row r="202" spans="1:9" ht="14.25" customHeight="1" x14ac:dyDescent="0.3">
      <c r="A202" s="2" t="s">
        <v>2830</v>
      </c>
      <c r="B202" s="2" t="s">
        <v>2332</v>
      </c>
      <c r="C202" s="3">
        <v>45745.65152777778</v>
      </c>
      <c r="D202" s="3">
        <v>45754</v>
      </c>
      <c r="E202" s="3">
        <v>45754.685810185183</v>
      </c>
      <c r="F202" s="6">
        <v>32.96</v>
      </c>
      <c r="G202">
        <f t="shared" si="3"/>
        <v>0</v>
      </c>
      <c r="H202" s="20">
        <v>9.0342824069999992</v>
      </c>
      <c r="I202" s="20">
        <v>-0.68581018500000002</v>
      </c>
    </row>
    <row r="203" spans="1:9" ht="14.25" customHeight="1" x14ac:dyDescent="0.3">
      <c r="A203" s="2" t="s">
        <v>2831</v>
      </c>
      <c r="B203" s="2" t="s">
        <v>2099</v>
      </c>
      <c r="C203" s="3">
        <v>45746.003981481481</v>
      </c>
      <c r="D203" s="3">
        <v>45751</v>
      </c>
      <c r="E203" s="3">
        <v>45752.406782407408</v>
      </c>
      <c r="F203" s="6">
        <v>38.46</v>
      </c>
      <c r="G203">
        <f t="shared" si="3"/>
        <v>1</v>
      </c>
      <c r="H203" s="20">
        <v>6.4028009260000003</v>
      </c>
      <c r="I203" s="20">
        <v>-1.4067824069999999</v>
      </c>
    </row>
    <row r="204" spans="1:9" ht="14.25" customHeight="1" x14ac:dyDescent="0.3">
      <c r="A204" s="2" t="s">
        <v>2832</v>
      </c>
      <c r="B204" s="2" t="s">
        <v>1584</v>
      </c>
      <c r="C204" s="3">
        <v>45746.138333333343</v>
      </c>
      <c r="D204" s="3">
        <v>45755</v>
      </c>
      <c r="E204" s="3">
        <v>45755.574074074073</v>
      </c>
      <c r="F204" s="6">
        <v>160.13000000000002</v>
      </c>
      <c r="G204">
        <f t="shared" si="3"/>
        <v>0</v>
      </c>
      <c r="H204" s="20">
        <v>9.435740741</v>
      </c>
      <c r="I204" s="20">
        <v>-0.57407407399999999</v>
      </c>
    </row>
    <row r="205" spans="1:9" ht="14.25" customHeight="1" x14ac:dyDescent="0.3">
      <c r="A205" s="2" t="s">
        <v>2833</v>
      </c>
      <c r="B205" s="2" t="s">
        <v>2338</v>
      </c>
      <c r="C205" s="3">
        <v>45746.444456018522</v>
      </c>
      <c r="D205" s="3">
        <v>45752</v>
      </c>
      <c r="E205" s="3">
        <v>45752.687743055547</v>
      </c>
      <c r="F205" s="6">
        <v>62.92</v>
      </c>
      <c r="G205">
        <f t="shared" si="3"/>
        <v>0</v>
      </c>
      <c r="H205" s="20">
        <v>6.243287037</v>
      </c>
      <c r="I205" s="20">
        <v>-0.68774305599999996</v>
      </c>
    </row>
    <row r="206" spans="1:9" ht="14.25" customHeight="1" x14ac:dyDescent="0.3">
      <c r="A206" s="2" t="s">
        <v>2834</v>
      </c>
      <c r="B206" s="2" t="s">
        <v>2094</v>
      </c>
      <c r="C206" s="3">
        <v>45746.605509259258</v>
      </c>
      <c r="D206" s="3">
        <v>45753</v>
      </c>
      <c r="E206" s="3">
        <v>45753.735717592594</v>
      </c>
      <c r="F206" s="6">
        <v>72.850000000000009</v>
      </c>
      <c r="G206">
        <f t="shared" si="3"/>
        <v>0</v>
      </c>
      <c r="H206" s="20">
        <v>7.1302083329999997</v>
      </c>
      <c r="I206" s="20">
        <v>-0.73571759299999995</v>
      </c>
    </row>
    <row r="207" spans="1:9" ht="14.25" customHeight="1" x14ac:dyDescent="0.3">
      <c r="A207" s="2" t="s">
        <v>2835</v>
      </c>
      <c r="B207" s="2" t="s">
        <v>2342</v>
      </c>
      <c r="C207" s="3">
        <v>45746.780127314807</v>
      </c>
      <c r="D207" s="3">
        <v>45752</v>
      </c>
      <c r="E207" s="3">
        <v>45753.533576388887</v>
      </c>
      <c r="F207" s="6">
        <v>107.44999999999999</v>
      </c>
      <c r="G207">
        <f t="shared" si="3"/>
        <v>1</v>
      </c>
      <c r="H207" s="20">
        <v>6.7534490739999997</v>
      </c>
      <c r="I207" s="20">
        <v>-1.533576389</v>
      </c>
    </row>
    <row r="208" spans="1:9" ht="14.25" customHeight="1" x14ac:dyDescent="0.3">
      <c r="A208" s="2" t="s">
        <v>2836</v>
      </c>
      <c r="B208" s="2" t="s">
        <v>1551</v>
      </c>
      <c r="C208" s="3">
        <v>45746.911724537043</v>
      </c>
      <c r="D208" s="3">
        <v>45756</v>
      </c>
      <c r="E208" s="3">
        <v>45756.539421296293</v>
      </c>
      <c r="F208" s="6">
        <v>107.94</v>
      </c>
      <c r="G208">
        <f t="shared" si="3"/>
        <v>0</v>
      </c>
      <c r="H208" s="20">
        <v>9.6276967590000009</v>
      </c>
      <c r="I208" s="20">
        <v>-0.53942129599999999</v>
      </c>
    </row>
    <row r="209" spans="1:9" ht="14.25" customHeight="1" x14ac:dyDescent="0.3">
      <c r="A209" s="2" t="s">
        <v>2837</v>
      </c>
      <c r="B209" s="2" t="s">
        <v>1969</v>
      </c>
      <c r="C209" s="3">
        <v>45747.069467592592</v>
      </c>
      <c r="D209" s="3">
        <v>45749</v>
      </c>
      <c r="E209" s="3">
        <v>45749.693368055552</v>
      </c>
      <c r="F209" s="6">
        <v>58.11</v>
      </c>
      <c r="G209">
        <f t="shared" si="3"/>
        <v>0</v>
      </c>
      <c r="H209" s="20">
        <v>2.623900463</v>
      </c>
      <c r="I209" s="20">
        <v>-0.69336805599999995</v>
      </c>
    </row>
    <row r="210" spans="1:9" ht="14.25" customHeight="1" x14ac:dyDescent="0.3">
      <c r="A210" s="2" t="s">
        <v>2838</v>
      </c>
      <c r="B210" s="2" t="s">
        <v>2354</v>
      </c>
      <c r="C210" s="3">
        <v>45749.111701388887</v>
      </c>
      <c r="D210" s="3">
        <v>45755</v>
      </c>
      <c r="E210" s="3">
        <v>45755.396261574067</v>
      </c>
      <c r="F210" s="6">
        <v>55.94</v>
      </c>
      <c r="G210">
        <f t="shared" si="3"/>
        <v>0</v>
      </c>
      <c r="H210" s="20">
        <v>6.2845601850000001</v>
      </c>
      <c r="I210" s="20">
        <v>-0.39626157400000001</v>
      </c>
    </row>
    <row r="211" spans="1:9" ht="14.25" customHeight="1" x14ac:dyDescent="0.3">
      <c r="A211" s="2" t="s">
        <v>2839</v>
      </c>
      <c r="B211" s="2" t="s">
        <v>1847</v>
      </c>
      <c r="C211" s="3">
        <v>45751.274131944447</v>
      </c>
      <c r="D211" s="3">
        <v>45758</v>
      </c>
      <c r="E211" s="3">
        <v>45758.345011574071</v>
      </c>
      <c r="F211" s="6">
        <v>38.44</v>
      </c>
      <c r="G211">
        <f t="shared" si="3"/>
        <v>0</v>
      </c>
      <c r="H211" s="20">
        <v>7.0708796300000003</v>
      </c>
      <c r="I211" s="20">
        <v>-0.34501157399999999</v>
      </c>
    </row>
    <row r="212" spans="1:9" ht="14.25" customHeight="1" x14ac:dyDescent="0.3">
      <c r="A212" s="2" t="s">
        <v>2840</v>
      </c>
      <c r="B212" s="2" t="s">
        <v>1606</v>
      </c>
      <c r="C212" s="3">
        <v>45754.992430555547</v>
      </c>
      <c r="D212" s="3">
        <v>45762</v>
      </c>
      <c r="E212" s="3">
        <v>45763.705925925933</v>
      </c>
      <c r="F212" s="6">
        <v>66.990000000000009</v>
      </c>
      <c r="G212">
        <f t="shared" si="3"/>
        <v>1</v>
      </c>
      <c r="H212" s="20">
        <v>8.7134953700000004</v>
      </c>
      <c r="I212" s="20">
        <v>-1.7059259259999999</v>
      </c>
    </row>
    <row r="213" spans="1:9" ht="14.25" customHeight="1" x14ac:dyDescent="0.3">
      <c r="A213" s="2" t="s">
        <v>2841</v>
      </c>
      <c r="B213" s="2" t="s">
        <v>1892</v>
      </c>
      <c r="C213" s="3">
        <v>45756.253495370373</v>
      </c>
      <c r="D213" s="3">
        <v>45763</v>
      </c>
      <c r="E213" s="3">
        <v>45762.545624999999</v>
      </c>
      <c r="F213" s="6">
        <v>115.66</v>
      </c>
      <c r="G213">
        <f t="shared" si="3"/>
        <v>-1</v>
      </c>
      <c r="H213" s="20">
        <v>6.2921296299999998</v>
      </c>
      <c r="I213" s="20">
        <v>0.45437499999999997</v>
      </c>
    </row>
    <row r="214" spans="1:9" ht="14.25" customHeight="1" x14ac:dyDescent="0.3">
      <c r="A214" s="2" t="s">
        <v>2842</v>
      </c>
      <c r="B214" s="2" t="s">
        <v>2213</v>
      </c>
      <c r="C214" s="3">
        <v>45758.774652777778</v>
      </c>
      <c r="D214" s="3">
        <v>45763</v>
      </c>
      <c r="E214" s="3">
        <v>45765.725486111107</v>
      </c>
      <c r="F214" s="6">
        <v>223.42000000000002</v>
      </c>
      <c r="G214">
        <f t="shared" si="3"/>
        <v>2</v>
      </c>
      <c r="H214" s="20">
        <v>6.9508333330000003</v>
      </c>
      <c r="I214" s="20">
        <v>-2.7254861109999999</v>
      </c>
    </row>
    <row r="215" spans="1:9" ht="14.25" customHeight="1" x14ac:dyDescent="0.3">
      <c r="A215" s="2" t="s">
        <v>2843</v>
      </c>
      <c r="B215" s="2" t="s">
        <v>2361</v>
      </c>
      <c r="C215" s="3">
        <v>45759.791759259257</v>
      </c>
      <c r="D215" s="3">
        <v>45765</v>
      </c>
      <c r="E215" s="3">
        <v>45765.640879629631</v>
      </c>
      <c r="F215" s="6">
        <v>89.410000000000011</v>
      </c>
      <c r="G215">
        <f t="shared" si="3"/>
        <v>0</v>
      </c>
      <c r="H215" s="20">
        <v>5.8491203699999996</v>
      </c>
      <c r="I215" s="20">
        <v>-0.64087963000000003</v>
      </c>
    </row>
    <row r="216" spans="1:9" ht="14.25" customHeight="1" x14ac:dyDescent="0.3">
      <c r="A216" s="2" t="s">
        <v>2844</v>
      </c>
      <c r="B216" s="2" t="s">
        <v>1969</v>
      </c>
      <c r="C216" s="3">
        <v>45760.98474537037</v>
      </c>
      <c r="D216" s="3">
        <v>45775</v>
      </c>
      <c r="E216" s="3">
        <v>45774.468333333331</v>
      </c>
      <c r="F216" s="6">
        <v>51.88</v>
      </c>
      <c r="G216">
        <f t="shared" si="3"/>
        <v>-1</v>
      </c>
      <c r="H216" s="20">
        <v>13.483587959999999</v>
      </c>
      <c r="I216" s="20">
        <v>0.53166666699999998</v>
      </c>
    </row>
    <row r="217" spans="1:9" ht="14.25" customHeight="1" x14ac:dyDescent="0.3">
      <c r="A217" s="2" t="s">
        <v>2845</v>
      </c>
      <c r="B217" s="2" t="s">
        <v>1611</v>
      </c>
      <c r="C217" s="3">
        <v>45764.362696759257</v>
      </c>
      <c r="D217" s="3">
        <v>45772</v>
      </c>
      <c r="E217" s="3">
        <v>45772.591099537043</v>
      </c>
      <c r="F217" s="6">
        <v>169.18</v>
      </c>
      <c r="G217">
        <f t="shared" si="3"/>
        <v>0</v>
      </c>
      <c r="H217" s="20">
        <v>8.2284027779999995</v>
      </c>
      <c r="I217" s="20">
        <v>-0.59109953699999995</v>
      </c>
    </row>
    <row r="218" spans="1:9" ht="14.25" customHeight="1" x14ac:dyDescent="0.3">
      <c r="A218" s="2" t="s">
        <v>2846</v>
      </c>
      <c r="B218" s="2" t="s">
        <v>2364</v>
      </c>
      <c r="C218" s="3">
        <v>45766.972824074073</v>
      </c>
      <c r="D218" s="3">
        <v>45776</v>
      </c>
      <c r="E218" s="3">
        <v>45776.659363425933</v>
      </c>
      <c r="F218" s="6">
        <v>160.72</v>
      </c>
      <c r="G218">
        <f t="shared" si="3"/>
        <v>0</v>
      </c>
      <c r="H218" s="20">
        <v>9.6865393520000005</v>
      </c>
      <c r="I218" s="20">
        <v>-0.65936342599999997</v>
      </c>
    </row>
    <row r="219" spans="1:9" ht="14.25" customHeight="1" x14ac:dyDescent="0.3">
      <c r="A219" s="2" t="s">
        <v>2847</v>
      </c>
      <c r="B219" s="2" t="s">
        <v>1674</v>
      </c>
      <c r="C219" s="3">
        <v>45767.329687500001</v>
      </c>
      <c r="D219" s="3">
        <v>45772</v>
      </c>
      <c r="E219" s="3">
        <v>45771.441423611112</v>
      </c>
      <c r="F219" s="6">
        <v>28.65</v>
      </c>
      <c r="G219">
        <f t="shared" si="3"/>
        <v>-1</v>
      </c>
      <c r="H219" s="20">
        <v>4.1117361109999999</v>
      </c>
      <c r="I219" s="20">
        <v>0.55857638899999995</v>
      </c>
    </row>
    <row r="220" spans="1:9" ht="14.25" customHeight="1" x14ac:dyDescent="0.3">
      <c r="A220" s="2" t="s">
        <v>2848</v>
      </c>
      <c r="B220" s="2" t="s">
        <v>1684</v>
      </c>
      <c r="C220" s="3">
        <v>45767.465451388889</v>
      </c>
      <c r="D220" s="3">
        <v>45777</v>
      </c>
      <c r="E220" s="3">
        <v>45777.645844907413</v>
      </c>
      <c r="F220" s="6">
        <v>16.220000000000002</v>
      </c>
      <c r="G220">
        <f t="shared" si="3"/>
        <v>0</v>
      </c>
      <c r="H220" s="20">
        <v>10.180393520000001</v>
      </c>
      <c r="I220" s="20">
        <v>-0.64584490699999997</v>
      </c>
    </row>
    <row r="221" spans="1:9" ht="14.25" customHeight="1" x14ac:dyDescent="0.3">
      <c r="A221" s="2" t="s">
        <v>2849</v>
      </c>
      <c r="B221" s="2" t="s">
        <v>1880</v>
      </c>
      <c r="C221" s="3">
        <v>45769.731817129628</v>
      </c>
      <c r="D221" s="3">
        <v>45775</v>
      </c>
      <c r="E221" s="3">
        <v>45774.518206018518</v>
      </c>
      <c r="F221" s="6">
        <v>148.14000000000001</v>
      </c>
      <c r="G221">
        <f t="shared" si="3"/>
        <v>-1</v>
      </c>
      <c r="H221" s="20">
        <v>4.7863888890000004</v>
      </c>
      <c r="I221" s="20">
        <v>0.48179398099999998</v>
      </c>
    </row>
    <row r="222" spans="1:9" ht="14.25" customHeight="1" x14ac:dyDescent="0.3">
      <c r="A222" s="2" t="s">
        <v>2850</v>
      </c>
      <c r="B222" s="2" t="s">
        <v>1737</v>
      </c>
      <c r="C222" s="3">
        <v>45770.162743055553</v>
      </c>
      <c r="D222" s="3">
        <v>45779</v>
      </c>
      <c r="E222" s="3">
        <v>45778.60224537037</v>
      </c>
      <c r="F222" s="6">
        <v>36.799999999999997</v>
      </c>
      <c r="G222">
        <f t="shared" si="3"/>
        <v>-1</v>
      </c>
      <c r="H222" s="20">
        <v>8.4395023150000004</v>
      </c>
      <c r="I222" s="20">
        <v>0.39775463</v>
      </c>
    </row>
    <row r="223" spans="1:9" ht="14.25" customHeight="1" x14ac:dyDescent="0.3">
      <c r="A223" s="2" t="s">
        <v>2851</v>
      </c>
      <c r="B223" s="2" t="s">
        <v>1845</v>
      </c>
      <c r="C223" s="3">
        <v>45775.006782407407</v>
      </c>
      <c r="D223" s="3">
        <v>45778</v>
      </c>
      <c r="E223" s="3">
        <v>45779.624560185177</v>
      </c>
      <c r="F223" s="6">
        <v>131.95000000000002</v>
      </c>
      <c r="G223">
        <f t="shared" si="3"/>
        <v>1</v>
      </c>
      <c r="H223" s="20">
        <v>4.6177777779999998</v>
      </c>
      <c r="I223" s="20">
        <v>-1.624560185</v>
      </c>
    </row>
    <row r="224" spans="1:9" ht="14.25" customHeight="1" x14ac:dyDescent="0.3">
      <c r="A224" s="2" t="s">
        <v>2852</v>
      </c>
      <c r="B224" s="2" t="s">
        <v>1704</v>
      </c>
      <c r="C224" s="3">
        <v>45776.30431712963</v>
      </c>
      <c r="D224" s="3">
        <v>45784</v>
      </c>
      <c r="E224" s="3">
        <v>45791.436006944437</v>
      </c>
      <c r="F224" s="6">
        <v>27.75</v>
      </c>
      <c r="G224">
        <f t="shared" si="3"/>
        <v>7</v>
      </c>
      <c r="H224" s="20">
        <v>15.131689809999999</v>
      </c>
      <c r="I224" s="20">
        <v>-7.4360069439999998</v>
      </c>
    </row>
    <row r="225" spans="1:9" ht="14.25" customHeight="1" x14ac:dyDescent="0.3">
      <c r="A225" s="2" t="s">
        <v>2853</v>
      </c>
      <c r="B225" s="2" t="s">
        <v>1622</v>
      </c>
      <c r="C225" s="3">
        <v>45776.836388888893</v>
      </c>
      <c r="D225" s="3">
        <v>45781</v>
      </c>
      <c r="E225" s="3">
        <v>45782.580451388887</v>
      </c>
      <c r="F225" s="6">
        <v>14.57</v>
      </c>
      <c r="G225">
        <f t="shared" si="3"/>
        <v>1</v>
      </c>
      <c r="H225" s="20">
        <v>5.7440625000000001</v>
      </c>
      <c r="I225" s="20">
        <v>-1.580451389</v>
      </c>
    </row>
    <row r="226" spans="1:9" ht="14.25" customHeight="1" x14ac:dyDescent="0.3">
      <c r="A226" s="2" t="s">
        <v>2854</v>
      </c>
      <c r="B226" s="2" t="s">
        <v>2269</v>
      </c>
      <c r="C226" s="3">
        <v>45779.824201388888</v>
      </c>
      <c r="D226" s="3">
        <v>45783</v>
      </c>
      <c r="E226" s="3">
        <v>45784.347916666673</v>
      </c>
      <c r="F226" s="6">
        <v>132.02000000000001</v>
      </c>
      <c r="G226">
        <f t="shared" si="3"/>
        <v>1</v>
      </c>
      <c r="H226" s="20">
        <v>4.5237152780000001</v>
      </c>
      <c r="I226" s="20">
        <v>-1.347916667</v>
      </c>
    </row>
    <row r="227" spans="1:9" ht="14.25" customHeight="1" x14ac:dyDescent="0.3">
      <c r="A227" s="2" t="s">
        <v>2855</v>
      </c>
      <c r="B227" s="2" t="s">
        <v>2149</v>
      </c>
      <c r="C227" s="3">
        <v>45781.071875000001</v>
      </c>
      <c r="D227" s="3">
        <v>45787</v>
      </c>
      <c r="E227" s="3">
        <v>45789.362557870372</v>
      </c>
      <c r="F227" s="6">
        <v>30.560000000000002</v>
      </c>
      <c r="G227">
        <f t="shared" si="3"/>
        <v>2</v>
      </c>
      <c r="H227" s="20">
        <v>8.2906828699999995</v>
      </c>
      <c r="I227" s="20">
        <v>-2.3625578699999998</v>
      </c>
    </row>
    <row r="228" spans="1:9" ht="14.25" customHeight="1" x14ac:dyDescent="0.3">
      <c r="A228" s="2" t="s">
        <v>2856</v>
      </c>
      <c r="B228" s="2" t="s">
        <v>2376</v>
      </c>
      <c r="C228" s="3">
        <v>45783.518391203703</v>
      </c>
      <c r="D228" s="3">
        <v>45787</v>
      </c>
      <c r="E228" s="3">
        <v>45787.633425925917</v>
      </c>
      <c r="F228" s="6">
        <v>64.47</v>
      </c>
      <c r="G228">
        <f t="shared" si="3"/>
        <v>0</v>
      </c>
      <c r="H228" s="20">
        <v>4.1150347219999999</v>
      </c>
      <c r="I228" s="20">
        <v>-0.63342592600000003</v>
      </c>
    </row>
    <row r="229" spans="1:9" ht="14.25" customHeight="1" x14ac:dyDescent="0.3">
      <c r="A229" s="2" t="s">
        <v>2857</v>
      </c>
      <c r="B229" s="2" t="s">
        <v>1455</v>
      </c>
      <c r="C229" s="3">
        <v>45785.63789351852</v>
      </c>
      <c r="D229" s="3">
        <v>45791</v>
      </c>
      <c r="E229" s="3">
        <v>45792.648900462962</v>
      </c>
      <c r="F229" s="6">
        <v>147.97</v>
      </c>
      <c r="G229">
        <f t="shared" si="3"/>
        <v>1</v>
      </c>
      <c r="H229" s="20">
        <v>7.011006944</v>
      </c>
      <c r="I229" s="20">
        <v>-1.6489004629999999</v>
      </c>
    </row>
    <row r="230" spans="1:9" ht="14.25" customHeight="1" x14ac:dyDescent="0.3">
      <c r="A230" s="2" t="s">
        <v>2858</v>
      </c>
      <c r="B230" s="2" t="s">
        <v>2379</v>
      </c>
      <c r="C230" s="3">
        <v>45787.416770833333</v>
      </c>
      <c r="D230" s="3">
        <v>45796</v>
      </c>
      <c r="E230" s="3">
        <v>45796.666909722233</v>
      </c>
      <c r="F230" s="6">
        <v>92.51</v>
      </c>
      <c r="G230">
        <f t="shared" si="3"/>
        <v>0</v>
      </c>
      <c r="H230" s="20">
        <v>9.2501388890000005</v>
      </c>
      <c r="I230" s="20">
        <v>-0.66690972199999998</v>
      </c>
    </row>
    <row r="231" spans="1:9" ht="14.25" customHeight="1" x14ac:dyDescent="0.3">
      <c r="A231" s="2" t="s">
        <v>2859</v>
      </c>
      <c r="B231" s="2" t="s">
        <v>1743</v>
      </c>
      <c r="C231" s="3">
        <v>45787.528252314813</v>
      </c>
      <c r="D231" s="3">
        <v>45797</v>
      </c>
      <c r="E231" s="3">
        <v>45797.385381944441</v>
      </c>
      <c r="F231" s="6">
        <v>85.89</v>
      </c>
      <c r="G231">
        <f t="shared" si="3"/>
        <v>0</v>
      </c>
      <c r="H231" s="20">
        <v>9.8571296299999993</v>
      </c>
      <c r="I231" s="20">
        <v>-0.38538194399999998</v>
      </c>
    </row>
    <row r="232" spans="1:9" ht="14.25" customHeight="1" x14ac:dyDescent="0.3">
      <c r="A232" s="2" t="s">
        <v>2860</v>
      </c>
      <c r="B232" s="2" t="s">
        <v>2125</v>
      </c>
      <c r="C232" s="3">
        <v>45792.861354166656</v>
      </c>
      <c r="D232" s="3">
        <v>45799</v>
      </c>
      <c r="E232" s="3">
        <v>45798.653344907398</v>
      </c>
      <c r="F232" s="6">
        <v>47.31</v>
      </c>
      <c r="G232">
        <f t="shared" si="3"/>
        <v>-1</v>
      </c>
      <c r="H232" s="20">
        <v>5.7919907410000002</v>
      </c>
      <c r="I232" s="20">
        <v>0.34665509300000003</v>
      </c>
    </row>
    <row r="233" spans="1:9" ht="14.25" customHeight="1" x14ac:dyDescent="0.3">
      <c r="A233" s="2" t="s">
        <v>2861</v>
      </c>
      <c r="B233" s="2" t="s">
        <v>1571</v>
      </c>
      <c r="C233" s="3">
        <v>45794.038298611107</v>
      </c>
      <c r="D233" s="3">
        <v>45799</v>
      </c>
      <c r="E233" s="3">
        <v>45798.405949074076</v>
      </c>
      <c r="F233" s="6">
        <v>112.89000000000001</v>
      </c>
      <c r="G233">
        <f t="shared" si="3"/>
        <v>-1</v>
      </c>
      <c r="H233" s="20">
        <v>4.3676504630000004</v>
      </c>
      <c r="I233" s="20">
        <v>0.59405092599999998</v>
      </c>
    </row>
    <row r="234" spans="1:9" ht="14.25" customHeight="1" x14ac:dyDescent="0.3">
      <c r="A234" s="2" t="s">
        <v>2862</v>
      </c>
      <c r="B234" s="2" t="s">
        <v>2138</v>
      </c>
      <c r="C234" s="3">
        <v>45794.448576388888</v>
      </c>
      <c r="D234" s="3">
        <v>45799</v>
      </c>
      <c r="E234" s="3">
        <v>45799.515636574077</v>
      </c>
      <c r="F234" s="6">
        <v>6.0699999999999994</v>
      </c>
      <c r="G234">
        <f t="shared" si="3"/>
        <v>0</v>
      </c>
      <c r="H234" s="20">
        <v>5.0670601849999999</v>
      </c>
      <c r="I234" s="20">
        <v>-0.51563657399999996</v>
      </c>
    </row>
    <row r="235" spans="1:9" ht="14.25" customHeight="1" x14ac:dyDescent="0.3">
      <c r="A235" s="2" t="s">
        <v>2863</v>
      </c>
      <c r="B235" s="2" t="s">
        <v>2172</v>
      </c>
      <c r="C235" s="3">
        <v>45798.468969907408</v>
      </c>
      <c r="D235" s="3">
        <v>45805</v>
      </c>
      <c r="E235" s="3">
        <v>45804.619131944448</v>
      </c>
      <c r="F235" s="6">
        <v>98.04</v>
      </c>
      <c r="G235">
        <f t="shared" si="3"/>
        <v>-1</v>
      </c>
      <c r="H235" s="20">
        <v>6.1501620370000003</v>
      </c>
      <c r="I235" s="20">
        <v>0.38086805600000001</v>
      </c>
    </row>
    <row r="236" spans="1:9" ht="14.25" customHeight="1" x14ac:dyDescent="0.3">
      <c r="A236" s="2" t="s">
        <v>2864</v>
      </c>
      <c r="B236" s="2" t="s">
        <v>1470</v>
      </c>
      <c r="C236" s="3">
        <v>45799.677418981482</v>
      </c>
      <c r="D236" s="3">
        <v>45810</v>
      </c>
      <c r="E236" s="3">
        <v>45811.369328703702</v>
      </c>
      <c r="F236" s="6">
        <v>51.919999999999995</v>
      </c>
      <c r="G236">
        <f t="shared" si="3"/>
        <v>1</v>
      </c>
      <c r="H236" s="20">
        <v>11.69190972</v>
      </c>
      <c r="I236" s="20">
        <v>-1.369328704</v>
      </c>
    </row>
    <row r="237" spans="1:9" ht="14.25" customHeight="1" x14ac:dyDescent="0.3">
      <c r="A237" s="2" t="s">
        <v>2865</v>
      </c>
      <c r="B237" s="2" t="s">
        <v>2389</v>
      </c>
      <c r="C237" s="3">
        <v>45800.25854166667</v>
      </c>
      <c r="D237" s="3">
        <v>45806</v>
      </c>
      <c r="E237" s="3">
        <v>45805.429027777784</v>
      </c>
      <c r="F237" s="6">
        <v>96.2</v>
      </c>
      <c r="G237">
        <f t="shared" si="3"/>
        <v>-1</v>
      </c>
      <c r="H237" s="20">
        <v>5.1704861109999998</v>
      </c>
      <c r="I237" s="20">
        <v>0.57097222199999997</v>
      </c>
    </row>
    <row r="238" spans="1:9" ht="14.25" customHeight="1" x14ac:dyDescent="0.3">
      <c r="A238" s="2" t="s">
        <v>2866</v>
      </c>
      <c r="B238" s="2" t="s">
        <v>1691</v>
      </c>
      <c r="C238" s="3">
        <v>45800.582106481481</v>
      </c>
      <c r="D238" s="3">
        <v>45808</v>
      </c>
      <c r="E238" s="3">
        <v>45808.334965277783</v>
      </c>
      <c r="F238" s="6">
        <v>80.210000000000008</v>
      </c>
      <c r="G238">
        <f t="shared" si="3"/>
        <v>0</v>
      </c>
      <c r="H238" s="20">
        <v>7.7528587959999999</v>
      </c>
      <c r="I238" s="20">
        <v>-0.33496527799999998</v>
      </c>
    </row>
    <row r="239" spans="1:9" ht="14.25" customHeight="1" x14ac:dyDescent="0.3">
      <c r="A239" s="2" t="s">
        <v>2867</v>
      </c>
      <c r="B239" s="2" t="s">
        <v>1743</v>
      </c>
      <c r="C239" s="3">
        <v>45803.791620370372</v>
      </c>
      <c r="D239" s="3">
        <v>45812</v>
      </c>
      <c r="E239" s="3">
        <v>45814.376770833333</v>
      </c>
      <c r="F239" s="6">
        <v>204.60000000000002</v>
      </c>
      <c r="G239">
        <f t="shared" si="3"/>
        <v>2</v>
      </c>
      <c r="H239" s="20">
        <v>10.585150459999999</v>
      </c>
      <c r="I239" s="20">
        <v>-2.3767708330000001</v>
      </c>
    </row>
    <row r="240" spans="1:9" ht="14.25" customHeight="1" x14ac:dyDescent="0.3">
      <c r="A240" s="2" t="s">
        <v>2868</v>
      </c>
      <c r="B240" s="2" t="s">
        <v>2172</v>
      </c>
      <c r="C240" s="3">
        <v>45804.426307870373</v>
      </c>
      <c r="D240" s="3">
        <v>45810</v>
      </c>
      <c r="E240" s="3">
        <v>45810.370219907411</v>
      </c>
      <c r="F240" s="6">
        <v>39.5</v>
      </c>
      <c r="G240">
        <f t="shared" si="3"/>
        <v>0</v>
      </c>
      <c r="H240" s="20">
        <v>5.9439120369999996</v>
      </c>
      <c r="I240" s="20">
        <v>-0.37021990700000001</v>
      </c>
    </row>
    <row r="241" spans="1:9" ht="14.25" customHeight="1" x14ac:dyDescent="0.3">
      <c r="A241" s="2" t="s">
        <v>2869</v>
      </c>
      <c r="B241" s="2" t="s">
        <v>1642</v>
      </c>
      <c r="C241" s="3">
        <v>45804.485335648147</v>
      </c>
      <c r="D241" s="3">
        <v>45813</v>
      </c>
      <c r="E241" s="3">
        <v>45815.501875000002</v>
      </c>
      <c r="F241" s="6">
        <v>19.75</v>
      </c>
      <c r="G241">
        <f t="shared" si="3"/>
        <v>2</v>
      </c>
      <c r="H241" s="20">
        <v>11.01653935</v>
      </c>
      <c r="I241" s="20">
        <v>-2.5018750000000001</v>
      </c>
    </row>
    <row r="242" spans="1:9" ht="14.25" customHeight="1" x14ac:dyDescent="0.3">
      <c r="A242" s="2" t="s">
        <v>2870</v>
      </c>
      <c r="B242" s="2" t="s">
        <v>1958</v>
      </c>
      <c r="C242" s="3">
        <v>45805.093668981477</v>
      </c>
      <c r="D242" s="3">
        <v>45810</v>
      </c>
      <c r="E242" s="3">
        <v>45812.633368055547</v>
      </c>
      <c r="F242" s="6">
        <v>13.09</v>
      </c>
      <c r="G242">
        <f t="shared" si="3"/>
        <v>2</v>
      </c>
      <c r="H242" s="20">
        <v>7.5396990739999996</v>
      </c>
      <c r="I242" s="20">
        <v>-2.6333680560000001</v>
      </c>
    </row>
    <row r="243" spans="1:9" ht="14.25" customHeight="1" x14ac:dyDescent="0.3">
      <c r="A243" s="2" t="s">
        <v>2871</v>
      </c>
      <c r="B243" s="2" t="s">
        <v>2391</v>
      </c>
      <c r="C243" s="3">
        <v>45805.180763888893</v>
      </c>
      <c r="D243" s="3">
        <v>45807</v>
      </c>
      <c r="E243" s="3">
        <v>45807.579918981479</v>
      </c>
      <c r="F243" s="6">
        <v>14.29</v>
      </c>
      <c r="G243">
        <f t="shared" si="3"/>
        <v>0</v>
      </c>
      <c r="H243" s="20">
        <v>2.3991550930000001</v>
      </c>
      <c r="I243" s="20">
        <v>-0.57991898099999994</v>
      </c>
    </row>
    <row r="244" spans="1:9" ht="14.25" customHeight="1" x14ac:dyDescent="0.3">
      <c r="A244" s="2" t="s">
        <v>2872</v>
      </c>
      <c r="B244" s="2" t="s">
        <v>1475</v>
      </c>
      <c r="C244" s="3">
        <v>45808.481412037043</v>
      </c>
      <c r="D244" s="3">
        <v>45813</v>
      </c>
      <c r="E244" s="3">
        <v>45813.492291666669</v>
      </c>
      <c r="F244" s="6">
        <v>29.85</v>
      </c>
      <c r="G244">
        <f t="shared" si="3"/>
        <v>0</v>
      </c>
      <c r="H244" s="20">
        <v>5.0108796299999998</v>
      </c>
      <c r="I244" s="20">
        <v>-0.49229166699999999</v>
      </c>
    </row>
    <row r="245" spans="1:9" ht="14.25" customHeight="1" x14ac:dyDescent="0.3">
      <c r="A245" s="2" t="s">
        <v>2873</v>
      </c>
      <c r="B245" s="2" t="s">
        <v>1948</v>
      </c>
      <c r="C245" s="3">
        <v>45808.572662037041</v>
      </c>
      <c r="D245" s="3">
        <v>45815</v>
      </c>
      <c r="E245" s="3">
        <v>45817.568020833343</v>
      </c>
      <c r="F245" s="6">
        <v>50.85</v>
      </c>
      <c r="G245">
        <f t="shared" si="3"/>
        <v>2</v>
      </c>
      <c r="H245" s="20">
        <v>8.9953587959999997</v>
      </c>
      <c r="I245" s="20">
        <v>-2.5680208329999998</v>
      </c>
    </row>
    <row r="246" spans="1:9" ht="14.25" customHeight="1" x14ac:dyDescent="0.3">
      <c r="A246" s="2" t="s">
        <v>2874</v>
      </c>
      <c r="B246" s="2" t="s">
        <v>2400</v>
      </c>
      <c r="C246" s="3">
        <v>45809.522106481483</v>
      </c>
      <c r="D246" s="3">
        <v>45812</v>
      </c>
      <c r="E246" s="3">
        <v>45814.628692129627</v>
      </c>
      <c r="F246" s="6">
        <v>133.02000000000001</v>
      </c>
      <c r="G246">
        <f t="shared" si="3"/>
        <v>2</v>
      </c>
      <c r="H246" s="20">
        <v>5.1065856480000003</v>
      </c>
      <c r="I246" s="20">
        <v>-2.6286921300000001</v>
      </c>
    </row>
    <row r="247" spans="1:9" ht="14.25" customHeight="1" x14ac:dyDescent="0.3">
      <c r="A247" s="2" t="s">
        <v>2875</v>
      </c>
      <c r="B247" s="2" t="s">
        <v>1761</v>
      </c>
      <c r="C247" s="3">
        <v>45809.607557870368</v>
      </c>
      <c r="D247" s="3">
        <v>45822</v>
      </c>
      <c r="E247" s="3">
        <v>45821.645451388889</v>
      </c>
      <c r="F247" s="6">
        <v>49.099999999999994</v>
      </c>
      <c r="G247">
        <f t="shared" si="3"/>
        <v>-1</v>
      </c>
      <c r="H247" s="20">
        <v>12.037893520000001</v>
      </c>
      <c r="I247" s="20">
        <v>0.35454861100000001</v>
      </c>
    </row>
    <row r="248" spans="1:9" ht="14.25" customHeight="1" x14ac:dyDescent="0.3">
      <c r="A248" s="2" t="s">
        <v>2876</v>
      </c>
      <c r="B248" s="2" t="s">
        <v>1470</v>
      </c>
      <c r="C248" s="3">
        <v>45809.803541666668</v>
      </c>
      <c r="D248" s="3">
        <v>45817</v>
      </c>
      <c r="E248" s="3">
        <v>45816.546539351853</v>
      </c>
      <c r="F248" s="6">
        <v>41.39</v>
      </c>
      <c r="G248">
        <f t="shared" si="3"/>
        <v>-1</v>
      </c>
      <c r="H248" s="20">
        <v>6.7429976849999997</v>
      </c>
      <c r="I248" s="20">
        <v>0.45346064800000002</v>
      </c>
    </row>
    <row r="249" spans="1:9" ht="14.25" customHeight="1" x14ac:dyDescent="0.3">
      <c r="A249" s="2" t="s">
        <v>2877</v>
      </c>
      <c r="B249" s="2" t="s">
        <v>1876</v>
      </c>
      <c r="C249" s="3">
        <v>45810.583460648151</v>
      </c>
      <c r="D249" s="3">
        <v>45815</v>
      </c>
      <c r="E249" s="3">
        <v>45816.59511574074</v>
      </c>
      <c r="F249" s="6">
        <v>161.22</v>
      </c>
      <c r="G249">
        <f t="shared" si="3"/>
        <v>1</v>
      </c>
      <c r="H249" s="20">
        <v>6.0116550929999999</v>
      </c>
      <c r="I249" s="20">
        <v>-1.5951157410000001</v>
      </c>
    </row>
    <row r="250" spans="1:9" ht="14.25" customHeight="1" x14ac:dyDescent="0.3">
      <c r="A250" s="2" t="s">
        <v>2878</v>
      </c>
      <c r="B250" s="2" t="s">
        <v>2039</v>
      </c>
      <c r="C250" s="3">
        <v>45810.837604166663</v>
      </c>
      <c r="D250" s="3">
        <v>45821</v>
      </c>
      <c r="E250" s="3">
        <v>45822.439687500002</v>
      </c>
      <c r="F250" s="6">
        <v>83.03</v>
      </c>
      <c r="G250">
        <f t="shared" si="3"/>
        <v>1</v>
      </c>
      <c r="H250" s="20">
        <v>11.602083329999999</v>
      </c>
      <c r="I250" s="20">
        <v>-1.4396875</v>
      </c>
    </row>
    <row r="251" spans="1:9" ht="14.25" customHeight="1" x14ac:dyDescent="0.3">
      <c r="A251" s="2" t="s">
        <v>2879</v>
      </c>
      <c r="B251" s="2" t="s">
        <v>1764</v>
      </c>
      <c r="C251" s="3">
        <v>45810.976956018523</v>
      </c>
      <c r="D251" s="3">
        <v>45815</v>
      </c>
      <c r="E251" s="3">
        <v>45815.458703703713</v>
      </c>
      <c r="F251" s="6">
        <v>20.92</v>
      </c>
      <c r="G251">
        <f t="shared" si="3"/>
        <v>0</v>
      </c>
      <c r="H251" s="20">
        <v>4.4817476850000002</v>
      </c>
      <c r="I251" s="20">
        <v>-0.45870370399999999</v>
      </c>
    </row>
    <row r="252" spans="1:9" ht="14.25" customHeight="1" x14ac:dyDescent="0.3">
      <c r="A252" s="2" t="s">
        <v>2880</v>
      </c>
      <c r="B252" s="2" t="s">
        <v>1883</v>
      </c>
      <c r="C252" s="3">
        <v>45812.087951388887</v>
      </c>
      <c r="D252" s="3">
        <v>45818</v>
      </c>
      <c r="E252" s="3">
        <v>45819.409247685187</v>
      </c>
      <c r="F252" s="6">
        <v>49.71</v>
      </c>
      <c r="G252">
        <f t="shared" si="3"/>
        <v>1</v>
      </c>
      <c r="H252" s="20">
        <v>7.3212962959999999</v>
      </c>
      <c r="I252" s="20">
        <v>-1.409247685</v>
      </c>
    </row>
    <row r="253" spans="1:9" ht="14.25" customHeight="1" x14ac:dyDescent="0.3">
      <c r="A253" s="2" t="s">
        <v>2881</v>
      </c>
      <c r="B253" s="2" t="s">
        <v>1508</v>
      </c>
      <c r="C253" s="3">
        <v>45812.324259259258</v>
      </c>
      <c r="D253" s="3">
        <v>45819</v>
      </c>
      <c r="E253" s="3">
        <v>45822.609976851847</v>
      </c>
      <c r="F253" s="6">
        <v>24.150000000000002</v>
      </c>
      <c r="G253">
        <f t="shared" si="3"/>
        <v>3</v>
      </c>
      <c r="H253" s="20">
        <v>10.285717590000001</v>
      </c>
      <c r="I253" s="20">
        <v>-3.609976852</v>
      </c>
    </row>
    <row r="254" spans="1:9" ht="14.25" customHeight="1" x14ac:dyDescent="0.3">
      <c r="A254" s="2" t="s">
        <v>2882</v>
      </c>
      <c r="B254" s="2" t="s">
        <v>2217</v>
      </c>
      <c r="C254" s="3">
        <v>45812.50136574074</v>
      </c>
      <c r="D254" s="3">
        <v>45822</v>
      </c>
      <c r="E254" s="3">
        <v>45821.732905092591</v>
      </c>
      <c r="F254" s="6">
        <v>110.75</v>
      </c>
      <c r="G254">
        <f t="shared" si="3"/>
        <v>-1</v>
      </c>
      <c r="H254" s="20">
        <v>9.2315393520000004</v>
      </c>
      <c r="I254" s="20">
        <v>0.26709490699999999</v>
      </c>
    </row>
    <row r="255" spans="1:9" ht="14.25" customHeight="1" x14ac:dyDescent="0.3">
      <c r="A255" s="2" t="s">
        <v>2883</v>
      </c>
      <c r="B255" s="2" t="s">
        <v>1761</v>
      </c>
      <c r="C255" s="3">
        <v>45812.799224537041</v>
      </c>
      <c r="D255" s="3">
        <v>45819</v>
      </c>
      <c r="E255" s="3">
        <v>45819.484097222223</v>
      </c>
      <c r="F255" s="6">
        <v>15.129999999999999</v>
      </c>
      <c r="G255">
        <f t="shared" si="3"/>
        <v>0</v>
      </c>
      <c r="H255" s="20">
        <v>6.6848726850000002</v>
      </c>
      <c r="I255" s="20">
        <v>-0.48409722199999999</v>
      </c>
    </row>
    <row r="256" spans="1:9" ht="14.25" customHeight="1" x14ac:dyDescent="0.3">
      <c r="A256" s="2" t="s">
        <v>2884</v>
      </c>
      <c r="B256" s="2" t="s">
        <v>1667</v>
      </c>
      <c r="C256" s="3">
        <v>45813.329618055563</v>
      </c>
      <c r="D256" s="3">
        <v>45825</v>
      </c>
      <c r="E256" s="3">
        <v>45823.7499537037</v>
      </c>
      <c r="F256" s="6">
        <v>157.46</v>
      </c>
      <c r="G256">
        <f t="shared" si="3"/>
        <v>-2</v>
      </c>
      <c r="H256" s="20">
        <v>10.42033565</v>
      </c>
      <c r="I256" s="20">
        <v>1.2500462960000001</v>
      </c>
    </row>
    <row r="257" spans="1:14" ht="14.25" customHeight="1" x14ac:dyDescent="0.3">
      <c r="A257" s="2" t="s">
        <v>2885</v>
      </c>
      <c r="B257" s="2" t="s">
        <v>1479</v>
      </c>
      <c r="C257" s="3">
        <v>45815.970914351848</v>
      </c>
      <c r="D257" s="3">
        <v>45824</v>
      </c>
      <c r="E257" s="3">
        <v>45823.365277777782</v>
      </c>
      <c r="F257" s="6">
        <v>56.31</v>
      </c>
      <c r="G257">
        <f t="shared" si="3"/>
        <v>-1</v>
      </c>
      <c r="H257" s="20">
        <v>7.394363426</v>
      </c>
      <c r="I257" s="20">
        <v>0.63472222199999995</v>
      </c>
    </row>
    <row r="258" spans="1:14" ht="14.25" customHeight="1" x14ac:dyDescent="0.3">
      <c r="A258" s="2" t="s">
        <v>2886</v>
      </c>
      <c r="B258" s="2" t="s">
        <v>1969</v>
      </c>
      <c r="C258" s="3">
        <v>45826.247604166667</v>
      </c>
      <c r="D258" s="3">
        <v>45837</v>
      </c>
      <c r="E258" s="3">
        <v>45837.391886574071</v>
      </c>
      <c r="F258" s="6">
        <v>18.610000000000003</v>
      </c>
      <c r="G258">
        <f t="shared" si="3"/>
        <v>0</v>
      </c>
      <c r="H258" s="20">
        <v>11.144282410000001</v>
      </c>
      <c r="I258" s="20">
        <v>-0.39188657399999999</v>
      </c>
    </row>
    <row r="259" spans="1:14" ht="14.25" customHeight="1" x14ac:dyDescent="0.3">
      <c r="A259" s="2" t="s">
        <v>2887</v>
      </c>
      <c r="B259" s="2" t="s">
        <v>2034</v>
      </c>
      <c r="C259" s="3">
        <v>45828.869618055563</v>
      </c>
      <c r="D259" s="3">
        <v>45832</v>
      </c>
      <c r="E259" s="3">
        <v>45831.581597222219</v>
      </c>
      <c r="F259" s="6">
        <v>159.93</v>
      </c>
      <c r="G259">
        <f t="shared" ref="G259:G322" si="4">INT(E259)-INT(D259)</f>
        <v>-1</v>
      </c>
      <c r="H259" s="20">
        <v>2.711979167</v>
      </c>
      <c r="I259" s="20">
        <v>0.41840277799999998</v>
      </c>
    </row>
    <row r="260" spans="1:14" ht="14.25" customHeight="1" x14ac:dyDescent="0.3">
      <c r="A260" s="2" t="s">
        <v>2888</v>
      </c>
      <c r="B260" s="2" t="s">
        <v>1753</v>
      </c>
      <c r="C260" s="3">
        <v>45829.211018518523</v>
      </c>
      <c r="D260" s="3">
        <v>45840</v>
      </c>
      <c r="E260" s="3">
        <v>45842.551562499997</v>
      </c>
      <c r="F260" s="6">
        <v>176.32</v>
      </c>
      <c r="G260">
        <f t="shared" si="4"/>
        <v>2</v>
      </c>
      <c r="H260" s="20">
        <v>13.34054398</v>
      </c>
      <c r="I260" s="20">
        <v>-2.5515625000000002</v>
      </c>
    </row>
    <row r="261" spans="1:14" ht="14.25" customHeight="1" x14ac:dyDescent="0.3">
      <c r="A261" s="2" t="s">
        <v>2889</v>
      </c>
      <c r="B261" s="2" t="s">
        <v>2074</v>
      </c>
      <c r="C261" s="3">
        <v>45830.573113425933</v>
      </c>
      <c r="D261" s="3">
        <v>45835</v>
      </c>
      <c r="E261" s="3">
        <v>45835.716678240737</v>
      </c>
      <c r="F261" s="6">
        <v>11.83</v>
      </c>
      <c r="G261">
        <f t="shared" si="4"/>
        <v>0</v>
      </c>
      <c r="H261" s="20">
        <v>5.1435648150000004</v>
      </c>
      <c r="I261" s="20">
        <v>-0.71667824099999999</v>
      </c>
    </row>
    <row r="262" spans="1:14" ht="14.25" customHeight="1" x14ac:dyDescent="0.3">
      <c r="A262" s="2" t="s">
        <v>2890</v>
      </c>
      <c r="B262" s="2" t="s">
        <v>2043</v>
      </c>
      <c r="C262" s="3">
        <v>45830.801168981481</v>
      </c>
      <c r="D262" s="3">
        <v>45840</v>
      </c>
      <c r="E262" s="3">
        <v>45840.407800925917</v>
      </c>
      <c r="F262" s="6">
        <v>77.72</v>
      </c>
      <c r="G262">
        <f t="shared" si="4"/>
        <v>0</v>
      </c>
      <c r="H262" s="20">
        <v>9.6066319440000001</v>
      </c>
      <c r="I262" s="20">
        <v>-0.40780092600000001</v>
      </c>
    </row>
    <row r="263" spans="1:14" ht="14.25" customHeight="1" x14ac:dyDescent="0.3">
      <c r="A263" s="2" t="s">
        <v>2891</v>
      </c>
      <c r="B263" s="2" t="s">
        <v>2412</v>
      </c>
      <c r="C263" s="3">
        <v>45830.912916666668</v>
      </c>
      <c r="D263" s="3">
        <v>45840</v>
      </c>
      <c r="E263" s="3">
        <v>45842.649398148147</v>
      </c>
      <c r="F263" s="6">
        <v>51.56</v>
      </c>
      <c r="G263">
        <f t="shared" si="4"/>
        <v>2</v>
      </c>
      <c r="H263" s="20">
        <v>11.73648148</v>
      </c>
      <c r="I263" s="20">
        <v>-2.649398148</v>
      </c>
    </row>
    <row r="264" spans="1:14" ht="14.25" customHeight="1" x14ac:dyDescent="0.3">
      <c r="A264" s="2" t="s">
        <v>2892</v>
      </c>
      <c r="B264" s="2" t="s">
        <v>1455</v>
      </c>
      <c r="C264" s="3">
        <v>45831.386562500003</v>
      </c>
      <c r="D264" s="3">
        <v>45839</v>
      </c>
      <c r="E264" s="3">
        <v>45839.592997685177</v>
      </c>
      <c r="F264" s="6">
        <v>69.16</v>
      </c>
      <c r="G264">
        <f t="shared" si="4"/>
        <v>0</v>
      </c>
      <c r="H264" s="20">
        <v>8.2064351850000001</v>
      </c>
      <c r="I264" s="20">
        <v>-0.59299768500000005</v>
      </c>
    </row>
    <row r="265" spans="1:14" ht="14.25" customHeight="1" x14ac:dyDescent="0.3">
      <c r="A265" s="2" t="s">
        <v>2893</v>
      </c>
      <c r="B265" s="2" t="s">
        <v>2361</v>
      </c>
      <c r="C265" s="3">
        <v>45831.645983796298</v>
      </c>
      <c r="D265" s="3">
        <v>45837</v>
      </c>
      <c r="E265" s="3">
        <v>45837.592303240737</v>
      </c>
      <c r="F265" s="6">
        <v>23</v>
      </c>
      <c r="G265">
        <f t="shared" si="4"/>
        <v>0</v>
      </c>
      <c r="H265" s="20">
        <v>5.9463194440000002</v>
      </c>
      <c r="I265" s="20">
        <v>-0.59230324099999998</v>
      </c>
    </row>
    <row r="266" spans="1:14" ht="14.25" customHeight="1" x14ac:dyDescent="0.3">
      <c r="A266" s="2" t="s">
        <v>2894</v>
      </c>
      <c r="B266" s="2" t="s">
        <v>2415</v>
      </c>
      <c r="C266" s="3">
        <v>45837.771319444437</v>
      </c>
      <c r="D266" s="3">
        <v>45844</v>
      </c>
      <c r="E266" s="3">
        <v>45843.424178240741</v>
      </c>
      <c r="F266" s="6">
        <v>77.210000000000008</v>
      </c>
      <c r="G266">
        <f t="shared" si="4"/>
        <v>-1</v>
      </c>
      <c r="H266" s="20">
        <v>5.6528587960000003</v>
      </c>
      <c r="I266" s="20">
        <v>0.57582175899999999</v>
      </c>
      <c r="N266" t="e" vm="1">
        <f>_xleta.SUM</f>
        <v>#VALUE!</v>
      </c>
    </row>
    <row r="267" spans="1:14" ht="14.25" customHeight="1" x14ac:dyDescent="0.3">
      <c r="A267" s="2" t="s">
        <v>2895</v>
      </c>
      <c r="B267" s="2" t="s">
        <v>2301</v>
      </c>
      <c r="C267" s="3">
        <v>45841.081307870372</v>
      </c>
      <c r="D267" s="3">
        <v>45846</v>
      </c>
      <c r="E267" s="3">
        <v>45848.724826388891</v>
      </c>
      <c r="F267" s="6">
        <v>37.049999999999997</v>
      </c>
      <c r="G267">
        <f t="shared" si="4"/>
        <v>2</v>
      </c>
      <c r="H267" s="20">
        <v>7.6435185189999997</v>
      </c>
      <c r="I267" s="20">
        <v>-2.724826389</v>
      </c>
    </row>
    <row r="268" spans="1:14" ht="14.25" customHeight="1" x14ac:dyDescent="0.3">
      <c r="A268" s="2" t="s">
        <v>2896</v>
      </c>
      <c r="B268" s="2" t="s">
        <v>1548</v>
      </c>
      <c r="C268" s="3">
        <v>45841.237638888888</v>
      </c>
      <c r="D268" s="3">
        <v>45843</v>
      </c>
      <c r="E268" s="3">
        <v>45843.678263888891</v>
      </c>
      <c r="F268" s="6">
        <v>13.719999999999999</v>
      </c>
      <c r="G268">
        <f t="shared" si="4"/>
        <v>0</v>
      </c>
      <c r="H268" s="20">
        <v>2.4406249999999998</v>
      </c>
      <c r="I268" s="20">
        <v>-0.67826388900000001</v>
      </c>
    </row>
    <row r="269" spans="1:14" ht="14.25" customHeight="1" x14ac:dyDescent="0.3">
      <c r="A269" s="2" t="s">
        <v>2897</v>
      </c>
      <c r="B269" s="2" t="s">
        <v>2421</v>
      </c>
      <c r="C269" s="3">
        <v>45841.44021990741</v>
      </c>
      <c r="D269" s="3">
        <v>45849</v>
      </c>
      <c r="E269" s="3">
        <v>45849.603182870371</v>
      </c>
      <c r="F269" s="6">
        <v>68.710000000000008</v>
      </c>
      <c r="G269">
        <f t="shared" si="4"/>
        <v>0</v>
      </c>
      <c r="H269" s="20">
        <v>8.162962963</v>
      </c>
      <c r="I269" s="20">
        <v>-0.60318287000000004</v>
      </c>
    </row>
    <row r="270" spans="1:14" ht="14.25" customHeight="1" x14ac:dyDescent="0.3">
      <c r="A270" s="2" t="s">
        <v>2898</v>
      </c>
      <c r="B270" s="2" t="s">
        <v>2034</v>
      </c>
      <c r="C270" s="3">
        <v>45842.077430555553</v>
      </c>
      <c r="D270" s="3">
        <v>45850</v>
      </c>
      <c r="E270" s="3">
        <v>45850.539675925917</v>
      </c>
      <c r="F270" s="6">
        <v>108.48</v>
      </c>
      <c r="G270">
        <f t="shared" si="4"/>
        <v>0</v>
      </c>
      <c r="H270" s="20">
        <v>8.4622453699999998</v>
      </c>
      <c r="I270" s="20">
        <v>-0.53967592600000003</v>
      </c>
    </row>
    <row r="271" spans="1:14" ht="14.25" customHeight="1" x14ac:dyDescent="0.3">
      <c r="A271" s="2" t="s">
        <v>2899</v>
      </c>
      <c r="B271" s="2" t="s">
        <v>2196</v>
      </c>
      <c r="C271" s="3">
        <v>45842.686666666668</v>
      </c>
      <c r="D271" s="3">
        <v>45850</v>
      </c>
      <c r="E271" s="3">
        <v>45851.612210648149</v>
      </c>
      <c r="F271" s="6">
        <v>46.85</v>
      </c>
      <c r="G271">
        <f t="shared" si="4"/>
        <v>1</v>
      </c>
      <c r="H271" s="20">
        <v>8.9255439810000006</v>
      </c>
      <c r="I271" s="20">
        <v>-1.612210648</v>
      </c>
    </row>
    <row r="272" spans="1:14" ht="14.25" customHeight="1" x14ac:dyDescent="0.3">
      <c r="A272" s="2" t="s">
        <v>2900</v>
      </c>
      <c r="B272" s="2" t="s">
        <v>1883</v>
      </c>
      <c r="C272" s="3">
        <v>45843.527824074074</v>
      </c>
      <c r="D272" s="3">
        <v>45849</v>
      </c>
      <c r="E272" s="3">
        <v>45851.493668981479</v>
      </c>
      <c r="F272" s="6">
        <v>13.94</v>
      </c>
      <c r="G272">
        <f t="shared" si="4"/>
        <v>2</v>
      </c>
      <c r="H272" s="20">
        <v>7.9658449070000001</v>
      </c>
      <c r="I272" s="20">
        <v>-2.4936689809999999</v>
      </c>
    </row>
    <row r="273" spans="1:9" ht="14.25" customHeight="1" x14ac:dyDescent="0.3">
      <c r="A273" s="2" t="s">
        <v>2901</v>
      </c>
      <c r="B273" s="2" t="s">
        <v>1488</v>
      </c>
      <c r="C273" s="3">
        <v>45843.873865740738</v>
      </c>
      <c r="D273" s="3">
        <v>45846</v>
      </c>
      <c r="E273" s="3">
        <v>45846.689004629632</v>
      </c>
      <c r="F273" s="6">
        <v>247.75</v>
      </c>
      <c r="G273">
        <f t="shared" si="4"/>
        <v>0</v>
      </c>
      <c r="H273" s="20">
        <v>2.815138889</v>
      </c>
      <c r="I273" s="20">
        <v>-0.68900463000000001</v>
      </c>
    </row>
    <row r="274" spans="1:9" ht="14.25" customHeight="1" x14ac:dyDescent="0.3">
      <c r="A274" s="2" t="s">
        <v>2902</v>
      </c>
      <c r="B274" s="2" t="s">
        <v>2389</v>
      </c>
      <c r="C274" s="3">
        <v>45845.505810185183</v>
      </c>
      <c r="D274" s="3">
        <v>45852</v>
      </c>
      <c r="E274" s="3">
        <v>45852.364282407398</v>
      </c>
      <c r="F274" s="6">
        <v>222.5</v>
      </c>
      <c r="G274">
        <f t="shared" si="4"/>
        <v>0</v>
      </c>
      <c r="H274" s="20">
        <v>6.8584722219999996</v>
      </c>
      <c r="I274" s="20">
        <v>-0.36428240699999997</v>
      </c>
    </row>
    <row r="275" spans="1:9" ht="14.25" customHeight="1" x14ac:dyDescent="0.3">
      <c r="A275" s="2" t="s">
        <v>2903</v>
      </c>
      <c r="B275" s="2" t="s">
        <v>1943</v>
      </c>
      <c r="C275" s="3">
        <v>45846.697766203702</v>
      </c>
      <c r="D275" s="3">
        <v>45850</v>
      </c>
      <c r="E275" s="3">
        <v>45851.482997685183</v>
      </c>
      <c r="F275" s="6">
        <v>0</v>
      </c>
      <c r="G275">
        <f t="shared" si="4"/>
        <v>1</v>
      </c>
      <c r="H275" s="20">
        <v>4.7852314810000003</v>
      </c>
      <c r="I275" s="20">
        <v>-1.482997685</v>
      </c>
    </row>
    <row r="276" spans="1:9" ht="14.25" customHeight="1" x14ac:dyDescent="0.3">
      <c r="A276" s="2" t="s">
        <v>2904</v>
      </c>
      <c r="B276" s="2" t="s">
        <v>1642</v>
      </c>
      <c r="C276" s="3">
        <v>45846.94630787037</v>
      </c>
      <c r="D276" s="3">
        <v>45852</v>
      </c>
      <c r="E276" s="3">
        <v>45851.471331018518</v>
      </c>
      <c r="F276" s="6">
        <v>43.68</v>
      </c>
      <c r="G276">
        <f t="shared" si="4"/>
        <v>-1</v>
      </c>
      <c r="H276" s="20">
        <v>4.5250231479999998</v>
      </c>
      <c r="I276" s="20">
        <v>0.52866898100000004</v>
      </c>
    </row>
    <row r="277" spans="1:9" ht="14.25" customHeight="1" x14ac:dyDescent="0.3">
      <c r="A277" s="2" t="s">
        <v>2905</v>
      </c>
      <c r="B277" s="2" t="s">
        <v>1938</v>
      </c>
      <c r="C277" s="3">
        <v>45847.377534722233</v>
      </c>
      <c r="D277" s="3">
        <v>45851</v>
      </c>
      <c r="E277" s="3">
        <v>45851.546296296299</v>
      </c>
      <c r="F277" s="6">
        <v>83.97999999999999</v>
      </c>
      <c r="G277">
        <f t="shared" si="4"/>
        <v>0</v>
      </c>
      <c r="H277" s="20">
        <v>4.1687615740000004</v>
      </c>
      <c r="I277" s="20">
        <v>-0.54629629599999996</v>
      </c>
    </row>
    <row r="278" spans="1:9" ht="14.25" customHeight="1" x14ac:dyDescent="0.3">
      <c r="A278" s="2" t="s">
        <v>2906</v>
      </c>
      <c r="B278" s="2" t="s">
        <v>1563</v>
      </c>
      <c r="C278" s="3">
        <v>45847.998807870368</v>
      </c>
      <c r="D278" s="3">
        <v>45852</v>
      </c>
      <c r="E278" s="3">
        <v>45852.461354166669</v>
      </c>
      <c r="F278" s="6">
        <v>50.71</v>
      </c>
      <c r="G278">
        <f t="shared" si="4"/>
        <v>0</v>
      </c>
      <c r="H278" s="20">
        <v>4.4625462960000002</v>
      </c>
      <c r="I278" s="20">
        <v>-0.46135416699999998</v>
      </c>
    </row>
    <row r="279" spans="1:9" ht="14.25" customHeight="1" x14ac:dyDescent="0.3">
      <c r="A279" s="2" t="s">
        <v>2907</v>
      </c>
      <c r="B279" s="2" t="s">
        <v>2442</v>
      </c>
      <c r="C279" s="3">
        <v>45849.398414351846</v>
      </c>
      <c r="D279" s="3">
        <v>45853</v>
      </c>
      <c r="E279" s="3">
        <v>45853.440613425933</v>
      </c>
      <c r="F279" s="6">
        <v>111.09</v>
      </c>
      <c r="G279">
        <f t="shared" si="4"/>
        <v>0</v>
      </c>
      <c r="H279" s="20">
        <v>4.042199074</v>
      </c>
      <c r="I279" s="20">
        <v>-0.44061342599999997</v>
      </c>
    </row>
    <row r="280" spans="1:9" ht="14.25" customHeight="1" x14ac:dyDescent="0.3">
      <c r="A280" s="2" t="s">
        <v>2908</v>
      </c>
      <c r="B280" s="2" t="s">
        <v>1783</v>
      </c>
      <c r="C280" s="3">
        <v>45850.063738425917</v>
      </c>
      <c r="D280" s="3">
        <v>45855</v>
      </c>
      <c r="E280" s="3">
        <v>45857.46266203704</v>
      </c>
      <c r="F280" s="6">
        <v>75.239999999999995</v>
      </c>
      <c r="G280">
        <f t="shared" si="4"/>
        <v>2</v>
      </c>
      <c r="H280" s="20">
        <v>7.3989236109999998</v>
      </c>
      <c r="I280" s="20">
        <v>-2.4626620369999999</v>
      </c>
    </row>
    <row r="281" spans="1:9" ht="14.25" customHeight="1" x14ac:dyDescent="0.3">
      <c r="A281" s="2" t="s">
        <v>2909</v>
      </c>
      <c r="B281" s="2" t="s">
        <v>1515</v>
      </c>
      <c r="C281" s="3">
        <v>45851.958032407398</v>
      </c>
      <c r="D281" s="3">
        <v>45858</v>
      </c>
      <c r="E281" s="3">
        <v>45857.572905092587</v>
      </c>
      <c r="F281" s="6">
        <v>34.19</v>
      </c>
      <c r="G281">
        <f t="shared" si="4"/>
        <v>-1</v>
      </c>
      <c r="H281" s="20">
        <v>5.6148726849999999</v>
      </c>
      <c r="I281" s="20">
        <v>0.42709490700000002</v>
      </c>
    </row>
    <row r="282" spans="1:9" ht="14.25" customHeight="1" x14ac:dyDescent="0.3">
      <c r="A282" s="2" t="s">
        <v>2910</v>
      </c>
      <c r="B282" s="2" t="s">
        <v>1556</v>
      </c>
      <c r="C282" s="3">
        <v>45852.499895833331</v>
      </c>
      <c r="D282" s="3">
        <v>45858</v>
      </c>
      <c r="E282" s="3">
        <v>45859.56453703704</v>
      </c>
      <c r="F282" s="6">
        <v>165.52</v>
      </c>
      <c r="G282">
        <f t="shared" si="4"/>
        <v>1</v>
      </c>
      <c r="H282" s="20">
        <v>7.064641204</v>
      </c>
      <c r="I282" s="20">
        <v>-1.564537037</v>
      </c>
    </row>
    <row r="283" spans="1:9" ht="14.25" customHeight="1" x14ac:dyDescent="0.3">
      <c r="A283" s="2" t="s">
        <v>2911</v>
      </c>
      <c r="B283" s="2" t="s">
        <v>1556</v>
      </c>
      <c r="C283" s="3">
        <v>45853.181990740741</v>
      </c>
      <c r="D283" s="3">
        <v>45860</v>
      </c>
      <c r="E283" s="3">
        <v>45862.734131944453</v>
      </c>
      <c r="F283" s="6">
        <v>89.96</v>
      </c>
      <c r="G283">
        <f t="shared" si="4"/>
        <v>2</v>
      </c>
      <c r="H283" s="20">
        <v>9.5521412039999998</v>
      </c>
      <c r="I283" s="20">
        <v>-2.734131944</v>
      </c>
    </row>
    <row r="284" spans="1:9" ht="14.25" customHeight="1" x14ac:dyDescent="0.3">
      <c r="A284" s="2" t="s">
        <v>2912</v>
      </c>
      <c r="B284" s="2" t="s">
        <v>2105</v>
      </c>
      <c r="C284" s="3">
        <v>45854.034386574072</v>
      </c>
      <c r="D284" s="3">
        <v>45859</v>
      </c>
      <c r="E284" s="3">
        <v>45859.685949074083</v>
      </c>
      <c r="F284" s="6">
        <v>110.79</v>
      </c>
      <c r="G284">
        <f t="shared" si="4"/>
        <v>0</v>
      </c>
      <c r="H284" s="20">
        <v>5.6515624999999998</v>
      </c>
      <c r="I284" s="20">
        <v>-0.68594907400000005</v>
      </c>
    </row>
    <row r="285" spans="1:9" ht="14.25" customHeight="1" x14ac:dyDescent="0.3">
      <c r="A285" s="2" t="s">
        <v>2913</v>
      </c>
      <c r="B285" s="2" t="s">
        <v>2153</v>
      </c>
      <c r="C285" s="3">
        <v>45855.650439814817</v>
      </c>
      <c r="D285" s="3">
        <v>45864</v>
      </c>
      <c r="E285" s="3">
        <v>45863.618773148148</v>
      </c>
      <c r="F285" s="6">
        <v>47.18</v>
      </c>
      <c r="G285">
        <f t="shared" si="4"/>
        <v>-1</v>
      </c>
      <c r="H285" s="20">
        <v>7.9683333330000004</v>
      </c>
      <c r="I285" s="20">
        <v>0.381226852</v>
      </c>
    </row>
    <row r="286" spans="1:9" ht="14.25" customHeight="1" x14ac:dyDescent="0.3">
      <c r="A286" s="2" t="s">
        <v>2914</v>
      </c>
      <c r="B286" s="2" t="s">
        <v>1880</v>
      </c>
      <c r="C286" s="3">
        <v>45859.623888888891</v>
      </c>
      <c r="D286" s="3">
        <v>45867</v>
      </c>
      <c r="E286" s="3">
        <v>45868.363356481481</v>
      </c>
      <c r="F286" s="6">
        <v>85.26</v>
      </c>
      <c r="G286">
        <f t="shared" si="4"/>
        <v>1</v>
      </c>
      <c r="H286" s="20">
        <v>8.7394675930000005</v>
      </c>
      <c r="I286" s="20">
        <v>-1.3633564810000001</v>
      </c>
    </row>
    <row r="287" spans="1:9" ht="14.25" customHeight="1" x14ac:dyDescent="0.3">
      <c r="A287" s="2" t="s">
        <v>2915</v>
      </c>
      <c r="B287" s="2" t="s">
        <v>2011</v>
      </c>
      <c r="C287" s="3">
        <v>45861.261030092603</v>
      </c>
      <c r="D287" s="3">
        <v>45869</v>
      </c>
      <c r="E287" s="3">
        <v>45869.653148148151</v>
      </c>
      <c r="F287" s="6">
        <v>178.32000000000002</v>
      </c>
      <c r="G287">
        <f t="shared" si="4"/>
        <v>0</v>
      </c>
      <c r="H287" s="20">
        <v>8.3921180559999993</v>
      </c>
      <c r="I287" s="20">
        <v>-0.65314814799999998</v>
      </c>
    </row>
    <row r="288" spans="1:9" ht="14.25" customHeight="1" x14ac:dyDescent="0.3">
      <c r="A288" s="2" t="s">
        <v>2916</v>
      </c>
      <c r="B288" s="2" t="s">
        <v>1630</v>
      </c>
      <c r="C288" s="3">
        <v>45864.760787037027</v>
      </c>
      <c r="D288" s="3">
        <v>45869</v>
      </c>
      <c r="E288" s="3">
        <v>45869.466643518521</v>
      </c>
      <c r="F288" s="6">
        <v>100.97999999999999</v>
      </c>
      <c r="G288">
        <f t="shared" si="4"/>
        <v>0</v>
      </c>
      <c r="H288" s="20">
        <v>4.7058564809999996</v>
      </c>
      <c r="I288" s="20">
        <v>-0.46664351900000001</v>
      </c>
    </row>
    <row r="289" spans="1:9" ht="14.25" customHeight="1" x14ac:dyDescent="0.3">
      <c r="A289" s="2" t="s">
        <v>2917</v>
      </c>
      <c r="B289" s="2" t="s">
        <v>2472</v>
      </c>
      <c r="C289" s="3">
        <v>45866.247696759259</v>
      </c>
      <c r="D289" s="3">
        <v>45874</v>
      </c>
      <c r="E289" s="3">
        <v>45875.714120370372</v>
      </c>
      <c r="F289" s="6">
        <v>90.89</v>
      </c>
      <c r="G289">
        <f t="shared" si="4"/>
        <v>1</v>
      </c>
      <c r="H289" s="20">
        <v>9.4664236109999997</v>
      </c>
      <c r="I289" s="20">
        <v>-1.7141203700000001</v>
      </c>
    </row>
    <row r="290" spans="1:9" ht="14.25" customHeight="1" x14ac:dyDescent="0.3">
      <c r="A290" s="2" t="s">
        <v>2918</v>
      </c>
      <c r="B290" s="2" t="s">
        <v>1671</v>
      </c>
      <c r="C290" s="3">
        <v>45867.93818287037</v>
      </c>
      <c r="D290" s="3">
        <v>45873</v>
      </c>
      <c r="E290" s="3">
        <v>45872.737511574072</v>
      </c>
      <c r="F290" s="6">
        <v>99.5</v>
      </c>
      <c r="G290">
        <f t="shared" si="4"/>
        <v>-1</v>
      </c>
      <c r="H290" s="20">
        <v>4.7993287039999997</v>
      </c>
      <c r="I290" s="20">
        <v>0.262488426</v>
      </c>
    </row>
    <row r="291" spans="1:9" ht="14.25" customHeight="1" x14ac:dyDescent="0.3">
      <c r="A291" s="2" t="s">
        <v>2919</v>
      </c>
      <c r="B291" s="2" t="s">
        <v>2364</v>
      </c>
      <c r="C291" s="3">
        <v>45869.894999999997</v>
      </c>
      <c r="D291" s="3">
        <v>45875</v>
      </c>
      <c r="E291" s="3">
        <v>45878.380682870367</v>
      </c>
      <c r="F291" s="6">
        <v>29.02</v>
      </c>
      <c r="G291">
        <f t="shared" si="4"/>
        <v>3</v>
      </c>
      <c r="H291" s="20">
        <v>8.4856828699999998</v>
      </c>
      <c r="I291" s="20">
        <v>-3.3806828699999998</v>
      </c>
    </row>
    <row r="292" spans="1:9" ht="14.25" customHeight="1" x14ac:dyDescent="0.3">
      <c r="A292" s="2" t="s">
        <v>2920</v>
      </c>
      <c r="B292" s="2" t="s">
        <v>1856</v>
      </c>
      <c r="C292" s="3">
        <v>45872.00072916667</v>
      </c>
      <c r="D292" s="3">
        <v>45883</v>
      </c>
      <c r="E292" s="3">
        <v>45882.661099537043</v>
      </c>
      <c r="F292" s="6">
        <v>68.11999999999999</v>
      </c>
      <c r="G292">
        <f t="shared" si="4"/>
        <v>-1</v>
      </c>
      <c r="H292" s="20">
        <v>10.660370370000001</v>
      </c>
      <c r="I292" s="20">
        <v>0.33890046299999999</v>
      </c>
    </row>
    <row r="293" spans="1:9" ht="14.25" customHeight="1" x14ac:dyDescent="0.3">
      <c r="A293" s="2" t="s">
        <v>2921</v>
      </c>
      <c r="B293" s="2" t="s">
        <v>1772</v>
      </c>
      <c r="C293" s="3">
        <v>45875.526064814818</v>
      </c>
      <c r="D293" s="3">
        <v>45883</v>
      </c>
      <c r="E293" s="3">
        <v>45884.406689814823</v>
      </c>
      <c r="F293" s="6">
        <v>25.8</v>
      </c>
      <c r="G293">
        <f t="shared" si="4"/>
        <v>1</v>
      </c>
      <c r="H293" s="20">
        <v>8.8806250000000002</v>
      </c>
      <c r="I293" s="20">
        <v>-1.406689815</v>
      </c>
    </row>
    <row r="294" spans="1:9" ht="14.25" customHeight="1" x14ac:dyDescent="0.3">
      <c r="A294" s="2" t="s">
        <v>2922</v>
      </c>
      <c r="B294" s="2" t="s">
        <v>1864</v>
      </c>
      <c r="C294" s="3">
        <v>45876.918958333343</v>
      </c>
      <c r="D294" s="3">
        <v>45883</v>
      </c>
      <c r="E294" s="3">
        <v>45883.661666666667</v>
      </c>
      <c r="F294" s="6">
        <v>49.540000000000006</v>
      </c>
      <c r="G294">
        <f t="shared" si="4"/>
        <v>0</v>
      </c>
      <c r="H294" s="20">
        <v>6.7427083330000004</v>
      </c>
      <c r="I294" s="20">
        <v>-0.66166666699999999</v>
      </c>
    </row>
    <row r="295" spans="1:9" ht="14.25" customHeight="1" x14ac:dyDescent="0.3">
      <c r="A295" s="2" t="s">
        <v>2923</v>
      </c>
      <c r="B295" s="2" t="s">
        <v>1943</v>
      </c>
      <c r="C295" s="3">
        <v>45878.185104166667</v>
      </c>
      <c r="D295" s="3">
        <v>45882</v>
      </c>
      <c r="E295" s="3">
        <v>45881.559548611112</v>
      </c>
      <c r="F295" s="6">
        <v>80.38000000000001</v>
      </c>
      <c r="G295">
        <f t="shared" si="4"/>
        <v>-1</v>
      </c>
      <c r="H295" s="20">
        <v>3.3744444439999999</v>
      </c>
      <c r="I295" s="20">
        <v>0.44045138900000003</v>
      </c>
    </row>
    <row r="296" spans="1:9" ht="14.25" customHeight="1" x14ac:dyDescent="0.3">
      <c r="A296" s="2" t="s">
        <v>2924</v>
      </c>
      <c r="B296" s="2" t="s">
        <v>1880</v>
      </c>
      <c r="C296" s="3">
        <v>45879.013368055559</v>
      </c>
      <c r="D296" s="3">
        <v>45882</v>
      </c>
      <c r="E296" s="3">
        <v>45883.378275462957</v>
      </c>
      <c r="F296" s="6">
        <v>53.699999999999996</v>
      </c>
      <c r="G296">
        <f t="shared" si="4"/>
        <v>1</v>
      </c>
      <c r="H296" s="20">
        <v>4.3649074069999996</v>
      </c>
      <c r="I296" s="20">
        <v>-1.378275463</v>
      </c>
    </row>
    <row r="297" spans="1:9" ht="14.25" customHeight="1" x14ac:dyDescent="0.3">
      <c r="A297" s="2" t="s">
        <v>2925</v>
      </c>
      <c r="B297" s="2" t="s">
        <v>2070</v>
      </c>
      <c r="C297" s="3">
        <v>45879.433564814812</v>
      </c>
      <c r="D297" s="3">
        <v>45888</v>
      </c>
      <c r="E297" s="3">
        <v>45890.56653935185</v>
      </c>
      <c r="F297" s="6">
        <v>148.03</v>
      </c>
      <c r="G297">
        <f t="shared" si="4"/>
        <v>2</v>
      </c>
      <c r="H297" s="20">
        <v>11.132974539999999</v>
      </c>
      <c r="I297" s="20">
        <v>-2.5665393519999999</v>
      </c>
    </row>
    <row r="298" spans="1:9" ht="14.25" customHeight="1" x14ac:dyDescent="0.3">
      <c r="A298" s="2" t="s">
        <v>2926</v>
      </c>
      <c r="B298" s="2" t="s">
        <v>1684</v>
      </c>
      <c r="C298" s="3">
        <v>45879.842349537037</v>
      </c>
      <c r="D298" s="3">
        <v>45885</v>
      </c>
      <c r="E298" s="3">
        <v>45885.632986111108</v>
      </c>
      <c r="F298" s="6">
        <v>66.259999999999991</v>
      </c>
      <c r="G298">
        <f t="shared" si="4"/>
        <v>0</v>
      </c>
      <c r="H298" s="20">
        <v>5.7906365739999996</v>
      </c>
      <c r="I298" s="20">
        <v>-0.63298611100000002</v>
      </c>
    </row>
    <row r="299" spans="1:9" ht="14.25" customHeight="1" x14ac:dyDescent="0.3">
      <c r="A299" s="2" t="s">
        <v>2927</v>
      </c>
      <c r="B299" s="2" t="s">
        <v>1684</v>
      </c>
      <c r="C299" s="3">
        <v>45880.789502314823</v>
      </c>
      <c r="D299" s="3">
        <v>45885</v>
      </c>
      <c r="E299" s="3">
        <v>45885.589421296303</v>
      </c>
      <c r="F299" s="6">
        <v>142.82999999999998</v>
      </c>
      <c r="G299">
        <f t="shared" si="4"/>
        <v>0</v>
      </c>
      <c r="H299" s="20">
        <v>4.7999189810000003</v>
      </c>
      <c r="I299" s="20">
        <v>-0.58942129600000004</v>
      </c>
    </row>
    <row r="300" spans="1:9" ht="14.25" customHeight="1" x14ac:dyDescent="0.3">
      <c r="A300" s="2" t="s">
        <v>2928</v>
      </c>
      <c r="B300" s="2" t="s">
        <v>2434</v>
      </c>
      <c r="C300" s="3">
        <v>45902.749074074083</v>
      </c>
      <c r="D300" s="3">
        <v>45911.608726851853</v>
      </c>
      <c r="E300" s="3">
        <v>45914.308148148149</v>
      </c>
      <c r="F300" s="6">
        <v>289.98</v>
      </c>
      <c r="G300">
        <f t="shared" si="4"/>
        <v>3</v>
      </c>
      <c r="H300" s="20">
        <v>11.559074069999999</v>
      </c>
      <c r="I300" s="20">
        <v>-2.6994212960000001</v>
      </c>
    </row>
    <row r="301" spans="1:9" ht="14.25" customHeight="1" x14ac:dyDescent="0.3">
      <c r="A301" s="2" t="s">
        <v>2929</v>
      </c>
      <c r="B301" s="2" t="s">
        <v>1659</v>
      </c>
      <c r="C301" s="3">
        <v>45907.437534722223</v>
      </c>
      <c r="D301" s="3">
        <v>45908.990474537037</v>
      </c>
      <c r="E301" s="3">
        <v>45911.511979166673</v>
      </c>
      <c r="F301" s="6">
        <v>122.16</v>
      </c>
      <c r="G301">
        <f t="shared" si="4"/>
        <v>3</v>
      </c>
      <c r="H301" s="20">
        <v>4.0744444440000001</v>
      </c>
      <c r="I301" s="20">
        <v>-2.5215046299999999</v>
      </c>
    </row>
    <row r="302" spans="1:9" ht="14.25" customHeight="1" x14ac:dyDescent="0.3">
      <c r="A302" s="2" t="s">
        <v>2930</v>
      </c>
      <c r="B302" s="2" t="s">
        <v>2043</v>
      </c>
      <c r="C302" s="3">
        <v>45914.029502314806</v>
      </c>
      <c r="D302" s="3">
        <v>45917.077696759261</v>
      </c>
      <c r="E302" s="3">
        <v>45917.562581018523</v>
      </c>
      <c r="F302" s="6">
        <v>54.32</v>
      </c>
      <c r="G302">
        <f t="shared" si="4"/>
        <v>0</v>
      </c>
      <c r="H302" s="20">
        <v>3.5330787039999998</v>
      </c>
      <c r="I302" s="20">
        <v>-0.48488425899999998</v>
      </c>
    </row>
    <row r="303" spans="1:9" ht="14.25" customHeight="1" x14ac:dyDescent="0.3">
      <c r="A303" s="2" t="s">
        <v>2931</v>
      </c>
      <c r="B303" s="2" t="s">
        <v>2461</v>
      </c>
      <c r="C303" s="3">
        <v>45916.150462962964</v>
      </c>
      <c r="D303" s="3">
        <v>45922.726412037038</v>
      </c>
      <c r="E303" s="3">
        <v>45923.118101851847</v>
      </c>
      <c r="F303" s="6">
        <v>17.84</v>
      </c>
      <c r="G303">
        <f t="shared" si="4"/>
        <v>1</v>
      </c>
      <c r="H303" s="20">
        <v>6.9676388889999998</v>
      </c>
      <c r="I303" s="20">
        <v>-0.391689815</v>
      </c>
    </row>
    <row r="304" spans="1:9" ht="14.25" customHeight="1" x14ac:dyDescent="0.3">
      <c r="A304" s="2" t="s">
        <v>2932</v>
      </c>
      <c r="B304" s="2" t="s">
        <v>1504</v>
      </c>
      <c r="C304" s="3">
        <v>45917.607372685183</v>
      </c>
      <c r="D304" s="3">
        <v>45928.100694444453</v>
      </c>
      <c r="E304" s="3">
        <v>45927.670034722221</v>
      </c>
      <c r="F304" s="6">
        <v>83.53</v>
      </c>
      <c r="G304">
        <f t="shared" si="4"/>
        <v>-1</v>
      </c>
      <c r="H304" s="20">
        <v>10.062662039999999</v>
      </c>
      <c r="I304" s="20">
        <v>0.43065972200000002</v>
      </c>
    </row>
    <row r="305" spans="1:9" ht="14.25" customHeight="1" x14ac:dyDescent="0.3">
      <c r="A305" s="2" t="s">
        <v>2933</v>
      </c>
      <c r="B305" s="2" t="s">
        <v>1943</v>
      </c>
      <c r="C305" s="3">
        <v>45917.669398148151</v>
      </c>
      <c r="D305" s="3">
        <v>45921.22283564815</v>
      </c>
      <c r="E305" s="3">
        <v>45920.895532407398</v>
      </c>
      <c r="F305" s="6">
        <v>73.190000000000012</v>
      </c>
      <c r="G305">
        <f t="shared" si="4"/>
        <v>-1</v>
      </c>
      <c r="H305" s="20">
        <v>3.2261342590000002</v>
      </c>
      <c r="I305" s="20">
        <v>0.32730324100000002</v>
      </c>
    </row>
    <row r="306" spans="1:9" ht="14.25" customHeight="1" x14ac:dyDescent="0.3">
      <c r="A306" s="2" t="s">
        <v>2934</v>
      </c>
      <c r="B306" s="2" t="s">
        <v>1461</v>
      </c>
      <c r="C306" s="3">
        <v>45920.041539351849</v>
      </c>
      <c r="D306" s="3">
        <v>45927.854328703703</v>
      </c>
      <c r="E306" s="3">
        <v>45930.538842592592</v>
      </c>
      <c r="F306" s="6">
        <v>52.089999999999996</v>
      </c>
      <c r="G306">
        <f t="shared" si="4"/>
        <v>3</v>
      </c>
      <c r="H306" s="20">
        <v>10.497303240000001</v>
      </c>
      <c r="I306" s="20">
        <v>-2.6845138890000002</v>
      </c>
    </row>
    <row r="307" spans="1:9" ht="14.25" customHeight="1" x14ac:dyDescent="0.3">
      <c r="A307" s="2" t="s">
        <v>2935</v>
      </c>
      <c r="B307" s="2" t="s">
        <v>1687</v>
      </c>
      <c r="C307" s="3">
        <v>45922.154953703714</v>
      </c>
      <c r="D307" s="3">
        <v>45927.789594907408</v>
      </c>
      <c r="E307" s="3">
        <v>45928.388310185182</v>
      </c>
      <c r="F307" s="6">
        <v>184.4</v>
      </c>
      <c r="G307">
        <f t="shared" si="4"/>
        <v>1</v>
      </c>
      <c r="H307" s="20">
        <v>6.2333564810000004</v>
      </c>
      <c r="I307" s="20">
        <v>-0.59871527800000002</v>
      </c>
    </row>
    <row r="308" spans="1:9" ht="14.25" customHeight="1" x14ac:dyDescent="0.3">
      <c r="A308" s="2" t="s">
        <v>2936</v>
      </c>
      <c r="B308" s="2" t="s">
        <v>2439</v>
      </c>
      <c r="C308" s="3">
        <v>45925.650231481479</v>
      </c>
      <c r="D308" s="3">
        <v>45931.510092592587</v>
      </c>
      <c r="E308" s="3">
        <v>45931.900706018518</v>
      </c>
      <c r="F308" s="6">
        <v>58.87</v>
      </c>
      <c r="G308">
        <f t="shared" si="4"/>
        <v>0</v>
      </c>
      <c r="H308" s="20">
        <v>6.2504745369999997</v>
      </c>
      <c r="I308" s="20">
        <v>-0.39061342599999999</v>
      </c>
    </row>
    <row r="309" spans="1:9" ht="14.25" customHeight="1" x14ac:dyDescent="0.3">
      <c r="A309" s="2" t="s">
        <v>2937</v>
      </c>
      <c r="B309" s="2" t="s">
        <v>1958</v>
      </c>
      <c r="C309" s="3">
        <v>45928.529560185183</v>
      </c>
      <c r="D309" s="3">
        <v>45931.738888888889</v>
      </c>
      <c r="E309" s="3">
        <v>45934.145428240743</v>
      </c>
      <c r="F309" s="6">
        <v>124.95000000000002</v>
      </c>
      <c r="G309">
        <f t="shared" si="4"/>
        <v>3</v>
      </c>
      <c r="H309" s="20">
        <v>5.6158680560000001</v>
      </c>
      <c r="I309" s="20">
        <v>-2.4065393519999998</v>
      </c>
    </row>
    <row r="310" spans="1:9" ht="14.25" customHeight="1" x14ac:dyDescent="0.3">
      <c r="A310" s="2" t="s">
        <v>2938</v>
      </c>
      <c r="B310" s="2" t="s">
        <v>1684</v>
      </c>
      <c r="C310" s="3">
        <v>45930.482141203713</v>
      </c>
      <c r="D310" s="3">
        <v>45938.557013888887</v>
      </c>
      <c r="E310" s="3">
        <v>45938.149965277778</v>
      </c>
      <c r="F310" s="6">
        <v>56.39</v>
      </c>
      <c r="G310">
        <f t="shared" si="4"/>
        <v>0</v>
      </c>
      <c r="H310" s="20">
        <v>7.6678240740000003</v>
      </c>
      <c r="I310" s="20">
        <v>0.407048611</v>
      </c>
    </row>
    <row r="311" spans="1:9" ht="14.25" customHeight="1" x14ac:dyDescent="0.3">
      <c r="A311" s="2" t="s">
        <v>2939</v>
      </c>
      <c r="B311" s="2" t="s">
        <v>2448</v>
      </c>
      <c r="C311" s="3">
        <v>45931.273611111108</v>
      </c>
      <c r="D311" s="3">
        <v>45936</v>
      </c>
      <c r="E311" s="3">
        <v>45935.727349537039</v>
      </c>
      <c r="F311" s="6">
        <v>16.8</v>
      </c>
      <c r="G311">
        <f t="shared" si="4"/>
        <v>-1</v>
      </c>
      <c r="H311" s="20">
        <v>4.4537384260000001</v>
      </c>
      <c r="I311" s="20">
        <v>0.27265046300000001</v>
      </c>
    </row>
    <row r="312" spans="1:9" ht="14.25" customHeight="1" x14ac:dyDescent="0.3">
      <c r="A312" s="2" t="s">
        <v>2940</v>
      </c>
      <c r="B312" s="2" t="s">
        <v>2475</v>
      </c>
      <c r="C312" s="3">
        <v>45944.866666666669</v>
      </c>
      <c r="D312" s="3">
        <v>45956</v>
      </c>
      <c r="E312" s="3">
        <v>45956.647291666668</v>
      </c>
      <c r="F312" s="6">
        <v>54.07</v>
      </c>
      <c r="G312">
        <f t="shared" si="4"/>
        <v>0</v>
      </c>
      <c r="H312" s="20">
        <v>11.780625000000001</v>
      </c>
      <c r="I312" s="20">
        <v>-0.64729166699999996</v>
      </c>
    </row>
    <row r="313" spans="1:9" ht="14.25" customHeight="1" x14ac:dyDescent="0.3">
      <c r="A313" s="2" t="s">
        <v>2941</v>
      </c>
      <c r="B313" s="2" t="s">
        <v>2383</v>
      </c>
      <c r="C313" s="3">
        <v>45954.320196759261</v>
      </c>
      <c r="D313" s="3">
        <v>45962</v>
      </c>
      <c r="E313" s="3">
        <v>45962.352037037039</v>
      </c>
      <c r="F313" s="6">
        <v>75.209999999999994</v>
      </c>
      <c r="G313">
        <f t="shared" si="4"/>
        <v>0</v>
      </c>
      <c r="H313" s="20">
        <v>8.0318402780000007</v>
      </c>
      <c r="I313" s="20">
        <v>-0.352037037</v>
      </c>
    </row>
    <row r="314" spans="1:9" ht="14.25" customHeight="1" x14ac:dyDescent="0.3">
      <c r="A314" s="2" t="s">
        <v>2942</v>
      </c>
      <c r="B314" s="2" t="s">
        <v>1779</v>
      </c>
      <c r="C314" s="3">
        <v>45959.919178240743</v>
      </c>
      <c r="D314" s="3">
        <v>45966</v>
      </c>
      <c r="E314" s="3">
        <v>45965.703020833331</v>
      </c>
      <c r="F314" s="6">
        <v>113.4</v>
      </c>
      <c r="G314">
        <f t="shared" si="4"/>
        <v>-1</v>
      </c>
      <c r="H314" s="20">
        <v>5.7838425930000001</v>
      </c>
      <c r="I314" s="20">
        <v>0.29697916699999999</v>
      </c>
    </row>
    <row r="315" spans="1:9" ht="14.25" customHeight="1" x14ac:dyDescent="0.3">
      <c r="A315" s="2" t="s">
        <v>2943</v>
      </c>
      <c r="B315" s="2" t="s">
        <v>1880</v>
      </c>
      <c r="C315" s="3">
        <v>45962.706782407397</v>
      </c>
      <c r="D315" s="3">
        <v>45969</v>
      </c>
      <c r="E315" s="3">
        <v>45970.674641203703</v>
      </c>
      <c r="F315" s="6">
        <v>32.51</v>
      </c>
      <c r="G315">
        <f t="shared" si="4"/>
        <v>1</v>
      </c>
      <c r="H315" s="20">
        <v>7.9678587959999998</v>
      </c>
      <c r="I315" s="20">
        <v>-1.674641204</v>
      </c>
    </row>
    <row r="316" spans="1:9" ht="14.25" customHeight="1" x14ac:dyDescent="0.3">
      <c r="A316" s="2" t="s">
        <v>2944</v>
      </c>
      <c r="B316" s="2" t="s">
        <v>2276</v>
      </c>
      <c r="C316" s="3">
        <v>45962.828159722223</v>
      </c>
      <c r="D316" s="3">
        <v>45964</v>
      </c>
      <c r="E316" s="3">
        <v>45964.453414351847</v>
      </c>
      <c r="F316" s="6">
        <v>64.300000000000011</v>
      </c>
      <c r="G316">
        <f t="shared" si="4"/>
        <v>0</v>
      </c>
      <c r="H316" s="20">
        <v>1.6252546299999999</v>
      </c>
      <c r="I316" s="20">
        <v>-0.45341435200000002</v>
      </c>
    </row>
    <row r="317" spans="1:9" ht="14.25" customHeight="1" x14ac:dyDescent="0.3">
      <c r="A317" s="2" t="s">
        <v>2945</v>
      </c>
      <c r="B317" s="2" t="s">
        <v>2491</v>
      </c>
      <c r="C317" s="3">
        <v>45963.77915509259</v>
      </c>
      <c r="D317" s="3">
        <v>45967</v>
      </c>
      <c r="E317" s="3">
        <v>45966.501909722218</v>
      </c>
      <c r="F317" s="6">
        <v>117.44</v>
      </c>
      <c r="G317">
        <f t="shared" si="4"/>
        <v>-1</v>
      </c>
      <c r="H317" s="20">
        <v>2.7227546299999998</v>
      </c>
      <c r="I317" s="20">
        <v>0.498090278</v>
      </c>
    </row>
    <row r="318" spans="1:9" ht="14.25" customHeight="1" x14ac:dyDescent="0.3">
      <c r="A318" s="2" t="s">
        <v>2946</v>
      </c>
      <c r="B318" s="2" t="s">
        <v>1880</v>
      </c>
      <c r="C318" s="3">
        <v>45965.937384259261</v>
      </c>
      <c r="D318" s="3">
        <v>45977</v>
      </c>
      <c r="E318" s="3">
        <v>45979.620254629634</v>
      </c>
      <c r="F318" s="6">
        <v>113.43</v>
      </c>
      <c r="G318">
        <f t="shared" si="4"/>
        <v>2</v>
      </c>
      <c r="H318" s="20">
        <v>13.68287037</v>
      </c>
      <c r="I318" s="20">
        <v>-2.6202546299999998</v>
      </c>
    </row>
    <row r="319" spans="1:9" ht="14.25" customHeight="1" x14ac:dyDescent="0.3">
      <c r="A319" s="2" t="s">
        <v>2947</v>
      </c>
      <c r="B319" s="2" t="s">
        <v>1501</v>
      </c>
      <c r="C319" s="3">
        <v>45967.113136574073</v>
      </c>
      <c r="D319" s="3">
        <v>45974</v>
      </c>
      <c r="E319" s="3">
        <v>45974.628958333327</v>
      </c>
      <c r="F319" s="6">
        <v>111.06</v>
      </c>
      <c r="G319">
        <f t="shared" si="4"/>
        <v>0</v>
      </c>
      <c r="H319" s="20">
        <v>7.5158217589999996</v>
      </c>
      <c r="I319" s="20">
        <v>-0.62895833300000004</v>
      </c>
    </row>
    <row r="320" spans="1:9" ht="14.25" customHeight="1" x14ac:dyDescent="0.3">
      <c r="A320" s="2" t="s">
        <v>2948</v>
      </c>
      <c r="B320" s="2" t="s">
        <v>1455</v>
      </c>
      <c r="C320" s="3">
        <v>45968.537083333344</v>
      </c>
      <c r="D320" s="3">
        <v>45975</v>
      </c>
      <c r="E320" s="3">
        <v>45975.386967592603</v>
      </c>
      <c r="F320" s="6">
        <v>213.01999999999998</v>
      </c>
      <c r="G320">
        <f t="shared" si="4"/>
        <v>0</v>
      </c>
      <c r="H320" s="20">
        <v>6.8498842590000004</v>
      </c>
      <c r="I320" s="20">
        <v>-0.386967593</v>
      </c>
    </row>
    <row r="321" spans="1:9" ht="14.25" customHeight="1" x14ac:dyDescent="0.3">
      <c r="A321" s="2" t="s">
        <v>2949</v>
      </c>
      <c r="B321" s="2" t="s">
        <v>2461</v>
      </c>
      <c r="C321" s="3">
        <v>45971.411377314813</v>
      </c>
      <c r="D321" s="3">
        <v>45981</v>
      </c>
      <c r="E321" s="3">
        <v>45981.603877314818</v>
      </c>
      <c r="F321" s="6">
        <v>73.650000000000006</v>
      </c>
      <c r="G321">
        <f t="shared" si="4"/>
        <v>0</v>
      </c>
      <c r="H321" s="20">
        <v>10.192500000000001</v>
      </c>
      <c r="I321" s="20">
        <v>-0.60387731499999997</v>
      </c>
    </row>
    <row r="322" spans="1:9" ht="14.25" customHeight="1" x14ac:dyDescent="0.3">
      <c r="A322" s="2" t="s">
        <v>2950</v>
      </c>
      <c r="B322" s="2" t="s">
        <v>1931</v>
      </c>
      <c r="C322" s="3">
        <v>45971.613888888889</v>
      </c>
      <c r="D322" s="3">
        <v>45980</v>
      </c>
      <c r="E322" s="3">
        <v>45981.560011574067</v>
      </c>
      <c r="F322" s="6">
        <v>106.70000000000002</v>
      </c>
      <c r="G322">
        <f t="shared" si="4"/>
        <v>1</v>
      </c>
      <c r="H322" s="20">
        <v>9.9461226850000006</v>
      </c>
      <c r="I322" s="20">
        <v>-1.560011574</v>
      </c>
    </row>
    <row r="323" spans="1:9" ht="14.25" customHeight="1" x14ac:dyDescent="0.3">
      <c r="A323" s="2" t="s">
        <v>2951</v>
      </c>
      <c r="B323" s="2" t="s">
        <v>2105</v>
      </c>
      <c r="C323" s="3">
        <v>45972.431793981479</v>
      </c>
      <c r="D323" s="3">
        <v>45981</v>
      </c>
      <c r="E323" s="3">
        <v>45980.661956018521</v>
      </c>
      <c r="F323" s="6">
        <v>169.52999999999997</v>
      </c>
      <c r="G323">
        <f t="shared" ref="G323:G386" si="5">INT(E323)-INT(D323)</f>
        <v>-1</v>
      </c>
      <c r="H323" s="20">
        <v>8.2301620369999995</v>
      </c>
      <c r="I323" s="20">
        <v>0.33804398099999999</v>
      </c>
    </row>
    <row r="324" spans="1:9" ht="14.25" customHeight="1" x14ac:dyDescent="0.3">
      <c r="A324" s="2" t="s">
        <v>2952</v>
      </c>
      <c r="B324" s="2" t="s">
        <v>1943</v>
      </c>
      <c r="C324" s="3">
        <v>45973.051388888889</v>
      </c>
      <c r="D324" s="3">
        <v>45981</v>
      </c>
      <c r="E324" s="3">
        <v>45982.599212962959</v>
      </c>
      <c r="F324" s="6">
        <v>18.440000000000001</v>
      </c>
      <c r="G324">
        <f t="shared" si="5"/>
        <v>1</v>
      </c>
      <c r="H324" s="20">
        <v>9.5478240739999993</v>
      </c>
      <c r="I324" s="20">
        <v>-1.599212963</v>
      </c>
    </row>
    <row r="325" spans="1:9" ht="14.25" customHeight="1" x14ac:dyDescent="0.3">
      <c r="A325" s="2" t="s">
        <v>2953</v>
      </c>
      <c r="B325" s="2" t="s">
        <v>2508</v>
      </c>
      <c r="C325" s="3">
        <v>45974.72016203704</v>
      </c>
      <c r="D325" s="3">
        <v>45981</v>
      </c>
      <c r="E325" s="3">
        <v>45982.571458333332</v>
      </c>
      <c r="F325" s="6">
        <v>121.43</v>
      </c>
      <c r="G325">
        <f t="shared" si="5"/>
        <v>1</v>
      </c>
      <c r="H325" s="20">
        <v>7.8512962960000001</v>
      </c>
      <c r="I325" s="20">
        <v>-1.571458333</v>
      </c>
    </row>
    <row r="326" spans="1:9" ht="14.25" customHeight="1" x14ac:dyDescent="0.3">
      <c r="A326" s="2" t="s">
        <v>2954</v>
      </c>
      <c r="B326" s="2" t="s">
        <v>2051</v>
      </c>
      <c r="C326" s="3">
        <v>45974.750567129631</v>
      </c>
      <c r="D326" s="3">
        <v>45981</v>
      </c>
      <c r="E326" s="3">
        <v>45981.582175925927</v>
      </c>
      <c r="F326" s="6">
        <v>276.89</v>
      </c>
      <c r="G326">
        <f t="shared" si="5"/>
        <v>0</v>
      </c>
      <c r="H326" s="20">
        <v>6.8316087960000003</v>
      </c>
      <c r="I326" s="20">
        <v>-0.58217592600000001</v>
      </c>
    </row>
    <row r="327" spans="1:9" ht="14.25" customHeight="1" x14ac:dyDescent="0.3">
      <c r="A327" s="2" t="s">
        <v>2955</v>
      </c>
      <c r="B327" s="2" t="s">
        <v>2504</v>
      </c>
      <c r="C327" s="3">
        <v>45975.521192129629</v>
      </c>
      <c r="D327" s="3">
        <v>45981</v>
      </c>
      <c r="E327" s="3">
        <v>45981.427511574067</v>
      </c>
      <c r="F327" s="6">
        <v>228.7</v>
      </c>
      <c r="G327">
        <f t="shared" si="5"/>
        <v>0</v>
      </c>
      <c r="H327" s="20">
        <v>5.9063194440000002</v>
      </c>
      <c r="I327" s="20">
        <v>-0.42751157400000001</v>
      </c>
    </row>
    <row r="328" spans="1:9" ht="14.25" customHeight="1" x14ac:dyDescent="0.3">
      <c r="A328" s="2" t="s">
        <v>2956</v>
      </c>
      <c r="B328" s="2" t="s">
        <v>2203</v>
      </c>
      <c r="C328" s="3">
        <v>45975.872256944444</v>
      </c>
      <c r="D328" s="3">
        <v>45986</v>
      </c>
      <c r="E328" s="3">
        <v>45986.727893518517</v>
      </c>
      <c r="F328" s="6">
        <v>34.629999999999995</v>
      </c>
      <c r="G328">
        <f t="shared" si="5"/>
        <v>0</v>
      </c>
      <c r="H328" s="20">
        <v>10.85563657</v>
      </c>
      <c r="I328" s="20">
        <v>-0.72789351899999999</v>
      </c>
    </row>
    <row r="329" spans="1:9" ht="14.25" customHeight="1" x14ac:dyDescent="0.3">
      <c r="A329" s="2" t="s">
        <v>2957</v>
      </c>
      <c r="B329" s="2" t="s">
        <v>1814</v>
      </c>
      <c r="C329" s="3">
        <v>45977.284201388888</v>
      </c>
      <c r="D329" s="3">
        <v>45985</v>
      </c>
      <c r="E329" s="3">
        <v>45987.538981481477</v>
      </c>
      <c r="F329" s="6">
        <v>87.230000000000018</v>
      </c>
      <c r="G329">
        <f t="shared" si="5"/>
        <v>2</v>
      </c>
      <c r="H329" s="20">
        <v>10.254780090000001</v>
      </c>
      <c r="I329" s="20">
        <v>-2.538981481</v>
      </c>
    </row>
    <row r="330" spans="1:9" ht="14.25" customHeight="1" x14ac:dyDescent="0.3">
      <c r="A330" s="2" t="s">
        <v>2958</v>
      </c>
      <c r="B330" s="2" t="s">
        <v>2510</v>
      </c>
      <c r="C330" s="3">
        <v>45977.552939814806</v>
      </c>
      <c r="D330" s="3">
        <v>45981</v>
      </c>
      <c r="E330" s="3">
        <v>45981.384293981479</v>
      </c>
      <c r="F330" s="6">
        <v>43.98</v>
      </c>
      <c r="G330">
        <f t="shared" si="5"/>
        <v>0</v>
      </c>
      <c r="H330" s="20">
        <v>3.8313541670000002</v>
      </c>
      <c r="I330" s="20">
        <v>-0.38429398100000001</v>
      </c>
    </row>
    <row r="331" spans="1:9" ht="14.25" customHeight="1" x14ac:dyDescent="0.3">
      <c r="A331" s="2" t="s">
        <v>2959</v>
      </c>
      <c r="B331" s="2" t="s">
        <v>2149</v>
      </c>
      <c r="C331" s="3">
        <v>45978.163518518522</v>
      </c>
      <c r="D331" s="3">
        <v>45987</v>
      </c>
      <c r="E331" s="3">
        <v>45987.370578703703</v>
      </c>
      <c r="F331" s="6">
        <v>123.48</v>
      </c>
      <c r="G331">
        <f t="shared" si="5"/>
        <v>0</v>
      </c>
      <c r="H331" s="20">
        <v>9.2070601849999996</v>
      </c>
      <c r="I331" s="20">
        <v>-0.37057870399999998</v>
      </c>
    </row>
    <row r="332" spans="1:9" ht="14.25" customHeight="1" x14ac:dyDescent="0.3">
      <c r="A332" s="2" t="s">
        <v>2960</v>
      </c>
      <c r="B332" s="2" t="s">
        <v>1684</v>
      </c>
      <c r="C332" s="3">
        <v>45978.703333333331</v>
      </c>
      <c r="D332" s="3">
        <v>45989</v>
      </c>
      <c r="E332" s="3">
        <v>45991.444560185177</v>
      </c>
      <c r="F332" s="6">
        <v>144.94</v>
      </c>
      <c r="G332">
        <f t="shared" si="5"/>
        <v>2</v>
      </c>
      <c r="H332" s="20">
        <v>12.74122685</v>
      </c>
      <c r="I332" s="20">
        <v>-2.4445601849999998</v>
      </c>
    </row>
    <row r="333" spans="1:9" ht="14.25" customHeight="1" x14ac:dyDescent="0.3">
      <c r="A333" s="2" t="s">
        <v>2961</v>
      </c>
      <c r="B333" s="2" t="s">
        <v>1687</v>
      </c>
      <c r="C333" s="3">
        <v>45979.184398148151</v>
      </c>
      <c r="D333" s="3">
        <v>45989</v>
      </c>
      <c r="E333" s="3">
        <v>45989.687488425923</v>
      </c>
      <c r="F333" s="6">
        <v>164.45999999999998</v>
      </c>
      <c r="G333">
        <f t="shared" si="5"/>
        <v>0</v>
      </c>
      <c r="H333" s="20">
        <v>10.50309028</v>
      </c>
      <c r="I333" s="20">
        <v>-0.68748842600000004</v>
      </c>
    </row>
    <row r="334" spans="1:9" ht="14.25" customHeight="1" x14ac:dyDescent="0.3">
      <c r="A334" s="2" t="s">
        <v>2962</v>
      </c>
      <c r="B334" s="2" t="s">
        <v>1488</v>
      </c>
      <c r="C334" s="3">
        <v>45979.319745370369</v>
      </c>
      <c r="D334" s="3">
        <v>45993</v>
      </c>
      <c r="E334" s="3">
        <v>45994.336261574077</v>
      </c>
      <c r="F334" s="6">
        <v>179.73999999999998</v>
      </c>
      <c r="G334">
        <f t="shared" si="5"/>
        <v>1</v>
      </c>
      <c r="H334" s="20">
        <v>15.0165162</v>
      </c>
      <c r="I334" s="20">
        <v>-1.3362615739999999</v>
      </c>
    </row>
    <row r="335" spans="1:9" ht="14.25" customHeight="1" x14ac:dyDescent="0.3">
      <c r="A335" s="2" t="s">
        <v>2963</v>
      </c>
      <c r="B335" s="2" t="s">
        <v>1488</v>
      </c>
      <c r="C335" s="3">
        <v>45979.64371527778</v>
      </c>
      <c r="D335" s="3">
        <v>45983</v>
      </c>
      <c r="E335" s="3">
        <v>45984.459201388891</v>
      </c>
      <c r="F335" s="6">
        <v>102.19</v>
      </c>
      <c r="G335">
        <f t="shared" si="5"/>
        <v>1</v>
      </c>
      <c r="H335" s="20">
        <v>4.8154861110000002</v>
      </c>
      <c r="I335" s="20">
        <v>-1.459201389</v>
      </c>
    </row>
    <row r="336" spans="1:9" ht="14.25" customHeight="1" x14ac:dyDescent="0.3">
      <c r="A336" s="2" t="s">
        <v>2964</v>
      </c>
      <c r="B336" s="2" t="s">
        <v>1508</v>
      </c>
      <c r="C336" s="3">
        <v>45980.016342592593</v>
      </c>
      <c r="D336" s="3">
        <v>45985</v>
      </c>
      <c r="E336" s="3">
        <v>45984.384050925917</v>
      </c>
      <c r="F336" s="6">
        <v>32.169999999999995</v>
      </c>
      <c r="G336">
        <f t="shared" si="5"/>
        <v>-1</v>
      </c>
      <c r="H336" s="20">
        <v>4.3677083330000004</v>
      </c>
      <c r="I336" s="20">
        <v>0.61594907399999999</v>
      </c>
    </row>
    <row r="337" spans="1:9" ht="14.25" customHeight="1" x14ac:dyDescent="0.3">
      <c r="A337" s="2" t="s">
        <v>2965</v>
      </c>
      <c r="B337" s="2" t="s">
        <v>2415</v>
      </c>
      <c r="C337" s="3">
        <v>45980.234189814822</v>
      </c>
      <c r="D337" s="3">
        <v>45990</v>
      </c>
      <c r="E337" s="3">
        <v>45989.538969907408</v>
      </c>
      <c r="F337" s="6">
        <v>100.54</v>
      </c>
      <c r="G337">
        <f t="shared" si="5"/>
        <v>-1</v>
      </c>
      <c r="H337" s="20">
        <v>9.3047800929999998</v>
      </c>
      <c r="I337" s="20">
        <v>0.46103009299999997</v>
      </c>
    </row>
    <row r="338" spans="1:9" ht="14.25" customHeight="1" x14ac:dyDescent="0.3">
      <c r="A338" s="2" t="s">
        <v>2966</v>
      </c>
      <c r="B338" s="2" t="s">
        <v>1751</v>
      </c>
      <c r="C338" s="3">
        <v>45980.472407407397</v>
      </c>
      <c r="D338" s="3">
        <v>45994</v>
      </c>
      <c r="E338" s="3">
        <v>45994.459236111114</v>
      </c>
      <c r="F338" s="6">
        <v>50.3</v>
      </c>
      <c r="G338">
        <f t="shared" si="5"/>
        <v>0</v>
      </c>
      <c r="H338" s="20">
        <v>13.9868287</v>
      </c>
      <c r="I338" s="20">
        <v>-0.459236111</v>
      </c>
    </row>
    <row r="339" spans="1:9" ht="14.25" customHeight="1" x14ac:dyDescent="0.3">
      <c r="A339" s="2" t="s">
        <v>2967</v>
      </c>
      <c r="B339" s="2" t="s">
        <v>2016</v>
      </c>
      <c r="C339" s="3">
        <v>45980.871423611112</v>
      </c>
      <c r="D339" s="3">
        <v>45987</v>
      </c>
      <c r="E339" s="3">
        <v>45987.458344907413</v>
      </c>
      <c r="F339" s="6">
        <v>135.06</v>
      </c>
      <c r="G339">
        <f t="shared" si="5"/>
        <v>0</v>
      </c>
      <c r="H339" s="20">
        <v>6.5869212959999999</v>
      </c>
      <c r="I339" s="20">
        <v>-0.45834490700000002</v>
      </c>
    </row>
    <row r="340" spans="1:9" ht="14.25" customHeight="1" x14ac:dyDescent="0.3">
      <c r="A340" s="2" t="s">
        <v>2968</v>
      </c>
      <c r="B340" s="2" t="s">
        <v>1535</v>
      </c>
      <c r="C340" s="3">
        <v>45981.238680555558</v>
      </c>
      <c r="D340" s="3">
        <v>45989</v>
      </c>
      <c r="E340" s="3">
        <v>45988.68917824074</v>
      </c>
      <c r="F340" s="6">
        <v>284.41000000000003</v>
      </c>
      <c r="G340">
        <f t="shared" si="5"/>
        <v>-1</v>
      </c>
      <c r="H340" s="20">
        <v>7.4504976850000002</v>
      </c>
      <c r="I340" s="20">
        <v>0.31082175899999998</v>
      </c>
    </row>
    <row r="341" spans="1:9" ht="14.25" customHeight="1" x14ac:dyDescent="0.3">
      <c r="A341" s="2" t="s">
        <v>2969</v>
      </c>
      <c r="B341" s="2" t="s">
        <v>1731</v>
      </c>
      <c r="C341" s="3">
        <v>45981.804814814823</v>
      </c>
      <c r="D341" s="3">
        <v>45986</v>
      </c>
      <c r="E341" s="3">
        <v>45987.531770833331</v>
      </c>
      <c r="F341" s="6">
        <v>108.28</v>
      </c>
      <c r="G341">
        <f t="shared" si="5"/>
        <v>1</v>
      </c>
      <c r="H341" s="20">
        <v>5.7269560190000002</v>
      </c>
      <c r="I341" s="20">
        <v>-1.5317708329999999</v>
      </c>
    </row>
    <row r="342" spans="1:9" ht="14.25" customHeight="1" x14ac:dyDescent="0.3">
      <c r="A342" s="2" t="s">
        <v>2970</v>
      </c>
      <c r="B342" s="2" t="s">
        <v>2520</v>
      </c>
      <c r="C342" s="3">
        <v>45983.063668981478</v>
      </c>
      <c r="D342" s="3">
        <v>45994</v>
      </c>
      <c r="E342" s="3">
        <v>45994.594814814824</v>
      </c>
      <c r="F342" s="6">
        <v>6.88</v>
      </c>
      <c r="G342">
        <f t="shared" si="5"/>
        <v>0</v>
      </c>
      <c r="H342" s="20">
        <v>11.53114583</v>
      </c>
      <c r="I342" s="20">
        <v>-0.594814815</v>
      </c>
    </row>
    <row r="343" spans="1:9" ht="14.25" customHeight="1" x14ac:dyDescent="0.3">
      <c r="A343" s="2" t="s">
        <v>2971</v>
      </c>
      <c r="B343" s="2" t="s">
        <v>1545</v>
      </c>
      <c r="C343" s="3">
        <v>45983.805277777778</v>
      </c>
      <c r="D343" s="3">
        <v>45990</v>
      </c>
      <c r="E343" s="3">
        <v>45990.437615740739</v>
      </c>
      <c r="F343" s="6">
        <v>37.119999999999997</v>
      </c>
      <c r="G343">
        <f t="shared" si="5"/>
        <v>0</v>
      </c>
      <c r="H343" s="20">
        <v>6.6323379630000003</v>
      </c>
      <c r="I343" s="20">
        <v>-0.437615741</v>
      </c>
    </row>
    <row r="344" spans="1:9" ht="14.25" customHeight="1" x14ac:dyDescent="0.3">
      <c r="A344" s="2" t="s">
        <v>2972</v>
      </c>
      <c r="B344" s="2" t="s">
        <v>2237</v>
      </c>
      <c r="C344" s="3">
        <v>45984.31449074074</v>
      </c>
      <c r="D344" s="3">
        <v>45992</v>
      </c>
      <c r="E344" s="3">
        <v>45991.431481481479</v>
      </c>
      <c r="F344" s="6">
        <v>60.68</v>
      </c>
      <c r="G344">
        <f t="shared" si="5"/>
        <v>-1</v>
      </c>
      <c r="H344" s="20">
        <v>7.1169907410000004</v>
      </c>
      <c r="I344" s="20">
        <v>0.56851851900000006</v>
      </c>
    </row>
    <row r="345" spans="1:9" ht="14.25" customHeight="1" x14ac:dyDescent="0.3">
      <c r="A345" s="2" t="s">
        <v>2973</v>
      </c>
      <c r="B345" s="2" t="s">
        <v>2274</v>
      </c>
      <c r="C345" s="3">
        <v>45984.71533564815</v>
      </c>
      <c r="D345" s="3">
        <v>45993</v>
      </c>
      <c r="E345" s="3">
        <v>45993.714756944442</v>
      </c>
      <c r="F345" s="6">
        <v>26.810000000000002</v>
      </c>
      <c r="G345">
        <f t="shared" si="5"/>
        <v>0</v>
      </c>
      <c r="H345" s="20">
        <v>8.9994212959999995</v>
      </c>
      <c r="I345" s="20">
        <v>-0.71475694400000001</v>
      </c>
    </row>
    <row r="346" spans="1:9" ht="14.25" customHeight="1" x14ac:dyDescent="0.3">
      <c r="A346" s="2" t="s">
        <v>2974</v>
      </c>
      <c r="B346" s="2" t="s">
        <v>2099</v>
      </c>
      <c r="C346" s="3">
        <v>45985.357893518521</v>
      </c>
      <c r="D346" s="3">
        <v>45997</v>
      </c>
      <c r="E346" s="3">
        <v>45996.55909722222</v>
      </c>
      <c r="F346" s="6">
        <v>130.78</v>
      </c>
      <c r="G346">
        <f t="shared" si="5"/>
        <v>-1</v>
      </c>
      <c r="H346" s="20">
        <v>11.201203700000001</v>
      </c>
      <c r="I346" s="20">
        <v>0.440902778</v>
      </c>
    </row>
    <row r="347" spans="1:9" ht="14.25" customHeight="1" x14ac:dyDescent="0.3">
      <c r="A347" s="2" t="s">
        <v>2975</v>
      </c>
      <c r="B347" s="2" t="s">
        <v>1684</v>
      </c>
      <c r="C347" s="3">
        <v>45985.489606481482</v>
      </c>
      <c r="D347" s="3">
        <v>45995</v>
      </c>
      <c r="E347" s="3">
        <v>45995.630474537043</v>
      </c>
      <c r="F347" s="6">
        <v>99.19</v>
      </c>
      <c r="G347">
        <f t="shared" si="5"/>
        <v>0</v>
      </c>
      <c r="H347" s="20">
        <v>10.140868060000001</v>
      </c>
      <c r="I347" s="20">
        <v>-0.630474537</v>
      </c>
    </row>
    <row r="348" spans="1:9" ht="14.25" customHeight="1" x14ac:dyDescent="0.3">
      <c r="A348" s="2" t="s">
        <v>2976</v>
      </c>
      <c r="B348" s="2" t="s">
        <v>1874</v>
      </c>
      <c r="C348" s="3">
        <v>45985.696504629632</v>
      </c>
      <c r="D348" s="3">
        <v>45993</v>
      </c>
      <c r="E348" s="3">
        <v>45993.433634259258</v>
      </c>
      <c r="F348" s="6">
        <v>167.72</v>
      </c>
      <c r="G348">
        <f t="shared" si="5"/>
        <v>0</v>
      </c>
      <c r="H348" s="20">
        <v>7.7371296300000001</v>
      </c>
      <c r="I348" s="20">
        <v>-0.43363425900000002</v>
      </c>
    </row>
    <row r="349" spans="1:9" ht="14.25" customHeight="1" x14ac:dyDescent="0.3">
      <c r="A349" s="2" t="s">
        <v>2977</v>
      </c>
      <c r="B349" s="2" t="s">
        <v>1470</v>
      </c>
      <c r="C349" s="3">
        <v>45987.635578703703</v>
      </c>
      <c r="D349" s="3">
        <v>45994</v>
      </c>
      <c r="E349" s="3">
        <v>45994.406909722216</v>
      </c>
      <c r="F349" s="6">
        <v>27.090000000000003</v>
      </c>
      <c r="G349">
        <f t="shared" si="5"/>
        <v>0</v>
      </c>
      <c r="H349" s="20">
        <v>6.7713310189999998</v>
      </c>
      <c r="I349" s="20">
        <v>-0.40690972199999997</v>
      </c>
    </row>
    <row r="350" spans="1:9" ht="14.25" customHeight="1" x14ac:dyDescent="0.3">
      <c r="A350" s="2" t="s">
        <v>2978</v>
      </c>
      <c r="B350" s="2" t="s">
        <v>2525</v>
      </c>
      <c r="C350" s="3">
        <v>45988.100081018521</v>
      </c>
      <c r="D350" s="3">
        <v>45994</v>
      </c>
      <c r="E350" s="3">
        <v>45995.433310185188</v>
      </c>
      <c r="F350" s="6">
        <v>59.989999999999995</v>
      </c>
      <c r="G350">
        <f t="shared" si="5"/>
        <v>1</v>
      </c>
      <c r="H350" s="20">
        <v>7.3332291669999998</v>
      </c>
      <c r="I350" s="20">
        <v>-1.4333101850000001</v>
      </c>
    </row>
    <row r="351" spans="1:9" ht="14.25" customHeight="1" x14ac:dyDescent="0.3">
      <c r="A351" s="2" t="s">
        <v>2979</v>
      </c>
      <c r="B351" s="2" t="s">
        <v>1896</v>
      </c>
      <c r="C351" s="3">
        <v>45988.302754629629</v>
      </c>
      <c r="D351" s="3">
        <v>45999</v>
      </c>
      <c r="E351" s="3">
        <v>45999.749224537038</v>
      </c>
      <c r="F351" s="6">
        <v>31.28</v>
      </c>
      <c r="G351">
        <f t="shared" si="5"/>
        <v>0</v>
      </c>
      <c r="H351" s="20">
        <v>11.446469909999999</v>
      </c>
      <c r="I351" s="20">
        <v>-0.74922453700000002</v>
      </c>
    </row>
    <row r="352" spans="1:9" ht="14.25" customHeight="1" x14ac:dyDescent="0.3">
      <c r="A352" s="2" t="s">
        <v>2980</v>
      </c>
      <c r="B352" s="2" t="s">
        <v>2301</v>
      </c>
      <c r="C352" s="3">
        <v>45988.357557870368</v>
      </c>
      <c r="D352" s="3">
        <v>45996</v>
      </c>
      <c r="E352" s="3">
        <v>45996.514351851853</v>
      </c>
      <c r="F352" s="6">
        <v>207.82</v>
      </c>
      <c r="G352">
        <f t="shared" si="5"/>
        <v>0</v>
      </c>
      <c r="H352" s="20">
        <v>8.1567939809999999</v>
      </c>
      <c r="I352" s="20">
        <v>-0.514351852</v>
      </c>
    </row>
    <row r="353" spans="1:9" ht="14.25" customHeight="1" x14ac:dyDescent="0.3">
      <c r="A353" s="2" t="s">
        <v>2981</v>
      </c>
      <c r="B353" s="2" t="s">
        <v>2522</v>
      </c>
      <c r="C353" s="3">
        <v>45988.376250000001</v>
      </c>
      <c r="D353" s="3">
        <v>45995</v>
      </c>
      <c r="E353" s="3">
        <v>45997.337141203701</v>
      </c>
      <c r="F353" s="6">
        <v>4.9399999999999995</v>
      </c>
      <c r="G353">
        <f t="shared" si="5"/>
        <v>2</v>
      </c>
      <c r="H353" s="20">
        <v>8.9608912039999993</v>
      </c>
      <c r="I353" s="20">
        <v>-2.3371412039999999</v>
      </c>
    </row>
    <row r="354" spans="1:9" ht="14.25" customHeight="1" x14ac:dyDescent="0.3">
      <c r="A354" s="2" t="s">
        <v>2982</v>
      </c>
      <c r="B354" s="2" t="s">
        <v>2527</v>
      </c>
      <c r="C354" s="3">
        <v>45988.900717592587</v>
      </c>
      <c r="D354" s="3">
        <v>45998</v>
      </c>
      <c r="E354" s="3">
        <v>45997.529467592591</v>
      </c>
      <c r="F354" s="6">
        <v>72.28</v>
      </c>
      <c r="G354">
        <f t="shared" si="5"/>
        <v>-1</v>
      </c>
      <c r="H354" s="20">
        <v>8.6287500000000001</v>
      </c>
      <c r="I354" s="20">
        <v>0.47053240699999999</v>
      </c>
    </row>
    <row r="355" spans="1:9" ht="14.25" customHeight="1" x14ac:dyDescent="0.3">
      <c r="A355" s="2" t="s">
        <v>2983</v>
      </c>
      <c r="B355" s="2" t="s">
        <v>1761</v>
      </c>
      <c r="C355" s="3">
        <v>45989.262303240743</v>
      </c>
      <c r="D355" s="3">
        <v>45998</v>
      </c>
      <c r="E355" s="3">
        <v>45999.611921296288</v>
      </c>
      <c r="F355" s="6">
        <v>73.72</v>
      </c>
      <c r="G355">
        <f t="shared" si="5"/>
        <v>1</v>
      </c>
      <c r="H355" s="20">
        <v>10.349618059999999</v>
      </c>
      <c r="I355" s="20">
        <v>-1.611921296</v>
      </c>
    </row>
    <row r="356" spans="1:9" ht="14.25" customHeight="1" x14ac:dyDescent="0.3">
      <c r="A356" s="2" t="s">
        <v>2984</v>
      </c>
      <c r="B356" s="2" t="s">
        <v>1497</v>
      </c>
      <c r="C356" s="3">
        <v>45989.87232638889</v>
      </c>
      <c r="D356" s="3">
        <v>46002</v>
      </c>
      <c r="E356" s="3">
        <v>46001.46769675926</v>
      </c>
      <c r="F356" s="6">
        <v>75.179999999999993</v>
      </c>
      <c r="G356">
        <f t="shared" si="5"/>
        <v>-1</v>
      </c>
      <c r="H356" s="20">
        <v>11.595370369999999</v>
      </c>
      <c r="I356" s="20">
        <v>0.53230324100000004</v>
      </c>
    </row>
    <row r="357" spans="1:9" ht="14.25" customHeight="1" x14ac:dyDescent="0.3">
      <c r="A357" s="2" t="s">
        <v>2985</v>
      </c>
      <c r="B357" s="2" t="s">
        <v>2529</v>
      </c>
      <c r="C357" s="3">
        <v>45989.998287037037</v>
      </c>
      <c r="D357" s="3">
        <v>45997</v>
      </c>
      <c r="E357" s="3">
        <v>45996.717766203707</v>
      </c>
      <c r="F357" s="6">
        <v>53.96</v>
      </c>
      <c r="G357">
        <f t="shared" si="5"/>
        <v>-1</v>
      </c>
      <c r="H357" s="20">
        <v>6.7194791670000003</v>
      </c>
      <c r="I357" s="20">
        <v>0.28223379599999998</v>
      </c>
    </row>
    <row r="358" spans="1:9" ht="14.25" customHeight="1" x14ac:dyDescent="0.3">
      <c r="A358" s="2" t="s">
        <v>2986</v>
      </c>
      <c r="B358" s="2" t="s">
        <v>1548</v>
      </c>
      <c r="C358" s="3">
        <v>45990.405752314808</v>
      </c>
      <c r="D358" s="3">
        <v>45999</v>
      </c>
      <c r="E358" s="3">
        <v>45999.601493055547</v>
      </c>
      <c r="F358" s="6">
        <v>49.54</v>
      </c>
      <c r="G358">
        <f t="shared" si="5"/>
        <v>0</v>
      </c>
      <c r="H358" s="20">
        <v>9.1957407409999998</v>
      </c>
      <c r="I358" s="20">
        <v>-0.60149305600000003</v>
      </c>
    </row>
    <row r="359" spans="1:9" ht="14.25" customHeight="1" x14ac:dyDescent="0.3">
      <c r="A359" s="2" t="s">
        <v>2987</v>
      </c>
      <c r="B359" s="2" t="s">
        <v>2058</v>
      </c>
      <c r="C359" s="3">
        <v>45990.672534722216</v>
      </c>
      <c r="D359" s="3">
        <v>45999</v>
      </c>
      <c r="E359" s="3">
        <v>45999.475821759261</v>
      </c>
      <c r="F359" s="6">
        <v>31.990000000000002</v>
      </c>
      <c r="G359">
        <f t="shared" si="5"/>
        <v>0</v>
      </c>
      <c r="H359" s="20">
        <v>8.8032870370000005</v>
      </c>
      <c r="I359" s="20">
        <v>-0.47582175900000001</v>
      </c>
    </row>
    <row r="360" spans="1:9" ht="14.25" customHeight="1" x14ac:dyDescent="0.3">
      <c r="A360" s="2" t="s">
        <v>2988</v>
      </c>
      <c r="B360" s="2" t="s">
        <v>2144</v>
      </c>
      <c r="C360" s="3">
        <v>45991.053564814807</v>
      </c>
      <c r="D360" s="3">
        <v>45999</v>
      </c>
      <c r="E360" s="3">
        <v>45998.67</v>
      </c>
      <c r="F360" s="6">
        <v>26.92</v>
      </c>
      <c r="G360">
        <f t="shared" si="5"/>
        <v>-1</v>
      </c>
      <c r="H360" s="20">
        <v>7.6164351850000003</v>
      </c>
      <c r="I360" s="20">
        <v>0.33</v>
      </c>
    </row>
    <row r="361" spans="1:9" ht="14.25" customHeight="1" x14ac:dyDescent="0.3">
      <c r="A361" s="2" t="s">
        <v>2989</v>
      </c>
      <c r="B361" s="2" t="s">
        <v>2116</v>
      </c>
      <c r="C361" s="3">
        <v>45992.732210648152</v>
      </c>
      <c r="D361" s="3">
        <v>46002</v>
      </c>
      <c r="E361" s="3">
        <v>46004.62804398148</v>
      </c>
      <c r="F361" s="6">
        <v>182.63</v>
      </c>
      <c r="G361">
        <f t="shared" si="5"/>
        <v>2</v>
      </c>
      <c r="H361" s="20">
        <v>11.89583333</v>
      </c>
      <c r="I361" s="20">
        <v>-2.6280439809999998</v>
      </c>
    </row>
    <row r="362" spans="1:9" ht="14.25" customHeight="1" x14ac:dyDescent="0.3">
      <c r="A362" s="2" t="s">
        <v>2990</v>
      </c>
      <c r="B362" s="2" t="s">
        <v>2525</v>
      </c>
      <c r="C362" s="3">
        <v>45992.829467592594</v>
      </c>
      <c r="D362" s="3">
        <v>46001</v>
      </c>
      <c r="E362" s="3">
        <v>46002.483761574083</v>
      </c>
      <c r="F362" s="6">
        <v>66.89</v>
      </c>
      <c r="G362">
        <f t="shared" si="5"/>
        <v>1</v>
      </c>
      <c r="H362" s="20">
        <v>9.6542939810000004</v>
      </c>
      <c r="I362" s="20">
        <v>-1.4837615740000001</v>
      </c>
    </row>
    <row r="363" spans="1:9" ht="14.25" customHeight="1" x14ac:dyDescent="0.3">
      <c r="A363" s="2" t="s">
        <v>2991</v>
      </c>
      <c r="B363" s="2" t="s">
        <v>1493</v>
      </c>
      <c r="C363" s="3">
        <v>45993.043171296304</v>
      </c>
      <c r="D363" s="3">
        <v>46001</v>
      </c>
      <c r="E363" s="3">
        <v>46000.367037037038</v>
      </c>
      <c r="F363" s="6">
        <v>51.75</v>
      </c>
      <c r="G363">
        <f t="shared" si="5"/>
        <v>-1</v>
      </c>
      <c r="H363" s="20">
        <v>7.3238657409999997</v>
      </c>
      <c r="I363" s="20">
        <v>0.63296296299999999</v>
      </c>
    </row>
    <row r="364" spans="1:9" ht="14.25" customHeight="1" x14ac:dyDescent="0.3">
      <c r="A364" s="2" t="s">
        <v>2992</v>
      </c>
      <c r="B364" s="2" t="s">
        <v>1519</v>
      </c>
      <c r="C364" s="3">
        <v>45993.622974537036</v>
      </c>
      <c r="D364" s="3">
        <v>45997</v>
      </c>
      <c r="E364" s="3">
        <v>45998.493784722217</v>
      </c>
      <c r="F364" s="6">
        <v>58.51</v>
      </c>
      <c r="G364">
        <f t="shared" si="5"/>
        <v>1</v>
      </c>
      <c r="H364" s="20">
        <v>4.8708101849999998</v>
      </c>
      <c r="I364" s="20">
        <v>-1.493784722</v>
      </c>
    </row>
    <row r="365" spans="1:9" ht="14.25" customHeight="1" x14ac:dyDescent="0.3">
      <c r="A365" s="2" t="s">
        <v>2993</v>
      </c>
      <c r="B365" s="2" t="s">
        <v>1880</v>
      </c>
      <c r="C365" s="3">
        <v>45994.22488425926</v>
      </c>
      <c r="D365" s="3">
        <v>46005</v>
      </c>
      <c r="E365" s="3">
        <v>46004.709305555552</v>
      </c>
      <c r="F365" s="6">
        <v>43.1</v>
      </c>
      <c r="G365">
        <f t="shared" si="5"/>
        <v>-1</v>
      </c>
      <c r="H365" s="20">
        <v>10.484421299999999</v>
      </c>
      <c r="I365" s="20">
        <v>0.290694444</v>
      </c>
    </row>
    <row r="366" spans="1:9" ht="14.25" customHeight="1" x14ac:dyDescent="0.3">
      <c r="A366" s="2" t="s">
        <v>2994</v>
      </c>
      <c r="B366" s="2" t="s">
        <v>1556</v>
      </c>
      <c r="C366" s="3">
        <v>45995.98709490741</v>
      </c>
      <c r="D366" s="3">
        <v>46002</v>
      </c>
      <c r="E366" s="3">
        <v>46002.516932870371</v>
      </c>
      <c r="F366" s="6">
        <v>161.51</v>
      </c>
      <c r="G366">
        <f t="shared" si="5"/>
        <v>0</v>
      </c>
      <c r="H366" s="20">
        <v>6.5298379630000003</v>
      </c>
      <c r="I366" s="20">
        <v>-0.51693286999999999</v>
      </c>
    </row>
    <row r="367" spans="1:9" ht="14.25" customHeight="1" x14ac:dyDescent="0.3">
      <c r="A367" s="2" t="s">
        <v>2995</v>
      </c>
      <c r="B367" s="2" t="s">
        <v>1950</v>
      </c>
      <c r="C367" s="3">
        <v>45996.101574074077</v>
      </c>
      <c r="D367" s="3">
        <v>46003</v>
      </c>
      <c r="E367" s="3">
        <v>46003.519409722219</v>
      </c>
      <c r="F367" s="6">
        <v>137.06</v>
      </c>
      <c r="G367">
        <f t="shared" si="5"/>
        <v>0</v>
      </c>
      <c r="H367" s="20">
        <v>7.4178356479999996</v>
      </c>
      <c r="I367" s="20">
        <v>-0.51940972200000002</v>
      </c>
    </row>
    <row r="368" spans="1:9" ht="14.25" customHeight="1" x14ac:dyDescent="0.3">
      <c r="A368" s="2" t="s">
        <v>2996</v>
      </c>
      <c r="B368" s="2" t="s">
        <v>2056</v>
      </c>
      <c r="C368" s="3">
        <v>45996.421724537038</v>
      </c>
      <c r="D368" s="3">
        <v>46004</v>
      </c>
      <c r="E368" s="3">
        <v>46005.591273148151</v>
      </c>
      <c r="F368" s="6">
        <v>67.680000000000007</v>
      </c>
      <c r="G368">
        <f t="shared" si="5"/>
        <v>1</v>
      </c>
      <c r="H368" s="20">
        <v>9.1695486109999997</v>
      </c>
      <c r="I368" s="20">
        <v>-1.591273148</v>
      </c>
    </row>
    <row r="369" spans="1:9" ht="14.25" customHeight="1" x14ac:dyDescent="0.3">
      <c r="A369" s="2" t="s">
        <v>2997</v>
      </c>
      <c r="B369" s="2" t="s">
        <v>2116</v>
      </c>
      <c r="C369" s="3">
        <v>45996.907800925917</v>
      </c>
      <c r="D369" s="3">
        <v>46005</v>
      </c>
      <c r="E369" s="3">
        <v>46006.500833333332</v>
      </c>
      <c r="F369" s="6">
        <v>102.25</v>
      </c>
      <c r="G369">
        <f t="shared" si="5"/>
        <v>1</v>
      </c>
      <c r="H369" s="20">
        <v>9.5930324070000008</v>
      </c>
      <c r="I369" s="20">
        <v>-1.5008333330000001</v>
      </c>
    </row>
    <row r="370" spans="1:9" ht="14.25" customHeight="1" x14ac:dyDescent="0.3">
      <c r="A370" s="2" t="s">
        <v>2998</v>
      </c>
      <c r="B370" s="2" t="s">
        <v>2539</v>
      </c>
      <c r="C370" s="3">
        <v>45998.099745370368</v>
      </c>
      <c r="D370" s="3">
        <v>46005</v>
      </c>
      <c r="E370" s="3">
        <v>46005.469618055547</v>
      </c>
      <c r="F370" s="6">
        <v>116.91000000000001</v>
      </c>
      <c r="G370">
        <f t="shared" si="5"/>
        <v>0</v>
      </c>
      <c r="H370" s="20">
        <v>7.3698726849999998</v>
      </c>
      <c r="I370" s="20">
        <v>-0.46961805600000001</v>
      </c>
    </row>
    <row r="371" spans="1:9" ht="14.25" customHeight="1" x14ac:dyDescent="0.3">
      <c r="A371" s="2" t="s">
        <v>2999</v>
      </c>
      <c r="B371" s="2" t="s">
        <v>1684</v>
      </c>
      <c r="C371" s="3">
        <v>45998.736712962957</v>
      </c>
      <c r="D371" s="3">
        <v>46010</v>
      </c>
      <c r="E371" s="3">
        <v>46009.618773148148</v>
      </c>
      <c r="F371" s="6">
        <v>48.57</v>
      </c>
      <c r="G371">
        <f t="shared" si="5"/>
        <v>-1</v>
      </c>
      <c r="H371" s="20">
        <v>10.882060190000001</v>
      </c>
      <c r="I371" s="20">
        <v>0.381226852</v>
      </c>
    </row>
    <row r="372" spans="1:9" ht="14.25" customHeight="1" x14ac:dyDescent="0.3">
      <c r="A372" s="2" t="s">
        <v>3000</v>
      </c>
      <c r="B372" s="2" t="s">
        <v>2434</v>
      </c>
      <c r="C372" s="3">
        <v>45999.083819444437</v>
      </c>
      <c r="D372" s="3">
        <v>46007</v>
      </c>
      <c r="E372" s="3">
        <v>46007.341770833344</v>
      </c>
      <c r="F372" s="6">
        <v>68.22999999999999</v>
      </c>
      <c r="G372">
        <f t="shared" si="5"/>
        <v>0</v>
      </c>
      <c r="H372" s="20">
        <v>8.2579513890000005</v>
      </c>
      <c r="I372" s="20">
        <v>-0.341770833</v>
      </c>
    </row>
    <row r="373" spans="1:9" ht="14.25" customHeight="1" x14ac:dyDescent="0.3">
      <c r="A373" s="2" t="s">
        <v>3001</v>
      </c>
      <c r="B373" s="2" t="s">
        <v>2094</v>
      </c>
      <c r="C373" s="3">
        <v>45999.804409722223</v>
      </c>
      <c r="D373" s="3">
        <v>46004</v>
      </c>
      <c r="E373" s="3">
        <v>46004.591111111113</v>
      </c>
      <c r="F373" s="6">
        <v>91.320000000000007</v>
      </c>
      <c r="G373">
        <f t="shared" si="5"/>
        <v>0</v>
      </c>
      <c r="H373" s="20">
        <v>4.7867013890000001</v>
      </c>
      <c r="I373" s="20">
        <v>-0.59111111100000002</v>
      </c>
    </row>
    <row r="374" spans="1:9" ht="14.25" customHeight="1" x14ac:dyDescent="0.3">
      <c r="A374" s="2" t="s">
        <v>3002</v>
      </c>
      <c r="B374" s="2" t="s">
        <v>1515</v>
      </c>
      <c r="C374" s="3">
        <v>46000.11146990741</v>
      </c>
      <c r="D374" s="3">
        <v>46012</v>
      </c>
      <c r="E374" s="3">
        <v>46011.748483796298</v>
      </c>
      <c r="F374" s="6">
        <v>78.23</v>
      </c>
      <c r="G374">
        <f t="shared" si="5"/>
        <v>-1</v>
      </c>
      <c r="H374" s="20">
        <v>11.63701389</v>
      </c>
      <c r="I374" s="20">
        <v>0.25151620400000002</v>
      </c>
    </row>
    <row r="375" spans="1:9" ht="14.25" customHeight="1" x14ac:dyDescent="0.3">
      <c r="A375" s="2" t="s">
        <v>3003</v>
      </c>
      <c r="B375" s="2" t="s">
        <v>1545</v>
      </c>
      <c r="C375" s="3">
        <v>46000.713310185187</v>
      </c>
      <c r="D375" s="3">
        <v>46009</v>
      </c>
      <c r="E375" s="3">
        <v>46009.726365740738</v>
      </c>
      <c r="F375" s="6">
        <v>22.96</v>
      </c>
      <c r="G375">
        <f t="shared" si="5"/>
        <v>0</v>
      </c>
      <c r="H375" s="20">
        <v>9.0130555559999994</v>
      </c>
      <c r="I375" s="20">
        <v>-0.72636574099999995</v>
      </c>
    </row>
    <row r="376" spans="1:9" ht="14.25" customHeight="1" x14ac:dyDescent="0.3">
      <c r="A376" s="2" t="s">
        <v>3004</v>
      </c>
      <c r="B376" s="2" t="s">
        <v>1566</v>
      </c>
      <c r="C376" s="3">
        <v>46001.673819444448</v>
      </c>
      <c r="D376" s="3">
        <v>46008</v>
      </c>
      <c r="E376" s="3">
        <v>46008.400150462963</v>
      </c>
      <c r="F376" s="6">
        <v>21.650000000000002</v>
      </c>
      <c r="G376">
        <f t="shared" si="5"/>
        <v>0</v>
      </c>
      <c r="H376" s="20">
        <v>6.7263310189999999</v>
      </c>
      <c r="I376" s="20">
        <v>-0.40015046300000001</v>
      </c>
    </row>
    <row r="377" spans="1:9" ht="14.25" customHeight="1" x14ac:dyDescent="0.3">
      <c r="A377" s="2" t="s">
        <v>3005</v>
      </c>
      <c r="B377" s="2" t="s">
        <v>1584</v>
      </c>
      <c r="C377" s="3">
        <v>46002.254108796304</v>
      </c>
      <c r="D377" s="3">
        <v>46011</v>
      </c>
      <c r="E377" s="3">
        <v>46011.62122685185</v>
      </c>
      <c r="F377" s="6">
        <v>42.629999999999995</v>
      </c>
      <c r="G377">
        <f t="shared" si="5"/>
        <v>0</v>
      </c>
      <c r="H377" s="20">
        <v>9.3671180560000007</v>
      </c>
      <c r="I377" s="20">
        <v>-0.62122685200000005</v>
      </c>
    </row>
    <row r="378" spans="1:9" ht="14.25" customHeight="1" x14ac:dyDescent="0.3">
      <c r="A378" s="2" t="s">
        <v>3006</v>
      </c>
      <c r="B378" s="2" t="s">
        <v>1845</v>
      </c>
      <c r="C378" s="3">
        <v>46002.471030092587</v>
      </c>
      <c r="D378" s="3">
        <v>46007</v>
      </c>
      <c r="E378" s="3">
        <v>46007.404629629629</v>
      </c>
      <c r="F378" s="6">
        <v>151.14000000000001</v>
      </c>
      <c r="G378">
        <f t="shared" si="5"/>
        <v>0</v>
      </c>
      <c r="H378" s="20">
        <v>4.9335995370000001</v>
      </c>
      <c r="I378" s="20">
        <v>-0.40462963000000002</v>
      </c>
    </row>
    <row r="379" spans="1:9" ht="14.25" customHeight="1" x14ac:dyDescent="0.3">
      <c r="A379" s="2" t="s">
        <v>3007</v>
      </c>
      <c r="B379" s="2" t="s">
        <v>1606</v>
      </c>
      <c r="C379" s="3">
        <v>46002.571539351848</v>
      </c>
      <c r="D379" s="3">
        <v>46004</v>
      </c>
      <c r="E379" s="3">
        <v>46004.536053240743</v>
      </c>
      <c r="F379" s="6">
        <v>13.65</v>
      </c>
      <c r="G379">
        <f t="shared" si="5"/>
        <v>0</v>
      </c>
      <c r="H379" s="20">
        <v>1.964513889</v>
      </c>
      <c r="I379" s="20">
        <v>-0.53605324099999996</v>
      </c>
    </row>
    <row r="380" spans="1:9" ht="14.25" customHeight="1" x14ac:dyDescent="0.3">
      <c r="A380" s="2" t="s">
        <v>3008</v>
      </c>
      <c r="B380" s="2" t="s">
        <v>1479</v>
      </c>
      <c r="C380" s="3">
        <v>46002.985891203702</v>
      </c>
      <c r="D380" s="3">
        <v>46008</v>
      </c>
      <c r="E380" s="3">
        <v>46009.69636574074</v>
      </c>
      <c r="F380" s="6">
        <v>0</v>
      </c>
      <c r="G380">
        <f t="shared" si="5"/>
        <v>1</v>
      </c>
      <c r="H380" s="20">
        <v>6.7104745369999996</v>
      </c>
      <c r="I380" s="20">
        <v>-1.6963657409999999</v>
      </c>
    </row>
    <row r="381" spans="1:9" ht="14.25" customHeight="1" x14ac:dyDescent="0.3">
      <c r="A381" s="2" t="s">
        <v>3009</v>
      </c>
      <c r="B381" s="2" t="s">
        <v>2101</v>
      </c>
      <c r="C381" s="3">
        <v>46004.845694444448</v>
      </c>
      <c r="D381" s="3">
        <v>46014</v>
      </c>
      <c r="E381" s="3">
        <v>46018.55265046296</v>
      </c>
      <c r="F381" s="6">
        <v>205.13</v>
      </c>
      <c r="G381">
        <f t="shared" si="5"/>
        <v>4</v>
      </c>
      <c r="H381" s="20">
        <v>13.70695602</v>
      </c>
      <c r="I381" s="20">
        <v>-4.552650463</v>
      </c>
    </row>
    <row r="382" spans="1:9" ht="14.25" customHeight="1" x14ac:dyDescent="0.3">
      <c r="A382" s="2" t="s">
        <v>3010</v>
      </c>
      <c r="B382" s="2" t="s">
        <v>1896</v>
      </c>
      <c r="C382" s="3">
        <v>46005.547152777777</v>
      </c>
      <c r="D382" s="3">
        <v>46014</v>
      </c>
      <c r="E382" s="3">
        <v>46021.484861111108</v>
      </c>
      <c r="F382" s="6">
        <v>283.94000000000005</v>
      </c>
      <c r="G382">
        <f t="shared" si="5"/>
        <v>7</v>
      </c>
      <c r="H382" s="20">
        <v>15.93770833</v>
      </c>
      <c r="I382" s="20">
        <v>-7.4848611109999998</v>
      </c>
    </row>
    <row r="383" spans="1:9" ht="14.25" customHeight="1" x14ac:dyDescent="0.3">
      <c r="A383" s="2" t="s">
        <v>3011</v>
      </c>
      <c r="B383" s="2" t="s">
        <v>1734</v>
      </c>
      <c r="C383" s="3">
        <v>46005.661585648151</v>
      </c>
      <c r="D383" s="3">
        <v>46013</v>
      </c>
      <c r="E383" s="3">
        <v>46014.641493055547</v>
      </c>
      <c r="F383" s="6">
        <v>21.790000000000003</v>
      </c>
      <c r="G383">
        <f t="shared" si="5"/>
        <v>1</v>
      </c>
      <c r="H383" s="20">
        <v>8.9799074070000007</v>
      </c>
      <c r="I383" s="20">
        <v>-1.6414930560000001</v>
      </c>
    </row>
    <row r="384" spans="1:9" ht="14.25" customHeight="1" x14ac:dyDescent="0.3">
      <c r="A384" s="2" t="s">
        <v>3012</v>
      </c>
      <c r="B384" s="2" t="s">
        <v>2556</v>
      </c>
      <c r="C384" s="3">
        <v>46005.769837962973</v>
      </c>
      <c r="D384" s="3">
        <v>46014</v>
      </c>
      <c r="E384" s="3">
        <v>46013.496296296304</v>
      </c>
      <c r="F384" s="6">
        <v>38.11</v>
      </c>
      <c r="G384">
        <f t="shared" si="5"/>
        <v>-1</v>
      </c>
      <c r="H384" s="20">
        <v>7.7264583330000001</v>
      </c>
      <c r="I384" s="20">
        <v>0.50370370399999997</v>
      </c>
    </row>
    <row r="385" spans="1:9" ht="14.25" customHeight="1" x14ac:dyDescent="0.3">
      <c r="A385" s="2" t="s">
        <v>3013</v>
      </c>
      <c r="B385" s="2" t="s">
        <v>1684</v>
      </c>
      <c r="C385" s="3">
        <v>46006.702210648153</v>
      </c>
      <c r="D385" s="3">
        <v>46012</v>
      </c>
      <c r="E385" s="3">
        <v>46014.57135416667</v>
      </c>
      <c r="F385" s="6">
        <v>68.52000000000001</v>
      </c>
      <c r="G385">
        <f t="shared" si="5"/>
        <v>2</v>
      </c>
      <c r="H385" s="20">
        <v>7.8691435189999996</v>
      </c>
      <c r="I385" s="20">
        <v>-2.571354167</v>
      </c>
    </row>
    <row r="386" spans="1:9" ht="14.25" customHeight="1" x14ac:dyDescent="0.3">
      <c r="A386" s="2" t="s">
        <v>3014</v>
      </c>
      <c r="B386" s="2" t="s">
        <v>2342</v>
      </c>
      <c r="C386" s="3">
        <v>46007.334953703707</v>
      </c>
      <c r="D386" s="3">
        <v>46014</v>
      </c>
      <c r="E386" s="3">
        <v>46018.546249999999</v>
      </c>
      <c r="F386" s="6">
        <v>85.539999999999992</v>
      </c>
      <c r="G386">
        <f t="shared" si="5"/>
        <v>4</v>
      </c>
      <c r="H386" s="20">
        <v>11.211296300000001</v>
      </c>
      <c r="I386" s="20">
        <v>-4.5462499999999997</v>
      </c>
    </row>
    <row r="387" spans="1:9" ht="14.25" customHeight="1" x14ac:dyDescent="0.3">
      <c r="A387" s="2" t="s">
        <v>3015</v>
      </c>
      <c r="B387" s="2" t="s">
        <v>1791</v>
      </c>
      <c r="C387" s="3">
        <v>46007.623391203713</v>
      </c>
      <c r="D387" s="3">
        <v>46013</v>
      </c>
      <c r="E387" s="3">
        <v>46012.349131944437</v>
      </c>
      <c r="F387" s="6">
        <v>116.03</v>
      </c>
      <c r="G387">
        <f t="shared" ref="G387:G450" si="6">INT(E387)-INT(D387)</f>
        <v>-1</v>
      </c>
      <c r="H387" s="20">
        <v>4.7257407410000001</v>
      </c>
      <c r="I387" s="20">
        <v>0.65086805599999997</v>
      </c>
    </row>
    <row r="388" spans="1:9" ht="14.25" customHeight="1" x14ac:dyDescent="0.3">
      <c r="A388" s="2" t="s">
        <v>3016</v>
      </c>
      <c r="B388" s="2" t="s">
        <v>2522</v>
      </c>
      <c r="C388" s="3">
        <v>46007.670497685183</v>
      </c>
      <c r="D388" s="3">
        <v>46014</v>
      </c>
      <c r="E388" s="3">
        <v>46018.360081018523</v>
      </c>
      <c r="F388" s="6">
        <v>22.17</v>
      </c>
      <c r="G388">
        <f t="shared" si="6"/>
        <v>4</v>
      </c>
      <c r="H388" s="20">
        <v>10.68958333</v>
      </c>
      <c r="I388" s="20">
        <v>-4.3600810189999999</v>
      </c>
    </row>
    <row r="389" spans="1:9" ht="14.25" customHeight="1" x14ac:dyDescent="0.3">
      <c r="A389" s="2" t="s">
        <v>3017</v>
      </c>
      <c r="B389" s="2" t="s">
        <v>1838</v>
      </c>
      <c r="C389" s="3">
        <v>46008.809930555559</v>
      </c>
      <c r="D389" s="3">
        <v>46014</v>
      </c>
      <c r="E389" s="3">
        <v>46018.410601851851</v>
      </c>
      <c r="F389" s="6">
        <v>80.47</v>
      </c>
      <c r="G389">
        <f t="shared" si="6"/>
        <v>4</v>
      </c>
      <c r="H389" s="20">
        <v>9.6006712959999998</v>
      </c>
      <c r="I389" s="20">
        <v>-4.4106018520000001</v>
      </c>
    </row>
    <row r="390" spans="1:9" ht="14.25" customHeight="1" x14ac:dyDescent="0.3">
      <c r="A390" s="2" t="s">
        <v>3018</v>
      </c>
      <c r="B390" s="2" t="s">
        <v>2094</v>
      </c>
      <c r="C390" s="3">
        <v>46009.073287037027</v>
      </c>
      <c r="D390" s="3">
        <v>46018</v>
      </c>
      <c r="E390" s="3">
        <v>46018.412499999999</v>
      </c>
      <c r="F390" s="6">
        <v>134.79</v>
      </c>
      <c r="G390">
        <f t="shared" si="6"/>
        <v>0</v>
      </c>
      <c r="H390" s="20">
        <v>9.3392129629999996</v>
      </c>
      <c r="I390" s="20">
        <v>-0.41249999999999998</v>
      </c>
    </row>
    <row r="391" spans="1:9" ht="14.25" customHeight="1" x14ac:dyDescent="0.3">
      <c r="A391" s="2" t="s">
        <v>3019</v>
      </c>
      <c r="B391" s="2" t="s">
        <v>1684</v>
      </c>
      <c r="C391" s="3">
        <v>46009.127002314817</v>
      </c>
      <c r="D391" s="3">
        <v>46019</v>
      </c>
      <c r="E391" s="3">
        <v>46024.678784722222</v>
      </c>
      <c r="F391" s="6">
        <v>165.92999999999998</v>
      </c>
      <c r="G391">
        <f t="shared" si="6"/>
        <v>5</v>
      </c>
      <c r="H391" s="20">
        <v>15.55178241</v>
      </c>
      <c r="I391" s="20">
        <v>-5.6787847219999996</v>
      </c>
    </row>
    <row r="392" spans="1:9" ht="14.25" customHeight="1" x14ac:dyDescent="0.3">
      <c r="A392" s="2" t="s">
        <v>3020</v>
      </c>
      <c r="B392" s="2" t="s">
        <v>2564</v>
      </c>
      <c r="C392" s="3">
        <v>46009.615833333337</v>
      </c>
      <c r="D392" s="3">
        <v>46014</v>
      </c>
      <c r="E392" s="3">
        <v>46018.539120370369</v>
      </c>
      <c r="F392" s="6">
        <v>34.590000000000003</v>
      </c>
      <c r="G392">
        <f t="shared" si="6"/>
        <v>4</v>
      </c>
      <c r="H392" s="20">
        <v>8.9232870369999997</v>
      </c>
      <c r="I392" s="20">
        <v>-4.53912037</v>
      </c>
    </row>
    <row r="393" spans="1:9" ht="14.25" customHeight="1" x14ac:dyDescent="0.3">
      <c r="A393" s="2" t="s">
        <v>3021</v>
      </c>
      <c r="B393" s="2" t="s">
        <v>2049</v>
      </c>
      <c r="C393" s="3">
        <v>46010.063067129631</v>
      </c>
      <c r="D393" s="3">
        <v>46020</v>
      </c>
      <c r="E393" s="3">
        <v>46020.557511574072</v>
      </c>
      <c r="F393" s="6">
        <v>124.82000000000001</v>
      </c>
      <c r="G393">
        <f t="shared" si="6"/>
        <v>0</v>
      </c>
      <c r="H393" s="20">
        <v>10.494444440000001</v>
      </c>
      <c r="I393" s="20">
        <v>-0.55751157399999995</v>
      </c>
    </row>
    <row r="394" spans="1:9" ht="14.25" customHeight="1" x14ac:dyDescent="0.3">
      <c r="A394" s="2" t="s">
        <v>3022</v>
      </c>
      <c r="B394" s="2" t="s">
        <v>1894</v>
      </c>
      <c r="C394" s="3">
        <v>46010.242581018523</v>
      </c>
      <c r="D394" s="3">
        <v>46014</v>
      </c>
      <c r="E394" s="3">
        <v>46018.581423611111</v>
      </c>
      <c r="F394" s="6">
        <v>74.47</v>
      </c>
      <c r="G394">
        <f t="shared" si="6"/>
        <v>4</v>
      </c>
      <c r="H394" s="20">
        <v>8.3388425930000007</v>
      </c>
      <c r="I394" s="20">
        <v>-4.581423611</v>
      </c>
    </row>
    <row r="395" spans="1:9" ht="14.25" customHeight="1" x14ac:dyDescent="0.3">
      <c r="A395" s="2" t="s">
        <v>3023</v>
      </c>
      <c r="B395" s="2" t="s">
        <v>1537</v>
      </c>
      <c r="C395" s="3">
        <v>46011.105347222219</v>
      </c>
      <c r="D395" s="3">
        <v>46020</v>
      </c>
      <c r="E395" s="3">
        <v>46020.394502314812</v>
      </c>
      <c r="F395" s="6">
        <v>45.709999999999994</v>
      </c>
      <c r="G395">
        <f t="shared" si="6"/>
        <v>0</v>
      </c>
      <c r="H395" s="20">
        <v>9.2891550929999998</v>
      </c>
      <c r="I395" s="20">
        <v>-0.39450231499999999</v>
      </c>
    </row>
    <row r="396" spans="1:9" ht="14.25" customHeight="1" x14ac:dyDescent="0.3">
      <c r="A396" s="2" t="s">
        <v>3024</v>
      </c>
      <c r="B396" s="2" t="s">
        <v>1935</v>
      </c>
      <c r="C396" s="3">
        <v>46011.454375000001</v>
      </c>
      <c r="D396" s="3">
        <v>46020</v>
      </c>
      <c r="E396" s="3">
        <v>46019.463946759257</v>
      </c>
      <c r="F396" s="6">
        <v>40.549999999999997</v>
      </c>
      <c r="G396">
        <f t="shared" si="6"/>
        <v>-1</v>
      </c>
      <c r="H396" s="20">
        <v>8.009571759</v>
      </c>
      <c r="I396" s="20">
        <v>0.53605324099999996</v>
      </c>
    </row>
    <row r="397" spans="1:9" ht="14.25" customHeight="1" x14ac:dyDescent="0.3">
      <c r="A397" s="2" t="s">
        <v>3025</v>
      </c>
      <c r="B397" s="2" t="s">
        <v>1667</v>
      </c>
      <c r="C397" s="3">
        <v>46011.829398148147</v>
      </c>
      <c r="D397" s="3">
        <v>46014</v>
      </c>
      <c r="E397" s="3">
        <v>46013.708032407398</v>
      </c>
      <c r="F397" s="6">
        <v>128.36000000000001</v>
      </c>
      <c r="G397">
        <f t="shared" si="6"/>
        <v>-1</v>
      </c>
      <c r="H397" s="20">
        <v>1.878634259</v>
      </c>
      <c r="I397" s="20">
        <v>0.29196759300000003</v>
      </c>
    </row>
    <row r="398" spans="1:9" ht="14.25" customHeight="1" x14ac:dyDescent="0.3">
      <c r="A398" s="2" t="s">
        <v>3026</v>
      </c>
      <c r="B398" s="2" t="s">
        <v>2566</v>
      </c>
      <c r="C398" s="3">
        <v>46011.840219907397</v>
      </c>
      <c r="D398" s="3">
        <v>46018</v>
      </c>
      <c r="E398" s="3">
        <v>46018.741527777784</v>
      </c>
      <c r="F398" s="6">
        <v>85.71</v>
      </c>
      <c r="G398">
        <f t="shared" si="6"/>
        <v>0</v>
      </c>
      <c r="H398" s="20">
        <v>6.9013078700000001</v>
      </c>
      <c r="I398" s="20">
        <v>-0.74152777800000003</v>
      </c>
    </row>
    <row r="399" spans="1:9" ht="14.25" customHeight="1" x14ac:dyDescent="0.3">
      <c r="A399" s="2" t="s">
        <v>3027</v>
      </c>
      <c r="B399" s="2" t="s">
        <v>1814</v>
      </c>
      <c r="C399" s="3">
        <v>46012.255231481482</v>
      </c>
      <c r="D399" s="3">
        <v>46014</v>
      </c>
      <c r="E399" s="3">
        <v>46018.398842592593</v>
      </c>
      <c r="F399" s="6">
        <v>37.82</v>
      </c>
      <c r="G399">
        <f t="shared" si="6"/>
        <v>4</v>
      </c>
      <c r="H399" s="20">
        <v>6.1436111110000002</v>
      </c>
      <c r="I399" s="20">
        <v>-4.3988425930000004</v>
      </c>
    </row>
    <row r="400" spans="1:9" ht="14.25" customHeight="1" x14ac:dyDescent="0.3">
      <c r="A400" s="2" t="s">
        <v>3028</v>
      </c>
      <c r="B400" s="2" t="s">
        <v>1761</v>
      </c>
      <c r="C400" s="3">
        <v>46012.888472222221</v>
      </c>
      <c r="D400" s="3">
        <v>46022</v>
      </c>
      <c r="E400" s="3">
        <v>46028.507800925923</v>
      </c>
      <c r="F400" s="6">
        <v>10.02</v>
      </c>
      <c r="G400">
        <f t="shared" si="6"/>
        <v>6</v>
      </c>
      <c r="H400" s="20">
        <v>15.619328700000001</v>
      </c>
      <c r="I400" s="20">
        <v>-6.5078009259999998</v>
      </c>
    </row>
    <row r="401" spans="1:9" ht="14.25" customHeight="1" x14ac:dyDescent="0.3">
      <c r="A401" s="2" t="s">
        <v>3029</v>
      </c>
      <c r="B401" s="2" t="s">
        <v>1983</v>
      </c>
      <c r="C401" s="3">
        <v>46013.083969907413</v>
      </c>
      <c r="D401" s="3">
        <v>46019</v>
      </c>
      <c r="E401" s="3">
        <v>46020.677743055552</v>
      </c>
      <c r="F401" s="6">
        <v>41.9</v>
      </c>
      <c r="G401">
        <f t="shared" si="6"/>
        <v>1</v>
      </c>
      <c r="H401" s="20">
        <v>7.5937731480000004</v>
      </c>
      <c r="I401" s="20">
        <v>-1.677743056</v>
      </c>
    </row>
    <row r="402" spans="1:9" ht="14.25" customHeight="1" x14ac:dyDescent="0.3">
      <c r="A402" s="2" t="s">
        <v>3030</v>
      </c>
      <c r="B402" s="2" t="s">
        <v>1943</v>
      </c>
      <c r="C402" s="3">
        <v>46013.165995370371</v>
      </c>
      <c r="D402" s="3">
        <v>46020</v>
      </c>
      <c r="E402" s="3">
        <v>46021.449664351851</v>
      </c>
      <c r="F402" s="6">
        <v>63.419999999999995</v>
      </c>
      <c r="G402">
        <f t="shared" si="6"/>
        <v>1</v>
      </c>
      <c r="H402" s="20">
        <v>8.2836689809999999</v>
      </c>
      <c r="I402" s="20">
        <v>-1.4496643520000001</v>
      </c>
    </row>
    <row r="403" spans="1:9" ht="14.25" customHeight="1" x14ac:dyDescent="0.3">
      <c r="A403" s="2" t="s">
        <v>3031</v>
      </c>
      <c r="B403" s="2" t="s">
        <v>1880</v>
      </c>
      <c r="C403" s="3">
        <v>46013.620775462958</v>
      </c>
      <c r="D403" s="3">
        <v>46019</v>
      </c>
      <c r="E403" s="3">
        <v>46019.475266203714</v>
      </c>
      <c r="F403" s="6">
        <v>23.16</v>
      </c>
      <c r="G403">
        <f t="shared" si="6"/>
        <v>0</v>
      </c>
      <c r="H403" s="20">
        <v>5.8544907410000002</v>
      </c>
      <c r="I403" s="20">
        <v>-0.47526620400000003</v>
      </c>
    </row>
    <row r="404" spans="1:9" ht="14.25" customHeight="1" x14ac:dyDescent="0.3">
      <c r="A404" s="2" t="s">
        <v>3032</v>
      </c>
      <c r="B404" s="2" t="s">
        <v>1636</v>
      </c>
      <c r="C404" s="3">
        <v>46014.446469907409</v>
      </c>
      <c r="D404" s="3">
        <v>46019</v>
      </c>
      <c r="E404" s="3">
        <v>46021.726863425924</v>
      </c>
      <c r="F404" s="6">
        <v>146.19</v>
      </c>
      <c r="G404">
        <f t="shared" si="6"/>
        <v>2</v>
      </c>
      <c r="H404" s="20">
        <v>7.2803935190000004</v>
      </c>
      <c r="I404" s="20">
        <v>-2.726863426</v>
      </c>
    </row>
    <row r="405" spans="1:9" ht="14.25" customHeight="1" x14ac:dyDescent="0.3">
      <c r="A405" s="2" t="s">
        <v>3033</v>
      </c>
      <c r="B405" s="2" t="s">
        <v>1883</v>
      </c>
      <c r="C405" s="3">
        <v>46014.750821759262</v>
      </c>
      <c r="D405" s="3">
        <v>46019</v>
      </c>
      <c r="E405" s="3">
        <v>46019.663321759261</v>
      </c>
      <c r="F405" s="6">
        <v>10</v>
      </c>
      <c r="G405">
        <f t="shared" si="6"/>
        <v>0</v>
      </c>
      <c r="H405" s="20">
        <v>4.9124999999999996</v>
      </c>
      <c r="I405" s="20">
        <v>-0.66332175900000001</v>
      </c>
    </row>
    <row r="406" spans="1:9" ht="14.25" customHeight="1" x14ac:dyDescent="0.3">
      <c r="A406" s="2" t="s">
        <v>3034</v>
      </c>
      <c r="B406" s="2" t="s">
        <v>2134</v>
      </c>
      <c r="C406" s="3">
        <v>46015.74931712963</v>
      </c>
      <c r="D406" s="3">
        <v>46020</v>
      </c>
      <c r="E406" s="3">
        <v>46024.460659722223</v>
      </c>
      <c r="F406" s="6">
        <v>114.82000000000001</v>
      </c>
      <c r="G406">
        <f t="shared" si="6"/>
        <v>4</v>
      </c>
      <c r="H406" s="20">
        <v>8.7113425929999995</v>
      </c>
      <c r="I406" s="20">
        <v>-4.4606597219999999</v>
      </c>
    </row>
    <row r="407" spans="1:9" ht="14.25" customHeight="1" x14ac:dyDescent="0.3">
      <c r="A407" s="2" t="s">
        <v>3035</v>
      </c>
      <c r="B407" s="2" t="s">
        <v>1950</v>
      </c>
      <c r="C407" s="3">
        <v>46016.243958333333</v>
      </c>
      <c r="D407" s="3">
        <v>46019</v>
      </c>
      <c r="E407" s="3">
        <v>46019.461585648147</v>
      </c>
      <c r="F407" s="6">
        <v>63.419999999999995</v>
      </c>
      <c r="G407">
        <f t="shared" si="6"/>
        <v>0</v>
      </c>
      <c r="H407" s="20">
        <v>3.2176273150000001</v>
      </c>
      <c r="I407" s="20">
        <v>-0.46158564800000002</v>
      </c>
    </row>
    <row r="408" spans="1:9" ht="14.25" customHeight="1" x14ac:dyDescent="0.3">
      <c r="A408" s="2" t="s">
        <v>3036</v>
      </c>
      <c r="B408" s="2" t="s">
        <v>2092</v>
      </c>
      <c r="C408" s="3">
        <v>46016.778807870367</v>
      </c>
      <c r="D408" s="3">
        <v>46020</v>
      </c>
      <c r="E408" s="3">
        <v>46024.726053240738</v>
      </c>
      <c r="F408" s="6">
        <v>107.37</v>
      </c>
      <c r="G408">
        <f t="shared" si="6"/>
        <v>4</v>
      </c>
      <c r="H408" s="20">
        <v>7.9472453700000001</v>
      </c>
      <c r="I408" s="20">
        <v>-4.7260532409999998</v>
      </c>
    </row>
    <row r="409" spans="1:9" ht="14.25" customHeight="1" x14ac:dyDescent="0.3">
      <c r="A409" s="2" t="s">
        <v>3037</v>
      </c>
      <c r="B409" s="2" t="s">
        <v>2383</v>
      </c>
      <c r="C409" s="3">
        <v>46016.812395833331</v>
      </c>
      <c r="D409" s="3">
        <v>46025</v>
      </c>
      <c r="E409" s="3">
        <v>46025.53696759259</v>
      </c>
      <c r="F409" s="6">
        <v>62.94</v>
      </c>
      <c r="G409">
        <f t="shared" si="6"/>
        <v>0</v>
      </c>
      <c r="H409" s="20">
        <v>8.7245717589999998</v>
      </c>
      <c r="I409" s="20">
        <v>-0.53696759299999997</v>
      </c>
    </row>
    <row r="410" spans="1:9" ht="14.25" customHeight="1" x14ac:dyDescent="0.3">
      <c r="A410" s="2" t="s">
        <v>3038</v>
      </c>
      <c r="B410" s="2" t="s">
        <v>1958</v>
      </c>
      <c r="C410" s="3">
        <v>46018.652986111112</v>
      </c>
      <c r="D410" s="3">
        <v>46021</v>
      </c>
      <c r="E410" s="3">
        <v>46020.449780092589</v>
      </c>
      <c r="F410" s="6">
        <v>68.209999999999994</v>
      </c>
      <c r="G410">
        <f t="shared" si="6"/>
        <v>-1</v>
      </c>
      <c r="H410" s="20">
        <v>1.796793981</v>
      </c>
      <c r="I410" s="20">
        <v>0.55021990700000001</v>
      </c>
    </row>
    <row r="411" spans="1:9" ht="14.25" customHeight="1" x14ac:dyDescent="0.3">
      <c r="A411" s="2" t="s">
        <v>3039</v>
      </c>
      <c r="B411" s="2" t="s">
        <v>2101</v>
      </c>
      <c r="C411" s="3">
        <v>46018.877326388887</v>
      </c>
      <c r="D411" s="3">
        <v>46028</v>
      </c>
      <c r="E411" s="3">
        <v>46027.336944444447</v>
      </c>
      <c r="F411" s="6">
        <v>32.97</v>
      </c>
      <c r="G411">
        <f t="shared" si="6"/>
        <v>-1</v>
      </c>
      <c r="H411" s="20">
        <v>8.4596180560000001</v>
      </c>
      <c r="I411" s="20">
        <v>0.66305555599999999</v>
      </c>
    </row>
    <row r="412" spans="1:9" ht="14.25" customHeight="1" x14ac:dyDescent="0.3">
      <c r="A412" s="2" t="s">
        <v>3040</v>
      </c>
      <c r="B412" s="2" t="s">
        <v>1883</v>
      </c>
      <c r="C412" s="3">
        <v>46018.913206018522</v>
      </c>
      <c r="D412" s="3">
        <v>46032</v>
      </c>
      <c r="E412" s="3">
        <v>46032.413634259261</v>
      </c>
      <c r="F412" s="6">
        <v>217</v>
      </c>
      <c r="G412">
        <f t="shared" si="6"/>
        <v>0</v>
      </c>
      <c r="H412" s="20">
        <v>13.50042824</v>
      </c>
      <c r="I412" s="20">
        <v>-0.413634259</v>
      </c>
    </row>
    <row r="413" spans="1:9" ht="14.25" customHeight="1" x14ac:dyDescent="0.3">
      <c r="A413" s="2" t="s">
        <v>3041</v>
      </c>
      <c r="B413" s="2" t="s">
        <v>1969</v>
      </c>
      <c r="C413" s="3">
        <v>46019.609479166669</v>
      </c>
      <c r="D413" s="3">
        <v>46024</v>
      </c>
      <c r="E413" s="3">
        <v>46024.622037037043</v>
      </c>
      <c r="F413" s="6">
        <v>89.06</v>
      </c>
      <c r="G413">
        <f t="shared" si="6"/>
        <v>0</v>
      </c>
      <c r="H413" s="20">
        <v>5.0125578700000002</v>
      </c>
      <c r="I413" s="20">
        <v>-0.62203703700000001</v>
      </c>
    </row>
    <row r="414" spans="1:9" ht="14.25" customHeight="1" x14ac:dyDescent="0.3">
      <c r="A414" s="2" t="s">
        <v>3042</v>
      </c>
      <c r="B414" s="2" t="s">
        <v>2332</v>
      </c>
      <c r="C414" s="3">
        <v>46020.801041666673</v>
      </c>
      <c r="D414" s="3">
        <v>46030</v>
      </c>
      <c r="E414" s="3">
        <v>46033.699282407397</v>
      </c>
      <c r="F414" s="6">
        <v>78.13000000000001</v>
      </c>
      <c r="G414">
        <f t="shared" si="6"/>
        <v>3</v>
      </c>
      <c r="H414" s="20">
        <v>12.89824074</v>
      </c>
      <c r="I414" s="20">
        <v>-3.6992824070000001</v>
      </c>
    </row>
    <row r="415" spans="1:9" ht="14.25" customHeight="1" x14ac:dyDescent="0.3">
      <c r="A415" s="2" t="s">
        <v>3043</v>
      </c>
      <c r="B415" s="2" t="s">
        <v>2510</v>
      </c>
      <c r="C415" s="3">
        <v>46021.429236111107</v>
      </c>
      <c r="D415" s="3">
        <v>46028</v>
      </c>
      <c r="E415" s="3">
        <v>46035.40415509259</v>
      </c>
      <c r="F415" s="6">
        <v>41.95</v>
      </c>
      <c r="G415">
        <f t="shared" si="6"/>
        <v>7</v>
      </c>
      <c r="H415" s="20">
        <v>13.97491898</v>
      </c>
      <c r="I415" s="20">
        <v>-7.404155093</v>
      </c>
    </row>
    <row r="416" spans="1:9" ht="14.25" customHeight="1" x14ac:dyDescent="0.3">
      <c r="A416" s="2" t="s">
        <v>3044</v>
      </c>
      <c r="B416" s="2" t="s">
        <v>1687</v>
      </c>
      <c r="C416" s="3">
        <v>46021.783842592587</v>
      </c>
      <c r="D416" s="3">
        <v>46029</v>
      </c>
      <c r="E416" s="3">
        <v>46029.388206018521</v>
      </c>
      <c r="F416" s="6">
        <v>69.319999999999993</v>
      </c>
      <c r="G416">
        <f t="shared" si="6"/>
        <v>0</v>
      </c>
      <c r="H416" s="20">
        <v>7.6043634259999999</v>
      </c>
      <c r="I416" s="20">
        <v>-0.38820601900000001</v>
      </c>
    </row>
    <row r="417" spans="1:12" ht="14.25" customHeight="1" x14ac:dyDescent="0.3">
      <c r="A417" s="2" t="s">
        <v>3045</v>
      </c>
      <c r="B417" s="2" t="s">
        <v>2379</v>
      </c>
      <c r="C417" s="3">
        <v>46022.836261574077</v>
      </c>
      <c r="D417" s="3">
        <v>46024</v>
      </c>
      <c r="E417" s="3">
        <v>46025.362662037027</v>
      </c>
      <c r="F417" s="6">
        <v>29.07</v>
      </c>
      <c r="G417">
        <f t="shared" si="6"/>
        <v>1</v>
      </c>
      <c r="H417" s="20">
        <v>2.5264004629999999</v>
      </c>
      <c r="I417" s="20">
        <v>-1.362662037</v>
      </c>
    </row>
    <row r="418" spans="1:12" ht="14.25" customHeight="1" x14ac:dyDescent="0.3">
      <c r="A418" s="2" t="s">
        <v>3046</v>
      </c>
      <c r="B418" s="2" t="s">
        <v>1611</v>
      </c>
      <c r="C418" s="16">
        <v>46026.120300925933</v>
      </c>
      <c r="D418" s="3">
        <v>46032</v>
      </c>
      <c r="E418" s="3">
        <v>46031.364479166667</v>
      </c>
      <c r="F418" s="6">
        <v>32.32</v>
      </c>
      <c r="G418">
        <f t="shared" si="6"/>
        <v>-1</v>
      </c>
      <c r="H418" s="20">
        <v>5.2441782410000002</v>
      </c>
      <c r="I418" s="20">
        <v>0.63552083299999995</v>
      </c>
      <c r="L418" s="6">
        <f>AVERAGE(F418:F479)</f>
        <v>77.935322580645192</v>
      </c>
    </row>
    <row r="419" spans="1:12" ht="14.25" customHeight="1" x14ac:dyDescent="0.3">
      <c r="A419" s="2" t="s">
        <v>3047</v>
      </c>
      <c r="B419" s="2" t="s">
        <v>2387</v>
      </c>
      <c r="C419" s="3">
        <v>46027.074490740742</v>
      </c>
      <c r="D419" s="3">
        <v>46034</v>
      </c>
      <c r="E419" s="3">
        <v>46033.442789351851</v>
      </c>
      <c r="F419" s="6">
        <v>32.089999999999996</v>
      </c>
      <c r="G419">
        <f t="shared" si="6"/>
        <v>-1</v>
      </c>
      <c r="H419" s="20">
        <v>6.3682986110000002</v>
      </c>
      <c r="I419" s="20">
        <v>0.55721064799999998</v>
      </c>
    </row>
    <row r="420" spans="1:12" ht="14.25" customHeight="1" x14ac:dyDescent="0.3">
      <c r="A420" s="2" t="s">
        <v>3048</v>
      </c>
      <c r="B420" s="2" t="s">
        <v>1664</v>
      </c>
      <c r="C420" s="3">
        <v>46031.308935185189</v>
      </c>
      <c r="D420" s="3">
        <v>46036</v>
      </c>
      <c r="E420" s="3">
        <v>46036.400150462963</v>
      </c>
      <c r="F420" s="6">
        <v>54.51</v>
      </c>
      <c r="G420">
        <f t="shared" si="6"/>
        <v>0</v>
      </c>
      <c r="H420" s="20">
        <v>5.091215278</v>
      </c>
      <c r="I420" s="20">
        <v>-0.40015046300000001</v>
      </c>
    </row>
    <row r="421" spans="1:12" ht="14.25" customHeight="1" x14ac:dyDescent="0.3">
      <c r="A421" s="2" t="s">
        <v>3049</v>
      </c>
      <c r="B421" s="2" t="s">
        <v>1866</v>
      </c>
      <c r="C421" s="3">
        <v>46031.532534722217</v>
      </c>
      <c r="D421" s="3">
        <v>46038</v>
      </c>
      <c r="E421" s="3">
        <v>46039.373796296299</v>
      </c>
      <c r="F421" s="6">
        <v>53.75</v>
      </c>
      <c r="G421">
        <f t="shared" si="6"/>
        <v>1</v>
      </c>
      <c r="H421" s="20">
        <v>7.8412615739999998</v>
      </c>
      <c r="I421" s="20">
        <v>-1.3737962960000001</v>
      </c>
    </row>
    <row r="422" spans="1:12" ht="14.25" customHeight="1" x14ac:dyDescent="0.3">
      <c r="A422" s="2" t="s">
        <v>3050</v>
      </c>
      <c r="B422" s="2" t="s">
        <v>2039</v>
      </c>
      <c r="C422" s="3">
        <v>46035.627789351849</v>
      </c>
      <c r="D422" s="3">
        <v>46043</v>
      </c>
      <c r="E422" s="3">
        <v>46044.59957175926</v>
      </c>
      <c r="F422" s="6">
        <v>9.9700000000000006</v>
      </c>
      <c r="G422">
        <f t="shared" si="6"/>
        <v>1</v>
      </c>
      <c r="H422" s="20">
        <v>8.9717824069999992</v>
      </c>
      <c r="I422" s="20">
        <v>-1.599571759</v>
      </c>
    </row>
    <row r="423" spans="1:12" ht="14.25" customHeight="1" x14ac:dyDescent="0.3">
      <c r="A423" s="2" t="s">
        <v>3051</v>
      </c>
      <c r="B423" s="2" t="s">
        <v>1508</v>
      </c>
      <c r="C423" s="3">
        <v>46039.212337962963</v>
      </c>
      <c r="D423" s="3">
        <v>46042</v>
      </c>
      <c r="E423" s="3">
        <v>46043.41443287037</v>
      </c>
      <c r="F423" s="6">
        <v>14.9</v>
      </c>
      <c r="G423">
        <f t="shared" si="6"/>
        <v>1</v>
      </c>
      <c r="H423" s="20">
        <v>4.2020949070000002</v>
      </c>
      <c r="I423" s="20">
        <v>-1.41443287</v>
      </c>
    </row>
    <row r="424" spans="1:12" ht="14.25" customHeight="1" x14ac:dyDescent="0.3">
      <c r="A424" s="2" t="s">
        <v>3052</v>
      </c>
      <c r="B424" s="2" t="s">
        <v>2376</v>
      </c>
      <c r="C424" s="3">
        <v>46044.163298611107</v>
      </c>
      <c r="D424" s="3">
        <v>46048</v>
      </c>
      <c r="E424" s="3">
        <v>46046.627650462957</v>
      </c>
      <c r="F424" s="6">
        <v>0</v>
      </c>
      <c r="G424">
        <f t="shared" si="6"/>
        <v>-2</v>
      </c>
      <c r="H424" s="20">
        <v>2.4643518520000001</v>
      </c>
      <c r="I424" s="20">
        <v>1.3723495370000001</v>
      </c>
    </row>
    <row r="425" spans="1:12" ht="14.25" customHeight="1" x14ac:dyDescent="0.3">
      <c r="A425" s="2" t="s">
        <v>3053</v>
      </c>
      <c r="B425" s="2" t="s">
        <v>2586</v>
      </c>
      <c r="C425" s="3">
        <v>46045.027291666673</v>
      </c>
      <c r="D425" s="3">
        <v>46051</v>
      </c>
      <c r="E425" s="3">
        <v>46051.542893518519</v>
      </c>
      <c r="F425" s="6">
        <v>11.92</v>
      </c>
      <c r="G425">
        <f t="shared" si="6"/>
        <v>0</v>
      </c>
      <c r="H425" s="20">
        <v>6.5156018519999996</v>
      </c>
      <c r="I425" s="20">
        <v>-0.54289351900000005</v>
      </c>
    </row>
    <row r="426" spans="1:12" ht="14.25" customHeight="1" x14ac:dyDescent="0.3">
      <c r="A426" s="2" t="s">
        <v>3054</v>
      </c>
      <c r="B426" s="2" t="s">
        <v>2461</v>
      </c>
      <c r="C426" s="3">
        <v>46048.085451388892</v>
      </c>
      <c r="D426" s="3">
        <v>46051</v>
      </c>
      <c r="E426" s="3">
        <v>46051.508252314823</v>
      </c>
      <c r="F426" s="6">
        <v>40.619999999999997</v>
      </c>
      <c r="G426">
        <f t="shared" si="6"/>
        <v>0</v>
      </c>
      <c r="H426" s="20">
        <v>3.4228009259999999</v>
      </c>
      <c r="I426" s="20">
        <v>-0.50825231500000001</v>
      </c>
    </row>
    <row r="427" spans="1:12" ht="14.25" customHeight="1" x14ac:dyDescent="0.3">
      <c r="A427" s="2" t="s">
        <v>3055</v>
      </c>
      <c r="B427" s="2" t="s">
        <v>2590</v>
      </c>
      <c r="C427" s="3">
        <v>46050.347615740742</v>
      </c>
      <c r="D427" s="3">
        <v>46060</v>
      </c>
      <c r="E427" s="3">
        <v>46060.579386574071</v>
      </c>
      <c r="F427" s="6">
        <v>24.270000000000003</v>
      </c>
      <c r="G427">
        <f t="shared" si="6"/>
        <v>0</v>
      </c>
      <c r="H427" s="20">
        <v>10.23177083</v>
      </c>
      <c r="I427" s="20">
        <v>-0.57938657400000004</v>
      </c>
    </row>
    <row r="428" spans="1:12" ht="14.25" customHeight="1" x14ac:dyDescent="0.3">
      <c r="A428" s="2" t="s">
        <v>3056</v>
      </c>
      <c r="B428" s="2" t="s">
        <v>1972</v>
      </c>
      <c r="C428" s="3">
        <v>46065.297407407408</v>
      </c>
      <c r="D428" s="3">
        <v>46070</v>
      </c>
      <c r="E428" s="3">
        <v>46069.507002314807</v>
      </c>
      <c r="F428" s="6">
        <v>47</v>
      </c>
      <c r="G428">
        <f t="shared" si="6"/>
        <v>-1</v>
      </c>
      <c r="H428" s="20">
        <v>4.2095949069999996</v>
      </c>
      <c r="I428" s="20">
        <v>0.49299768500000002</v>
      </c>
    </row>
    <row r="429" spans="1:12" ht="14.25" customHeight="1" x14ac:dyDescent="0.3">
      <c r="A429" s="2" t="s">
        <v>3057</v>
      </c>
      <c r="B429" s="2" t="s">
        <v>2142</v>
      </c>
      <c r="C429" s="3">
        <v>46068.009236111109</v>
      </c>
      <c r="D429" s="3">
        <v>46076</v>
      </c>
      <c r="E429" s="3">
        <v>46075.368506944447</v>
      </c>
      <c r="F429" s="6">
        <v>5.09</v>
      </c>
      <c r="G429">
        <f t="shared" si="6"/>
        <v>-1</v>
      </c>
      <c r="H429" s="20">
        <v>7.3592708330000001</v>
      </c>
      <c r="I429" s="20">
        <v>0.63149305600000005</v>
      </c>
    </row>
    <row r="430" spans="1:12" ht="14.25" customHeight="1" x14ac:dyDescent="0.3">
      <c r="A430" s="2" t="s">
        <v>3058</v>
      </c>
      <c r="B430" s="2" t="s">
        <v>1716</v>
      </c>
      <c r="C430" s="3">
        <v>46073.226157407407</v>
      </c>
      <c r="D430" s="3">
        <v>46080</v>
      </c>
      <c r="E430" s="3">
        <v>46085.431307870371</v>
      </c>
      <c r="F430" s="6">
        <v>48.57</v>
      </c>
      <c r="G430">
        <f t="shared" si="6"/>
        <v>5</v>
      </c>
      <c r="H430" s="20">
        <v>12.20515046</v>
      </c>
      <c r="I430" s="20">
        <v>-5.4313078700000004</v>
      </c>
    </row>
    <row r="431" spans="1:12" ht="14.25" customHeight="1" x14ac:dyDescent="0.3">
      <c r="A431" s="2" t="s">
        <v>3059</v>
      </c>
      <c r="B431" s="2" t="s">
        <v>1987</v>
      </c>
      <c r="C431" s="3">
        <v>46077.723622685182</v>
      </c>
      <c r="D431" s="3">
        <v>46083</v>
      </c>
      <c r="E431" s="3">
        <v>46082.606631944444</v>
      </c>
      <c r="F431" s="6">
        <v>307.58000000000004</v>
      </c>
      <c r="G431">
        <f t="shared" si="6"/>
        <v>-1</v>
      </c>
      <c r="H431" s="20">
        <v>4.8830092589999996</v>
      </c>
      <c r="I431" s="20">
        <v>0.39336805600000002</v>
      </c>
    </row>
    <row r="432" spans="1:12" ht="14.25" customHeight="1" x14ac:dyDescent="0.3">
      <c r="A432" s="2" t="s">
        <v>3060</v>
      </c>
      <c r="B432" s="2" t="s">
        <v>2208</v>
      </c>
      <c r="C432" s="3">
        <v>46078.28266203704</v>
      </c>
      <c r="D432" s="3">
        <v>46087</v>
      </c>
      <c r="E432" s="3">
        <v>46087.586643518523</v>
      </c>
      <c r="F432" s="6">
        <v>166.63</v>
      </c>
      <c r="G432">
        <f t="shared" si="6"/>
        <v>0</v>
      </c>
      <c r="H432" s="20">
        <v>9.3039814809999992</v>
      </c>
      <c r="I432" s="20">
        <v>-0.586643519</v>
      </c>
    </row>
    <row r="433" spans="1:9" ht="14.25" customHeight="1" x14ac:dyDescent="0.3">
      <c r="A433" s="2" t="s">
        <v>3061</v>
      </c>
      <c r="B433" s="2" t="s">
        <v>2063</v>
      </c>
      <c r="C433" s="3">
        <v>46078.348564814813</v>
      </c>
      <c r="D433" s="3">
        <v>46081</v>
      </c>
      <c r="E433" s="3">
        <v>46081.42527777778</v>
      </c>
      <c r="F433" s="6">
        <v>0</v>
      </c>
      <c r="G433">
        <f t="shared" si="6"/>
        <v>0</v>
      </c>
      <c r="H433" s="20">
        <v>3.0767129629999999</v>
      </c>
      <c r="I433" s="20">
        <v>-0.425277778</v>
      </c>
    </row>
    <row r="434" spans="1:9" ht="14.25" customHeight="1" x14ac:dyDescent="0.3">
      <c r="A434" s="2" t="s">
        <v>3062</v>
      </c>
      <c r="B434" s="2" t="s">
        <v>2092</v>
      </c>
      <c r="C434" s="3">
        <v>46079.034097222233</v>
      </c>
      <c r="D434" s="3">
        <v>46083</v>
      </c>
      <c r="E434" s="3">
        <v>46085.72284722222</v>
      </c>
      <c r="F434" s="6">
        <v>82.62</v>
      </c>
      <c r="G434">
        <f t="shared" si="6"/>
        <v>2</v>
      </c>
      <c r="H434" s="20">
        <v>6.6887499999999998</v>
      </c>
      <c r="I434" s="20">
        <v>-2.722847222</v>
      </c>
    </row>
    <row r="435" spans="1:9" ht="14.25" customHeight="1" x14ac:dyDescent="0.3">
      <c r="A435" s="2" t="s">
        <v>3063</v>
      </c>
      <c r="B435" s="2" t="s">
        <v>1515</v>
      </c>
      <c r="C435" s="3">
        <v>46079.492881944447</v>
      </c>
      <c r="D435" s="3">
        <v>46085</v>
      </c>
      <c r="E435" s="3">
        <v>46085.507453703707</v>
      </c>
      <c r="F435" s="6">
        <v>41.9</v>
      </c>
      <c r="G435">
        <f t="shared" si="6"/>
        <v>0</v>
      </c>
      <c r="H435" s="20">
        <v>6.0145717589999999</v>
      </c>
      <c r="I435" s="20">
        <v>-0.50745370400000001</v>
      </c>
    </row>
    <row r="436" spans="1:9" ht="14.25" customHeight="1" x14ac:dyDescent="0.3">
      <c r="A436" s="2" t="s">
        <v>3064</v>
      </c>
      <c r="B436" s="2" t="s">
        <v>2068</v>
      </c>
      <c r="C436" s="3">
        <v>46079.530486111107</v>
      </c>
      <c r="D436" s="3">
        <v>46088</v>
      </c>
      <c r="E436" s="3">
        <v>46089.491157407407</v>
      </c>
      <c r="F436" s="6">
        <v>82.96</v>
      </c>
      <c r="G436">
        <f t="shared" si="6"/>
        <v>1</v>
      </c>
      <c r="H436" s="20">
        <v>9.9606712959999992</v>
      </c>
      <c r="I436" s="20">
        <v>-1.491157407</v>
      </c>
    </row>
    <row r="437" spans="1:9" ht="14.25" customHeight="1" x14ac:dyDescent="0.3">
      <c r="A437" s="2" t="s">
        <v>3065</v>
      </c>
      <c r="B437" s="2" t="s">
        <v>2421</v>
      </c>
      <c r="C437" s="3">
        <v>46080.136805555558</v>
      </c>
      <c r="D437" s="3">
        <v>46085</v>
      </c>
      <c r="E437" s="3">
        <v>46085.66883101852</v>
      </c>
      <c r="F437" s="6">
        <v>133.13</v>
      </c>
      <c r="G437">
        <f t="shared" si="6"/>
        <v>0</v>
      </c>
      <c r="H437" s="20">
        <v>5.5320254630000001</v>
      </c>
      <c r="I437" s="20">
        <v>-0.66883101899999997</v>
      </c>
    </row>
    <row r="438" spans="1:9" ht="14.25" customHeight="1" x14ac:dyDescent="0.3">
      <c r="A438" s="2" t="s">
        <v>3066</v>
      </c>
      <c r="B438" s="2" t="s">
        <v>1920</v>
      </c>
      <c r="C438" s="3">
        <v>46080.673391203702</v>
      </c>
      <c r="D438" s="3">
        <v>46086</v>
      </c>
      <c r="E438" s="3">
        <v>46085.624826388892</v>
      </c>
      <c r="F438" s="6">
        <v>41.53</v>
      </c>
      <c r="G438">
        <f t="shared" si="6"/>
        <v>-1</v>
      </c>
      <c r="H438" s="20">
        <v>4.9514351850000002</v>
      </c>
      <c r="I438" s="20">
        <v>0.37517361100000002</v>
      </c>
    </row>
    <row r="439" spans="1:9" ht="14.25" customHeight="1" x14ac:dyDescent="0.3">
      <c r="A439" s="2" t="s">
        <v>3067</v>
      </c>
      <c r="B439" s="2" t="s">
        <v>1588</v>
      </c>
      <c r="C439" s="3">
        <v>46081.030405092592</v>
      </c>
      <c r="D439" s="3">
        <v>46088</v>
      </c>
      <c r="E439" s="3">
        <v>46088.739594907413</v>
      </c>
      <c r="F439" s="6">
        <v>111.03</v>
      </c>
      <c r="G439">
        <f t="shared" si="6"/>
        <v>0</v>
      </c>
      <c r="H439" s="20">
        <v>7.7091898150000002</v>
      </c>
      <c r="I439" s="20">
        <v>-0.73959490699999997</v>
      </c>
    </row>
    <row r="440" spans="1:9" ht="14.25" customHeight="1" x14ac:dyDescent="0.3">
      <c r="A440" s="2" t="s">
        <v>3068</v>
      </c>
      <c r="B440" s="2" t="s">
        <v>1908</v>
      </c>
      <c r="C440" s="3">
        <v>46081.190763888888</v>
      </c>
      <c r="D440" s="3">
        <v>46090</v>
      </c>
      <c r="E440" s="3">
        <v>46089.475335648152</v>
      </c>
      <c r="F440" s="6">
        <v>163.13</v>
      </c>
      <c r="G440">
        <f t="shared" si="6"/>
        <v>-1</v>
      </c>
      <c r="H440" s="20">
        <v>8.2845717590000003</v>
      </c>
      <c r="I440" s="20">
        <v>0.52466435199999994</v>
      </c>
    </row>
    <row r="441" spans="1:9" ht="14.25" customHeight="1" x14ac:dyDescent="0.3">
      <c r="A441" s="2" t="s">
        <v>3069</v>
      </c>
      <c r="B441" s="2" t="s">
        <v>1576</v>
      </c>
      <c r="C441" s="3">
        <v>46081.608576388891</v>
      </c>
      <c r="D441" s="3">
        <v>46086</v>
      </c>
      <c r="E441" s="3">
        <v>46086.67083333333</v>
      </c>
      <c r="F441" s="6">
        <v>158.28</v>
      </c>
      <c r="G441">
        <f t="shared" si="6"/>
        <v>0</v>
      </c>
      <c r="H441" s="20">
        <v>5.0622569439999996</v>
      </c>
      <c r="I441" s="20">
        <v>-0.67083333300000003</v>
      </c>
    </row>
    <row r="442" spans="1:9" ht="14.25" customHeight="1" x14ac:dyDescent="0.3">
      <c r="A442" s="2" t="s">
        <v>3070</v>
      </c>
      <c r="B442" s="2" t="s">
        <v>2101</v>
      </c>
      <c r="C442" s="3">
        <v>46081.664247685178</v>
      </c>
      <c r="D442" s="3">
        <v>46089</v>
      </c>
      <c r="E442" s="3">
        <v>46089.707719907397</v>
      </c>
      <c r="F442" s="6">
        <v>97.4</v>
      </c>
      <c r="G442">
        <f t="shared" si="6"/>
        <v>0</v>
      </c>
      <c r="H442" s="20">
        <v>8.0434722220000001</v>
      </c>
      <c r="I442" s="20">
        <v>-0.70771990699999998</v>
      </c>
    </row>
    <row r="443" spans="1:9" ht="14.25" customHeight="1" x14ac:dyDescent="0.3">
      <c r="A443" s="2" t="s">
        <v>3071</v>
      </c>
      <c r="B443" s="2" t="s">
        <v>1943</v>
      </c>
      <c r="C443" s="3">
        <v>46081.721932870372</v>
      </c>
      <c r="D443" s="3">
        <v>46086</v>
      </c>
      <c r="E443" s="3">
        <v>46084.545937499999</v>
      </c>
      <c r="F443" s="6">
        <v>131.04</v>
      </c>
      <c r="G443">
        <f t="shared" si="6"/>
        <v>-2</v>
      </c>
      <c r="H443" s="20">
        <v>2.8240046300000001</v>
      </c>
      <c r="I443" s="20">
        <v>1.4540625</v>
      </c>
    </row>
    <row r="444" spans="1:9" ht="14.25" customHeight="1" x14ac:dyDescent="0.3">
      <c r="A444" s="2" t="s">
        <v>3072</v>
      </c>
      <c r="B444" s="2" t="s">
        <v>2387</v>
      </c>
      <c r="C444" s="3">
        <v>46088.604513888888</v>
      </c>
      <c r="D444" s="3">
        <v>46096</v>
      </c>
      <c r="E444" s="3">
        <v>46095.4533912037</v>
      </c>
      <c r="F444" s="6">
        <v>77.97</v>
      </c>
      <c r="G444">
        <f t="shared" si="6"/>
        <v>-1</v>
      </c>
      <c r="H444" s="20">
        <v>6.8488773150000002</v>
      </c>
      <c r="I444" s="20">
        <v>0.54660879600000001</v>
      </c>
    </row>
    <row r="445" spans="1:9" ht="14.25" customHeight="1" x14ac:dyDescent="0.3">
      <c r="A445" s="2" t="s">
        <v>3073</v>
      </c>
      <c r="B445" s="2" t="s">
        <v>1716</v>
      </c>
      <c r="C445" s="3">
        <v>46089.056215277778</v>
      </c>
      <c r="D445" s="3">
        <v>46096</v>
      </c>
      <c r="E445" s="3">
        <v>46096.748124999998</v>
      </c>
      <c r="F445" s="6">
        <v>10.94</v>
      </c>
      <c r="G445">
        <f t="shared" si="6"/>
        <v>0</v>
      </c>
      <c r="H445" s="20">
        <v>7.6919097220000001</v>
      </c>
      <c r="I445" s="20">
        <v>-0.74812500000000004</v>
      </c>
    </row>
    <row r="446" spans="1:9" ht="14.25" customHeight="1" x14ac:dyDescent="0.3">
      <c r="A446" s="2" t="s">
        <v>3074</v>
      </c>
      <c r="B446" s="2" t="s">
        <v>2187</v>
      </c>
      <c r="C446" s="3">
        <v>46089.096643518518</v>
      </c>
      <c r="D446" s="3">
        <v>46095</v>
      </c>
      <c r="E446" s="3">
        <v>46097.372546296298</v>
      </c>
      <c r="F446" s="6">
        <v>21.21</v>
      </c>
      <c r="G446">
        <f t="shared" si="6"/>
        <v>2</v>
      </c>
      <c r="H446" s="20">
        <v>8.2759027780000007</v>
      </c>
      <c r="I446" s="20">
        <v>-2.3725462959999999</v>
      </c>
    </row>
    <row r="447" spans="1:9" ht="14.25" customHeight="1" x14ac:dyDescent="0.3">
      <c r="A447" s="2" t="s">
        <v>3075</v>
      </c>
      <c r="B447" s="2" t="s">
        <v>1560</v>
      </c>
      <c r="C447" s="3">
        <v>46090.433923611112</v>
      </c>
      <c r="D447" s="3">
        <v>46099</v>
      </c>
      <c r="E447" s="3">
        <v>46100.627812500003</v>
      </c>
      <c r="F447" s="6">
        <v>20.13</v>
      </c>
      <c r="G447">
        <f t="shared" si="6"/>
        <v>1</v>
      </c>
      <c r="H447" s="20">
        <v>10.19388889</v>
      </c>
      <c r="I447" s="20">
        <v>-1.6278125000000001</v>
      </c>
    </row>
    <row r="448" spans="1:9" ht="14.25" customHeight="1" x14ac:dyDescent="0.3">
      <c r="A448" s="2" t="s">
        <v>3076</v>
      </c>
      <c r="B448" s="2" t="s">
        <v>2058</v>
      </c>
      <c r="C448" s="3">
        <v>46090.600740740738</v>
      </c>
      <c r="D448" s="3">
        <v>46094</v>
      </c>
      <c r="E448" s="3">
        <v>46094.379351851851</v>
      </c>
      <c r="F448" s="6">
        <v>82.45</v>
      </c>
      <c r="G448">
        <f t="shared" si="6"/>
        <v>0</v>
      </c>
      <c r="H448" s="20">
        <v>3.778611111</v>
      </c>
      <c r="I448" s="20">
        <v>-0.37935185199999999</v>
      </c>
    </row>
    <row r="449" spans="1:9" ht="14.25" customHeight="1" x14ac:dyDescent="0.3">
      <c r="A449" s="2" t="s">
        <v>3077</v>
      </c>
      <c r="B449" s="2" t="s">
        <v>2051</v>
      </c>
      <c r="C449" s="3">
        <v>46091.380613425928</v>
      </c>
      <c r="D449" s="3">
        <v>46097</v>
      </c>
      <c r="E449" s="3">
        <v>46097.606874999998</v>
      </c>
      <c r="F449" s="6">
        <v>36.57</v>
      </c>
      <c r="G449">
        <f t="shared" si="6"/>
        <v>0</v>
      </c>
      <c r="H449" s="20">
        <v>6.2262615739999996</v>
      </c>
      <c r="I449" s="20">
        <v>-0.60687500000000005</v>
      </c>
    </row>
    <row r="450" spans="1:9" ht="14.25" customHeight="1" x14ac:dyDescent="0.3">
      <c r="A450" s="2" t="s">
        <v>3078</v>
      </c>
      <c r="B450" s="2" t="s">
        <v>1976</v>
      </c>
      <c r="C450" s="3">
        <v>46092.413159722222</v>
      </c>
      <c r="D450" s="3">
        <v>46098</v>
      </c>
      <c r="E450" s="3">
        <v>46098.459502314807</v>
      </c>
      <c r="F450" s="6">
        <v>78.5</v>
      </c>
      <c r="G450">
        <f t="shared" si="6"/>
        <v>0</v>
      </c>
      <c r="H450" s="20">
        <v>6.0463425930000003</v>
      </c>
      <c r="I450" s="20">
        <v>-0.45950231499999999</v>
      </c>
    </row>
    <row r="451" spans="1:9" ht="14.25" customHeight="1" x14ac:dyDescent="0.3">
      <c r="A451" s="2" t="s">
        <v>3079</v>
      </c>
      <c r="B451" s="2" t="s">
        <v>1880</v>
      </c>
      <c r="C451" s="3">
        <v>46092.697395833333</v>
      </c>
      <c r="D451" s="3">
        <v>46099</v>
      </c>
      <c r="E451" s="3">
        <v>46098.592476851853</v>
      </c>
      <c r="F451" s="6">
        <v>109.02</v>
      </c>
      <c r="G451">
        <f t="shared" ref="G451:G479" si="7">INT(E451)-INT(D451)</f>
        <v>-1</v>
      </c>
      <c r="H451" s="20">
        <v>5.895081019</v>
      </c>
      <c r="I451" s="20">
        <v>0.407523148</v>
      </c>
    </row>
    <row r="452" spans="1:9" ht="14.25" customHeight="1" x14ac:dyDescent="0.3">
      <c r="A452" s="2" t="s">
        <v>3080</v>
      </c>
      <c r="B452" s="2" t="s">
        <v>1622</v>
      </c>
      <c r="C452" s="3">
        <v>46094.166481481479</v>
      </c>
      <c r="D452" s="3">
        <v>46098</v>
      </c>
      <c r="E452" s="3">
        <v>46099.567372685182</v>
      </c>
      <c r="F452" s="6">
        <v>16.809999999999999</v>
      </c>
      <c r="G452">
        <f t="shared" si="7"/>
        <v>1</v>
      </c>
      <c r="H452" s="20">
        <v>5.4008912039999997</v>
      </c>
      <c r="I452" s="20">
        <v>-1.567372685</v>
      </c>
    </row>
    <row r="453" spans="1:9" ht="14.25" customHeight="1" x14ac:dyDescent="0.3">
      <c r="A453" s="2" t="s">
        <v>3081</v>
      </c>
      <c r="B453" s="2" t="s">
        <v>1983</v>
      </c>
      <c r="C453" s="3">
        <v>46094.53800925926</v>
      </c>
      <c r="D453" s="3">
        <v>46099</v>
      </c>
      <c r="E453" s="3">
        <v>46098.412083333344</v>
      </c>
      <c r="F453" s="6">
        <v>49.16</v>
      </c>
      <c r="G453">
        <f t="shared" si="7"/>
        <v>-1</v>
      </c>
      <c r="H453" s="20">
        <v>3.8740740740000001</v>
      </c>
      <c r="I453" s="20">
        <v>0.587916667</v>
      </c>
    </row>
    <row r="454" spans="1:9" ht="14.25" customHeight="1" x14ac:dyDescent="0.3">
      <c r="A454" s="2" t="s">
        <v>3082</v>
      </c>
      <c r="B454" s="2" t="s">
        <v>2221</v>
      </c>
      <c r="C454" s="3">
        <v>46095.44494212963</v>
      </c>
      <c r="D454" s="3">
        <v>46102</v>
      </c>
      <c r="E454" s="3">
        <v>46104.575509259259</v>
      </c>
      <c r="F454" s="6">
        <v>275.47000000000003</v>
      </c>
      <c r="G454">
        <f t="shared" si="7"/>
        <v>2</v>
      </c>
      <c r="H454" s="20">
        <v>9.1305671299999993</v>
      </c>
      <c r="I454" s="20">
        <v>-2.5755092589999999</v>
      </c>
    </row>
    <row r="455" spans="1:9" ht="14.25" customHeight="1" x14ac:dyDescent="0.3">
      <c r="A455" s="2" t="s">
        <v>3083</v>
      </c>
      <c r="B455" s="2" t="s">
        <v>1953</v>
      </c>
      <c r="C455" s="3">
        <v>46095.857395833344</v>
      </c>
      <c r="D455" s="3">
        <v>46100</v>
      </c>
      <c r="E455" s="3">
        <v>46099.694074074083</v>
      </c>
      <c r="F455" s="6">
        <v>58.55</v>
      </c>
      <c r="G455">
        <f t="shared" si="7"/>
        <v>-1</v>
      </c>
      <c r="H455" s="20">
        <v>3.836678241</v>
      </c>
      <c r="I455" s="20">
        <v>0.30592592600000001</v>
      </c>
    </row>
    <row r="456" spans="1:9" ht="14.25" customHeight="1" x14ac:dyDescent="0.3">
      <c r="A456" s="2" t="s">
        <v>3084</v>
      </c>
      <c r="B456" s="2" t="s">
        <v>1684</v>
      </c>
      <c r="C456" s="3">
        <v>46096.004675925928</v>
      </c>
      <c r="D456" s="3">
        <v>46103</v>
      </c>
      <c r="E456" s="3">
        <v>46102.535891203697</v>
      </c>
      <c r="F456" s="6">
        <v>49.21</v>
      </c>
      <c r="G456">
        <f t="shared" si="7"/>
        <v>-1</v>
      </c>
      <c r="H456" s="20">
        <v>6.5312152780000003</v>
      </c>
      <c r="I456" s="20">
        <v>0.46410879599999999</v>
      </c>
    </row>
    <row r="457" spans="1:9" ht="14.25" customHeight="1" x14ac:dyDescent="0.3">
      <c r="A457" s="2" t="s">
        <v>3085</v>
      </c>
      <c r="B457" s="2" t="s">
        <v>1920</v>
      </c>
      <c r="C457" s="3">
        <v>46096.842997685177</v>
      </c>
      <c r="D457" s="3">
        <v>46100</v>
      </c>
      <c r="E457" s="3">
        <v>46098.74962962963</v>
      </c>
      <c r="F457" s="6">
        <v>114.8</v>
      </c>
      <c r="G457">
        <f t="shared" si="7"/>
        <v>-2</v>
      </c>
      <c r="H457" s="20">
        <v>1.9066319439999999</v>
      </c>
      <c r="I457" s="20">
        <v>1.25037037</v>
      </c>
    </row>
    <row r="458" spans="1:9" ht="14.25" customHeight="1" x14ac:dyDescent="0.3">
      <c r="A458" s="2" t="s">
        <v>3086</v>
      </c>
      <c r="B458" s="2" t="s">
        <v>2036</v>
      </c>
      <c r="C458" s="3">
        <v>46097.367210648154</v>
      </c>
      <c r="D458" s="3">
        <v>46102</v>
      </c>
      <c r="E458" s="3">
        <v>46102.491886574076</v>
      </c>
      <c r="F458" s="6">
        <v>157.44</v>
      </c>
      <c r="G458">
        <f t="shared" si="7"/>
        <v>0</v>
      </c>
      <c r="H458" s="20">
        <v>5.1246759260000001</v>
      </c>
      <c r="I458" s="20">
        <v>-0.49188657400000002</v>
      </c>
    </row>
    <row r="459" spans="1:9" ht="14.25" customHeight="1" x14ac:dyDescent="0.3">
      <c r="A459" s="2" t="s">
        <v>3087</v>
      </c>
      <c r="B459" s="2" t="s">
        <v>2187</v>
      </c>
      <c r="C459" s="3">
        <v>46097.814976851849</v>
      </c>
      <c r="D459" s="3">
        <v>46106</v>
      </c>
      <c r="E459" s="3">
        <v>46105.396620370368</v>
      </c>
      <c r="F459" s="6">
        <v>51.7</v>
      </c>
      <c r="G459">
        <f t="shared" si="7"/>
        <v>-1</v>
      </c>
      <c r="H459" s="20">
        <v>7.581643519</v>
      </c>
      <c r="I459" s="20">
        <v>0.60337962999999994</v>
      </c>
    </row>
    <row r="460" spans="1:9" ht="14.25" customHeight="1" x14ac:dyDescent="0.3">
      <c r="A460" s="2" t="s">
        <v>3088</v>
      </c>
      <c r="B460" s="2" t="s">
        <v>2439</v>
      </c>
      <c r="C460" s="3">
        <v>46098.360300925917</v>
      </c>
      <c r="D460" s="3">
        <v>46104</v>
      </c>
      <c r="E460" s="3">
        <v>46104.344849537039</v>
      </c>
      <c r="F460" s="6">
        <v>147.51999999999998</v>
      </c>
      <c r="G460">
        <f t="shared" si="7"/>
        <v>0</v>
      </c>
      <c r="H460" s="20">
        <v>5.9845486110000001</v>
      </c>
      <c r="I460" s="20">
        <v>-0.34484953699999998</v>
      </c>
    </row>
    <row r="461" spans="1:9" ht="14.25" customHeight="1" x14ac:dyDescent="0.3">
      <c r="A461" s="2" t="s">
        <v>3089</v>
      </c>
      <c r="B461" s="2" t="s">
        <v>1704</v>
      </c>
      <c r="C461" s="3">
        <v>46098.49931712963</v>
      </c>
      <c r="D461" s="3">
        <v>46103</v>
      </c>
      <c r="E461" s="3">
        <v>46104.741215277783</v>
      </c>
      <c r="F461" s="6">
        <v>175.16</v>
      </c>
      <c r="G461">
        <f t="shared" si="7"/>
        <v>1</v>
      </c>
      <c r="H461" s="20">
        <v>6.2418981479999998</v>
      </c>
      <c r="I461" s="20">
        <v>-1.7412152780000001</v>
      </c>
    </row>
    <row r="462" spans="1:9" ht="14.25" customHeight="1" x14ac:dyDescent="0.3">
      <c r="A462" s="2" t="s">
        <v>3090</v>
      </c>
      <c r="B462" s="2" t="s">
        <v>2131</v>
      </c>
      <c r="C462" s="3">
        <v>46099.096932870372</v>
      </c>
      <c r="D462" s="3">
        <v>46102</v>
      </c>
      <c r="E462" s="3">
        <v>46103.380925925929</v>
      </c>
      <c r="F462" s="6">
        <v>24.94</v>
      </c>
      <c r="G462">
        <f t="shared" si="7"/>
        <v>1</v>
      </c>
      <c r="H462" s="20">
        <v>4.2839930559999999</v>
      </c>
      <c r="I462" s="20">
        <v>-1.380925926</v>
      </c>
    </row>
    <row r="463" spans="1:9" ht="14.25" customHeight="1" x14ac:dyDescent="0.3">
      <c r="A463" s="2" t="s">
        <v>3091</v>
      </c>
      <c r="B463" s="2" t="s">
        <v>1883</v>
      </c>
      <c r="C463" s="3">
        <v>46099.29791666667</v>
      </c>
      <c r="D463" s="3">
        <v>46105</v>
      </c>
      <c r="E463" s="3">
        <v>46108.515856481477</v>
      </c>
      <c r="F463" s="6">
        <v>32.71</v>
      </c>
      <c r="G463">
        <f t="shared" si="7"/>
        <v>3</v>
      </c>
      <c r="H463" s="20">
        <v>9.2179398149999994</v>
      </c>
      <c r="I463" s="20">
        <v>-3.5158564810000001</v>
      </c>
    </row>
    <row r="464" spans="1:9" ht="14.25" customHeight="1" x14ac:dyDescent="0.3">
      <c r="A464" s="2" t="s">
        <v>3092</v>
      </c>
      <c r="B464" s="2" t="s">
        <v>2400</v>
      </c>
      <c r="C464" s="3">
        <v>46100.523726851847</v>
      </c>
      <c r="D464" s="3">
        <v>46110</v>
      </c>
      <c r="E464" s="3">
        <v>46108.582418981481</v>
      </c>
      <c r="F464" s="6">
        <v>23.3</v>
      </c>
      <c r="G464">
        <f t="shared" si="7"/>
        <v>-2</v>
      </c>
      <c r="H464" s="20">
        <v>8.0586921300000007</v>
      </c>
      <c r="I464" s="20">
        <v>1.417581019</v>
      </c>
    </row>
    <row r="465" spans="1:9" ht="14.25" customHeight="1" x14ac:dyDescent="0.3">
      <c r="A465" s="2" t="s">
        <v>3093</v>
      </c>
      <c r="B465" s="2" t="s">
        <v>1501</v>
      </c>
      <c r="C465" s="3">
        <v>46100.829826388886</v>
      </c>
      <c r="D465" s="3">
        <v>46112</v>
      </c>
      <c r="E465" s="3">
        <v>46112.665810185194</v>
      </c>
      <c r="F465" s="6">
        <v>3.23</v>
      </c>
      <c r="G465">
        <f t="shared" si="7"/>
        <v>0</v>
      </c>
      <c r="H465" s="20">
        <v>11.835983799999999</v>
      </c>
      <c r="I465" s="20">
        <v>-0.665810185</v>
      </c>
    </row>
    <row r="466" spans="1:9" ht="14.25" customHeight="1" x14ac:dyDescent="0.3">
      <c r="A466" s="2" t="s">
        <v>3094</v>
      </c>
      <c r="B466" s="2" t="s">
        <v>1740</v>
      </c>
      <c r="C466" s="3">
        <v>46101.0937962963</v>
      </c>
      <c r="D466" s="3">
        <v>46108</v>
      </c>
      <c r="E466" s="3">
        <v>46109.400324074071</v>
      </c>
      <c r="F466" s="6">
        <v>22.23</v>
      </c>
      <c r="G466">
        <f t="shared" si="7"/>
        <v>1</v>
      </c>
      <c r="H466" s="20">
        <v>8.3065277779999995</v>
      </c>
      <c r="I466" s="20">
        <v>-1.400324074</v>
      </c>
    </row>
    <row r="467" spans="1:9" ht="14.25" customHeight="1" x14ac:dyDescent="0.3">
      <c r="A467" s="2" t="s">
        <v>3095</v>
      </c>
      <c r="B467" s="2" t="s">
        <v>2539</v>
      </c>
      <c r="C467" s="3">
        <v>46101.568784722222</v>
      </c>
      <c r="D467" s="3">
        <v>46108</v>
      </c>
      <c r="E467" s="3">
        <v>46110.606898148151</v>
      </c>
      <c r="F467" s="6">
        <v>17.829999999999998</v>
      </c>
      <c r="G467">
        <f t="shared" si="7"/>
        <v>2</v>
      </c>
      <c r="H467" s="20">
        <v>9.0381134260000007</v>
      </c>
      <c r="I467" s="20">
        <v>-2.606898148</v>
      </c>
    </row>
    <row r="468" spans="1:9" ht="14.25" customHeight="1" x14ac:dyDescent="0.3">
      <c r="A468" s="2" t="s">
        <v>3096</v>
      </c>
      <c r="B468" s="2" t="s">
        <v>2350</v>
      </c>
      <c r="C468" s="3">
        <v>46101.718113425923</v>
      </c>
      <c r="D468" s="3">
        <v>46113</v>
      </c>
      <c r="E468" s="3">
        <v>46113.471203703702</v>
      </c>
      <c r="F468" s="6">
        <v>104.03</v>
      </c>
      <c r="G468">
        <f t="shared" si="7"/>
        <v>0</v>
      </c>
      <c r="H468" s="20">
        <v>11.75309028</v>
      </c>
      <c r="I468" s="20">
        <v>-0.471203704</v>
      </c>
    </row>
    <row r="469" spans="1:9" ht="14.25" customHeight="1" x14ac:dyDescent="0.3">
      <c r="A469" s="2" t="s">
        <v>3097</v>
      </c>
      <c r="B469" s="2" t="s">
        <v>2407</v>
      </c>
      <c r="C469" s="3">
        <v>46102.011365740742</v>
      </c>
      <c r="D469" s="3">
        <v>46110</v>
      </c>
      <c r="E469" s="3">
        <v>46110.580462962957</v>
      </c>
      <c r="F469" s="6">
        <v>92.77</v>
      </c>
      <c r="G469">
        <f t="shared" si="7"/>
        <v>0</v>
      </c>
      <c r="H469" s="20">
        <v>8.5690972219999999</v>
      </c>
      <c r="I469" s="20">
        <v>-0.580462963</v>
      </c>
    </row>
    <row r="470" spans="1:9" ht="14.25" customHeight="1" x14ac:dyDescent="0.3">
      <c r="A470" s="2" t="s">
        <v>3098</v>
      </c>
      <c r="B470" s="2" t="s">
        <v>2535</v>
      </c>
      <c r="C470" s="3">
        <v>46105.236620370371</v>
      </c>
      <c r="D470" s="3">
        <v>46114</v>
      </c>
      <c r="E470" s="3">
        <v>46113.747256944444</v>
      </c>
      <c r="F470" s="6">
        <v>60.86</v>
      </c>
      <c r="G470">
        <f t="shared" si="7"/>
        <v>-1</v>
      </c>
      <c r="H470" s="20">
        <v>8.5106365739999994</v>
      </c>
      <c r="I470" s="20">
        <v>0.25274305600000002</v>
      </c>
    </row>
    <row r="471" spans="1:9" ht="14.25" customHeight="1" x14ac:dyDescent="0.3">
      <c r="A471" s="2" t="s">
        <v>3099</v>
      </c>
      <c r="B471" s="2" t="s">
        <v>1761</v>
      </c>
      <c r="C471" s="3">
        <v>46106.173622685194</v>
      </c>
      <c r="D471" s="3">
        <v>46110</v>
      </c>
      <c r="E471" s="3">
        <v>46110.652650462973</v>
      </c>
      <c r="F471" s="6">
        <v>115.55</v>
      </c>
      <c r="G471">
        <f t="shared" si="7"/>
        <v>0</v>
      </c>
      <c r="H471" s="20">
        <v>4.4790277779999998</v>
      </c>
      <c r="I471" s="20">
        <v>-0.65265046299999996</v>
      </c>
    </row>
    <row r="472" spans="1:9" ht="14.25" customHeight="1" x14ac:dyDescent="0.3">
      <c r="A472" s="2" t="s">
        <v>3100</v>
      </c>
      <c r="B472" s="2" t="s">
        <v>1793</v>
      </c>
      <c r="C472" s="3">
        <v>46106.769907407397</v>
      </c>
      <c r="D472" s="3">
        <v>46113</v>
      </c>
      <c r="E472" s="3">
        <v>46112.512349537043</v>
      </c>
      <c r="F472" s="6">
        <v>75.87</v>
      </c>
      <c r="G472">
        <f t="shared" si="7"/>
        <v>-1</v>
      </c>
      <c r="H472" s="20">
        <v>5.7424421299999997</v>
      </c>
      <c r="I472" s="20">
        <v>0.48765046299999998</v>
      </c>
    </row>
    <row r="473" spans="1:9" ht="14.25" customHeight="1" x14ac:dyDescent="0.3">
      <c r="A473" s="2" t="s">
        <v>3101</v>
      </c>
      <c r="B473" s="2" t="s">
        <v>1969</v>
      </c>
      <c r="C473" s="3">
        <v>46108.377835648149</v>
      </c>
      <c r="D473" s="3">
        <v>46117</v>
      </c>
      <c r="E473" s="3">
        <v>46116.576388888891</v>
      </c>
      <c r="F473" s="6">
        <v>156.63</v>
      </c>
      <c r="G473">
        <f t="shared" si="7"/>
        <v>-1</v>
      </c>
      <c r="H473" s="20">
        <v>8.1985532410000008</v>
      </c>
      <c r="I473" s="20">
        <v>0.42361111099999998</v>
      </c>
    </row>
    <row r="474" spans="1:9" ht="14.25" customHeight="1" x14ac:dyDescent="0.3">
      <c r="A474" s="2" t="s">
        <v>3102</v>
      </c>
      <c r="B474" s="2" t="s">
        <v>1761</v>
      </c>
      <c r="C474" s="3">
        <v>46109.003229166658</v>
      </c>
      <c r="D474" s="3">
        <v>46119</v>
      </c>
      <c r="E474" s="3">
        <v>46118.631886574083</v>
      </c>
      <c r="F474" s="6">
        <v>49.21</v>
      </c>
      <c r="G474">
        <f t="shared" si="7"/>
        <v>-1</v>
      </c>
      <c r="H474" s="20">
        <v>9.6286574070000004</v>
      </c>
      <c r="I474" s="20">
        <v>0.36811342600000002</v>
      </c>
    </row>
    <row r="475" spans="1:9" ht="14.25" customHeight="1" x14ac:dyDescent="0.3">
      <c r="A475" s="2" t="s">
        <v>3103</v>
      </c>
      <c r="B475" s="2" t="s">
        <v>2221</v>
      </c>
      <c r="C475" s="3">
        <v>46109.809004629627</v>
      </c>
      <c r="D475" s="3">
        <v>46120</v>
      </c>
      <c r="E475" s="3">
        <v>46121.497499999998</v>
      </c>
      <c r="F475" s="6">
        <v>152.81</v>
      </c>
      <c r="G475">
        <f t="shared" si="7"/>
        <v>1</v>
      </c>
      <c r="H475" s="20">
        <v>11.68849537</v>
      </c>
      <c r="I475" s="20">
        <v>-1.4975000000000001</v>
      </c>
    </row>
    <row r="476" spans="1:9" ht="14.25" customHeight="1" x14ac:dyDescent="0.3">
      <c r="A476" s="2" t="s">
        <v>3104</v>
      </c>
      <c r="B476" s="2" t="s">
        <v>1497</v>
      </c>
      <c r="C476" s="3">
        <v>46109.831342592603</v>
      </c>
      <c r="D476" s="3">
        <v>46116</v>
      </c>
      <c r="E476" s="3">
        <v>46115.5390625</v>
      </c>
      <c r="F476" s="6">
        <v>63.84</v>
      </c>
      <c r="G476">
        <f t="shared" si="7"/>
        <v>-1</v>
      </c>
      <c r="H476" s="20">
        <v>5.7077199070000004</v>
      </c>
      <c r="I476" s="20">
        <v>0.4609375</v>
      </c>
    </row>
    <row r="477" spans="1:9" ht="14.25" customHeight="1" x14ac:dyDescent="0.3">
      <c r="A477" s="2" t="s">
        <v>3105</v>
      </c>
      <c r="B477" s="2" t="s">
        <v>2276</v>
      </c>
      <c r="C477" s="3">
        <v>46111.183923611112</v>
      </c>
      <c r="D477" s="3">
        <v>46120</v>
      </c>
      <c r="E477" s="3">
        <v>46120.527326388888</v>
      </c>
      <c r="F477" s="6">
        <v>212.26</v>
      </c>
      <c r="G477">
        <f t="shared" si="7"/>
        <v>0</v>
      </c>
      <c r="H477" s="20">
        <v>9.3434027779999997</v>
      </c>
      <c r="I477" s="20">
        <v>-0.52732638899999995</v>
      </c>
    </row>
    <row r="478" spans="1:9" ht="14.25" customHeight="1" x14ac:dyDescent="0.3">
      <c r="A478" s="2" t="s">
        <v>3106</v>
      </c>
      <c r="B478" s="2" t="s">
        <v>1584</v>
      </c>
      <c r="C478" s="3">
        <v>46112.010011574072</v>
      </c>
      <c r="D478" s="3">
        <v>46116</v>
      </c>
      <c r="E478" s="3">
        <v>46116.700104166674</v>
      </c>
      <c r="F478" s="6">
        <v>82.88</v>
      </c>
      <c r="G478">
        <f t="shared" si="7"/>
        <v>0</v>
      </c>
      <c r="H478" s="20">
        <v>4.6900925930000001</v>
      </c>
      <c r="I478" s="20">
        <v>-0.700104167</v>
      </c>
    </row>
    <row r="479" spans="1:9" ht="14.25" customHeight="1" x14ac:dyDescent="0.3">
      <c r="A479" s="2" t="s">
        <v>3107</v>
      </c>
      <c r="B479" s="2" t="s">
        <v>2564</v>
      </c>
      <c r="C479" s="3">
        <v>46112.512395833342</v>
      </c>
      <c r="D479" s="3">
        <v>46122</v>
      </c>
      <c r="E479" s="3">
        <v>46123.424791666657</v>
      </c>
      <c r="F479" s="6">
        <v>116.19</v>
      </c>
      <c r="G479">
        <f t="shared" si="7"/>
        <v>1</v>
      </c>
      <c r="H479" s="20">
        <v>10.912395829999999</v>
      </c>
      <c r="I479" s="20">
        <v>-1.424791667</v>
      </c>
    </row>
    <row r="480" spans="1:9" ht="14.25" customHeight="1" x14ac:dyDescent="0.3">
      <c r="F480" s="6">
        <f>SUM(F2:F479)</f>
        <v>37823.539999999972</v>
      </c>
      <c r="G480">
        <f>ROUND(AVERAGE(G2:G479),2)</f>
        <v>0.37</v>
      </c>
    </row>
    <row r="481" spans="6:6" ht="14.25" customHeight="1" x14ac:dyDescent="0.3">
      <c r="F481" s="6">
        <f>AVERAGE(F2:F479)</f>
        <v>79.128744769874416</v>
      </c>
    </row>
    <row r="482" spans="6:6" ht="14.25" customHeight="1" x14ac:dyDescent="0.3"/>
    <row r="483" spans="6:6" ht="14.25" customHeight="1" x14ac:dyDescent="0.3"/>
    <row r="484" spans="6:6" ht="14.25" customHeight="1" x14ac:dyDescent="0.3"/>
    <row r="485" spans="6:6" ht="14.25" customHeight="1" x14ac:dyDescent="0.3"/>
    <row r="486" spans="6:6" ht="14.25" customHeight="1" x14ac:dyDescent="0.3"/>
    <row r="487" spans="6:6" ht="14.25" customHeight="1" x14ac:dyDescent="0.3"/>
    <row r="488" spans="6:6" ht="14.25" customHeight="1" x14ac:dyDescent="0.3"/>
    <row r="489" spans="6:6" ht="14.25" customHeight="1" x14ac:dyDescent="0.3"/>
    <row r="490" spans="6:6" ht="14.25" customHeight="1" x14ac:dyDescent="0.3"/>
    <row r="491" spans="6:6" ht="14.25" customHeight="1" x14ac:dyDescent="0.3"/>
    <row r="492" spans="6:6" ht="14.25" customHeight="1" x14ac:dyDescent="0.3"/>
    <row r="493" spans="6:6" ht="14.25" customHeight="1" x14ac:dyDescent="0.3"/>
    <row r="494" spans="6:6" ht="14.25" customHeight="1" x14ac:dyDescent="0.3"/>
    <row r="495" spans="6:6" ht="14.25" customHeight="1" x14ac:dyDescent="0.3"/>
    <row r="496" spans="6: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autoFilter ref="A1:AA480" xr:uid="{00000000-0009-0000-0000-000003000000}">
    <sortState xmlns:xlrd2="http://schemas.microsoft.com/office/spreadsheetml/2017/richdata2" ref="A2:N480">
      <sortCondition ref="C1:C479"/>
    </sortState>
  </autoFilter>
  <conditionalFormatting sqref="A1:A1048576">
    <cfRule type="duplicateValues" dxfId="3" priority="1"/>
  </conditionalFormatting>
  <conditionalFormatting sqref="A2">
    <cfRule type="duplicateValues" dxfId="2" priority="2"/>
  </conditionalFormatting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1000"/>
  <sheetViews>
    <sheetView topLeftCell="R14" workbookViewId="0">
      <selection activeCell="X26" sqref="X26"/>
    </sheetView>
  </sheetViews>
  <sheetFormatPr defaultColWidth="14.44140625" defaultRowHeight="15" customHeight="1" x14ac:dyDescent="0.3"/>
  <cols>
    <col min="1" max="1" width="12.6640625" bestFit="1" customWidth="1"/>
    <col min="2" max="2" width="14.6640625" bestFit="1" customWidth="1"/>
    <col min="3" max="3" width="20.44140625" bestFit="1" customWidth="1"/>
    <col min="4" max="4" width="20.5546875" bestFit="1" customWidth="1"/>
    <col min="5" max="5" width="17.33203125" bestFit="1" customWidth="1"/>
    <col min="6" max="6" width="17.109375" bestFit="1" customWidth="1"/>
    <col min="7" max="7" width="40.44140625" bestFit="1" customWidth="1"/>
    <col min="8" max="8" width="12.44140625" bestFit="1" customWidth="1"/>
    <col min="9" max="9" width="12.44140625" customWidth="1"/>
    <col min="10" max="10" width="20.5546875" bestFit="1" customWidth="1"/>
    <col min="11" max="11" width="8.6640625" customWidth="1"/>
    <col min="12" max="12" width="40.44140625" bestFit="1" customWidth="1"/>
    <col min="13" max="13" width="20" bestFit="1" customWidth="1"/>
    <col min="14" max="14" width="8.6640625" customWidth="1"/>
    <col min="15" max="15" width="40.44140625" bestFit="1" customWidth="1"/>
    <col min="16" max="16" width="22.5546875" bestFit="1" customWidth="1"/>
    <col min="17" max="17" width="8.6640625" customWidth="1"/>
    <col min="18" max="18" width="20.5546875" bestFit="1" customWidth="1"/>
    <col min="19" max="19" width="19.33203125" bestFit="1" customWidth="1"/>
    <col min="20" max="20" width="8.6640625" customWidth="1"/>
    <col min="21" max="21" width="20.5546875" bestFit="1" customWidth="1"/>
    <col min="22" max="22" width="22.5546875" bestFit="1" customWidth="1"/>
    <col min="23" max="23" width="8.6640625" customWidth="1"/>
    <col min="24" max="25" width="20" bestFit="1" customWidth="1"/>
    <col min="26" max="26" width="8" customWidth="1"/>
    <col min="27" max="27" width="10.44140625" customWidth="1"/>
    <col min="28" max="28" width="8.88671875" customWidth="1"/>
    <col min="29" max="30" width="8" bestFit="1" customWidth="1"/>
    <col min="31" max="31" width="9.33203125" bestFit="1" customWidth="1"/>
    <col min="32" max="32" width="9" bestFit="1" customWidth="1"/>
    <col min="33" max="33" width="10.109375" bestFit="1" customWidth="1"/>
    <col min="34" max="34" width="8" bestFit="1" customWidth="1"/>
    <col min="35" max="35" width="7.109375" bestFit="1" customWidth="1"/>
    <col min="36" max="36" width="11.44140625" bestFit="1" customWidth="1"/>
  </cols>
  <sheetData>
    <row r="1" spans="1:13" ht="14.25" customHeight="1" x14ac:dyDescent="0.3">
      <c r="A1" s="1" t="s">
        <v>2621</v>
      </c>
      <c r="B1" s="1" t="s">
        <v>0</v>
      </c>
      <c r="C1" s="1" t="s">
        <v>1000</v>
      </c>
      <c r="D1" s="5" t="s">
        <v>2</v>
      </c>
      <c r="E1" s="5" t="s">
        <v>998</v>
      </c>
      <c r="F1" s="5" t="s">
        <v>3108</v>
      </c>
      <c r="G1" s="5" t="s">
        <v>1</v>
      </c>
      <c r="H1" s="5" t="s">
        <v>4</v>
      </c>
      <c r="I1" s="12" t="s">
        <v>1097</v>
      </c>
      <c r="J1" s="12" t="s">
        <v>999</v>
      </c>
    </row>
    <row r="2" spans="1:13" ht="14.25" customHeight="1" x14ac:dyDescent="0.3">
      <c r="A2" s="2" t="s">
        <v>2629</v>
      </c>
      <c r="B2" s="2" t="s">
        <v>196</v>
      </c>
      <c r="C2" s="2">
        <v>1</v>
      </c>
      <c r="D2" t="str">
        <f>_xlfn.XLOOKUP(order_items!B2,products_2026!A:A,products_2026!C:C,,0,)</f>
        <v>Home</v>
      </c>
      <c r="E2">
        <f>_xlfn.XLOOKUP(B2,products_2026!A:A,products_2026!D:D,,0,)</f>
        <v>26.76</v>
      </c>
      <c r="F2">
        <f>C2*E2</f>
        <v>26.76</v>
      </c>
      <c r="G2" t="str">
        <f>_xlfn.XLOOKUP(B2,products_2026!A:A,products_2026!B:B,,0,)</f>
        <v>Scented Drawer Sachets Jasmine</v>
      </c>
      <c r="H2" t="str">
        <f>_xlfn.XLOOKUP(B2,products_2026!A:A,products_2026!E:E,,0,)</f>
        <v>SELL0036</v>
      </c>
      <c r="I2" t="str">
        <f>IFERROR(_xlfn.XLOOKUP(H2,sellers_2026!A:A,sellers_2026!G:G,,0,), "unknown/inactive")</f>
        <v>NT</v>
      </c>
      <c r="J2" t="str">
        <f>_xlfn.XLOOKUP(H2,sellers_2026!A:A,sellers_2026!B:B,,0,)</f>
        <v>goodqualityemporium</v>
      </c>
    </row>
    <row r="3" spans="1:13" ht="14.25" customHeight="1" x14ac:dyDescent="0.3">
      <c r="A3" s="2" t="s">
        <v>2630</v>
      </c>
      <c r="B3" s="2" t="s">
        <v>447</v>
      </c>
      <c r="C3" s="2">
        <v>1</v>
      </c>
      <c r="D3" t="str">
        <f>_xlfn.XLOOKUP(order_items!B3,products_2026!A:A,products_2026!C:C,,0,)</f>
        <v>Jewellery</v>
      </c>
      <c r="E3">
        <f>_xlfn.XLOOKUP(B3,products_2026!A:A,products_2026!D:D,,0,)</f>
        <v>47.32</v>
      </c>
      <c r="F3">
        <f t="shared" ref="F3:F66" si="0">C3*E3</f>
        <v>47.32</v>
      </c>
      <c r="G3" t="str">
        <f>_xlfn.XLOOKUP(B3,products_2026!A:A,products_2026!B:B,,0,)</f>
        <v>Men’s Leather Band Bracelet</v>
      </c>
      <c r="H3" t="str">
        <f>_xlfn.XLOOKUP(B3,products_2026!A:A,products_2026!E:E,,0,)</f>
        <v>SELL0062</v>
      </c>
      <c r="I3" t="str">
        <f>IFERROR(_xlfn.XLOOKUP(H3,sellers_2026!A:A,sellers_2026!G:G,,0,), "unknown/inactive")</f>
        <v>QLD</v>
      </c>
      <c r="J3" t="str">
        <f>_xlfn.XLOOKUP(H3,sellers_2026!A:A,sellers_2026!B:B,,0,)</f>
        <v>queenslandqweenie</v>
      </c>
    </row>
    <row r="4" spans="1:13" ht="14.25" customHeight="1" x14ac:dyDescent="0.3">
      <c r="A4" s="2" t="s">
        <v>2631</v>
      </c>
      <c r="B4" s="2" t="s">
        <v>537</v>
      </c>
      <c r="C4" s="2">
        <v>1</v>
      </c>
      <c r="D4" t="str">
        <f>_xlfn.XLOOKUP(order_items!B4,products_2026!A:A,products_2026!C:C,,0,)</f>
        <v>Beauty</v>
      </c>
      <c r="E4">
        <f>_xlfn.XLOOKUP(B4,products_2026!A:A,products_2026!D:D,,0,)</f>
        <v>25</v>
      </c>
      <c r="F4">
        <f t="shared" si="0"/>
        <v>25</v>
      </c>
      <c r="G4" t="str">
        <f>_xlfn.XLOOKUP(B4,products_2026!A:A,products_2026!B:B,,0,)</f>
        <v>Face mask peel-off orange 3 pack</v>
      </c>
      <c r="H4" t="str">
        <f>_xlfn.XLOOKUP(B4,products_2026!A:A,products_2026!E:E,,0,)</f>
        <v>SELL0075</v>
      </c>
      <c r="I4" t="str">
        <f>IFERROR(_xlfn.XLOOKUP(H4,sellers_2026!A:A,sellers_2026!G:G,,0,), "unknown/inactive")</f>
        <v>NSW</v>
      </c>
      <c r="J4" t="str">
        <f>_xlfn.XLOOKUP(H4,sellers_2026!A:A,sellers_2026!B:B,,0,)</f>
        <v>nhlay6j49a</v>
      </c>
    </row>
    <row r="5" spans="1:13" ht="14.25" customHeight="1" x14ac:dyDescent="0.3">
      <c r="A5" s="2" t="s">
        <v>2632</v>
      </c>
      <c r="B5" s="2" t="s">
        <v>478</v>
      </c>
      <c r="C5" s="2">
        <v>1</v>
      </c>
      <c r="D5" t="str">
        <f>_xlfn.XLOOKUP(order_items!B5,products_2026!A:A,products_2026!C:C,,0,)</f>
        <v>Electronics</v>
      </c>
      <c r="E5">
        <f>_xlfn.XLOOKUP(B5,products_2026!A:A,products_2026!D:D,,0,)</f>
        <v>38.56</v>
      </c>
      <c r="F5">
        <f t="shared" si="0"/>
        <v>38.56</v>
      </c>
      <c r="G5" t="str">
        <f>_xlfn.XLOOKUP(B5,products_2026!A:A,products_2026!B:B,,0,)</f>
        <v>USB C Fast Charger 30W (Black)</v>
      </c>
      <c r="H5" t="str">
        <f>_xlfn.XLOOKUP(B5,products_2026!A:A,products_2026!E:E,,0,)</f>
        <v>SELL0067</v>
      </c>
      <c r="I5" t="str">
        <f>IFERROR(_xlfn.XLOOKUP(H5,sellers_2026!A:A,sellers_2026!G:G,,0,), "unknown/inactive")</f>
        <v>WA</v>
      </c>
      <c r="J5" t="str">
        <f>_xlfn.XLOOKUP(H5,sellers_2026!A:A,sellers_2026!B:B,,0,)</f>
        <v>w71bv3mee1</v>
      </c>
    </row>
    <row r="6" spans="1:13" ht="14.25" customHeight="1" x14ac:dyDescent="0.3">
      <c r="A6" s="2" t="s">
        <v>2633</v>
      </c>
      <c r="B6" s="2" t="s">
        <v>978</v>
      </c>
      <c r="C6" s="2">
        <v>1</v>
      </c>
      <c r="D6" t="str">
        <f>_xlfn.XLOOKUP(order_items!B6,products_2026!A:A,products_2026!C:C,,0,)</f>
        <v>Stationery</v>
      </c>
      <c r="E6">
        <f>_xlfn.XLOOKUP(B6,products_2026!A:A,products_2026!D:D,,0,)</f>
        <v>7.32</v>
      </c>
      <c r="F6">
        <f t="shared" si="0"/>
        <v>7.32</v>
      </c>
      <c r="G6" t="str">
        <f>_xlfn.XLOOKUP(B6,products_2026!A:A,products_2026!B:B,,0,)</f>
        <v>Gel Pen Set - 10 pack (Black)</v>
      </c>
      <c r="H6" t="str">
        <f>_xlfn.XLOOKUP(B6,products_2026!A:A,products_2026!E:E,,0,)</f>
        <v>SELL0010</v>
      </c>
      <c r="I6" t="str">
        <f>IFERROR(_xlfn.XLOOKUP(H6,sellers_2026!A:A,sellers_2026!G:G,,0,), "unknown/inactive")</f>
        <v>VIC</v>
      </c>
      <c r="J6" t="str">
        <f>_xlfn.XLOOKUP(H6,sellers_2026!A:A,sellers_2026!B:B,,0,)</f>
        <v>hobbylobby</v>
      </c>
    </row>
    <row r="7" spans="1:13" ht="14.25" customHeight="1" x14ac:dyDescent="0.3">
      <c r="A7" s="2" t="s">
        <v>2634</v>
      </c>
      <c r="B7" s="2" t="s">
        <v>210</v>
      </c>
      <c r="C7" s="2">
        <v>1</v>
      </c>
      <c r="D7" t="str">
        <f>_xlfn.XLOOKUP(order_items!B7,products_2026!A:A,products_2026!C:C,,0,)</f>
        <v>Home</v>
      </c>
      <c r="E7">
        <f>_xlfn.XLOOKUP(B7,products_2026!A:A,products_2026!D:D,,0,)</f>
        <v>46.55</v>
      </c>
      <c r="F7">
        <f t="shared" si="0"/>
        <v>46.55</v>
      </c>
      <c r="G7" t="str">
        <f>_xlfn.XLOOKUP(B7,products_2026!A:A,products_2026!B:B,,0,)</f>
        <v>Stainless Steel Cutting Board</v>
      </c>
      <c r="H7" t="str">
        <f>_xlfn.XLOOKUP(B7,products_2026!A:A,products_2026!E:E,,0,)</f>
        <v>SELL0037</v>
      </c>
      <c r="I7" t="str">
        <f>IFERROR(_xlfn.XLOOKUP(H7,sellers_2026!A:A,sellers_2026!G:G,,0,), "unknown/inactive")</f>
        <v>VIC</v>
      </c>
      <c r="J7" t="str">
        <f>_xlfn.XLOOKUP(H7,sellers_2026!A:A,sellers_2026!B:B,,0,)</f>
        <v>storeshop</v>
      </c>
    </row>
    <row r="8" spans="1:13" ht="14.25" customHeight="1" x14ac:dyDescent="0.3">
      <c r="A8" s="2" t="s">
        <v>2635</v>
      </c>
      <c r="B8" s="2" t="s">
        <v>652</v>
      </c>
      <c r="C8" s="2">
        <v>1</v>
      </c>
      <c r="D8" t="str">
        <f>_xlfn.XLOOKUP(order_items!B8,products_2026!A:A,products_2026!C:C,,0,)</f>
        <v>Clothes</v>
      </c>
      <c r="E8">
        <f>_xlfn.XLOOKUP(B8,products_2026!A:A,products_2026!D:D,,0,)</f>
        <v>32.76</v>
      </c>
      <c r="F8">
        <f t="shared" si="0"/>
        <v>32.76</v>
      </c>
      <c r="G8" t="str">
        <f>_xlfn.XLOOKUP(B8,products_2026!A:A,products_2026!B:B,,0,)</f>
        <v>Kids Cotton Pyjamas 6-8y</v>
      </c>
      <c r="H8" t="str">
        <f>_xlfn.XLOOKUP(B8,products_2026!A:A,products_2026!E:E,,0,)</f>
        <v>SELL0086</v>
      </c>
      <c r="I8" t="str">
        <f>IFERROR(_xlfn.XLOOKUP(H8,sellers_2026!A:A,sellers_2026!G:G,,0,), "unknown/inactive")</f>
        <v>VIC</v>
      </c>
      <c r="J8" t="str">
        <f>_xlfn.XLOOKUP(H8,sellers_2026!A:A,sellers_2026!B:B,,0,)</f>
        <v>clothesforlife</v>
      </c>
      <c r="L8" s="9" t="s">
        <v>1103</v>
      </c>
      <c r="M8" t="s">
        <v>3109</v>
      </c>
    </row>
    <row r="9" spans="1:13" ht="14.25" customHeight="1" x14ac:dyDescent="0.3">
      <c r="A9" s="2" t="s">
        <v>2636</v>
      </c>
      <c r="B9" s="2" t="s">
        <v>204</v>
      </c>
      <c r="C9" s="2">
        <v>1</v>
      </c>
      <c r="D9" t="str">
        <f>_xlfn.XLOOKUP(order_items!B9,products_2026!A:A,products_2026!C:C,,0,)</f>
        <v>Jewellery</v>
      </c>
      <c r="E9">
        <f>_xlfn.XLOOKUP(B9,products_2026!A:A,products_2026!D:D,,0,)</f>
        <v>20.59</v>
      </c>
      <c r="F9">
        <f t="shared" si="0"/>
        <v>20.59</v>
      </c>
      <c r="G9" t="str">
        <f>_xlfn.XLOOKUP(B9,products_2026!A:A,products_2026!B:B,,0,)</f>
        <v>Crystal Drop Earrings Clipon</v>
      </c>
      <c r="H9" t="str">
        <f>_xlfn.XLOOKUP(B9,products_2026!A:A,products_2026!E:E,,0,)</f>
        <v>SELL0037</v>
      </c>
      <c r="I9" t="str">
        <f>IFERROR(_xlfn.XLOOKUP(H9,sellers_2026!A:A,sellers_2026!G:G,,0,), "unknown/inactive")</f>
        <v>VIC</v>
      </c>
      <c r="J9" t="str">
        <f>_xlfn.XLOOKUP(H9,sellers_2026!A:A,sellers_2026!B:B,,0,)</f>
        <v>storeshop</v>
      </c>
      <c r="L9" s="10" t="s">
        <v>49</v>
      </c>
      <c r="M9">
        <v>16526.249999999985</v>
      </c>
    </row>
    <row r="10" spans="1:13" ht="14.25" customHeight="1" x14ac:dyDescent="0.3">
      <c r="A10" s="2" t="s">
        <v>2637</v>
      </c>
      <c r="B10" s="2" t="s">
        <v>403</v>
      </c>
      <c r="C10" s="2">
        <v>1</v>
      </c>
      <c r="D10" t="str">
        <f>_xlfn.XLOOKUP(order_items!B10,products_2026!A:A,products_2026!C:C,,0,)</f>
        <v>Clothes</v>
      </c>
      <c r="E10">
        <f>_xlfn.XLOOKUP(B10,products_2026!A:A,products_2026!D:D,,0,)</f>
        <v>40.28</v>
      </c>
      <c r="F10">
        <f t="shared" si="0"/>
        <v>40.28</v>
      </c>
      <c r="G10" t="str">
        <f>_xlfn.XLOOKUP(B10,products_2026!A:A,products_2026!B:B,,0,)</f>
        <v>Men’s Chino Shorts S</v>
      </c>
      <c r="H10" t="str">
        <f>_xlfn.XLOOKUP(B10,products_2026!A:A,products_2026!E:E,,0,)</f>
        <v>SELL0058</v>
      </c>
      <c r="I10" t="str">
        <f>IFERROR(_xlfn.XLOOKUP(H10,sellers_2026!A:A,sellers_2026!G:G,,0,), "unknown/inactive")</f>
        <v>QLD</v>
      </c>
      <c r="J10" t="str">
        <f>_xlfn.XLOOKUP(H10,sellers_2026!A:A,sellers_2026!B:B,,0,)</f>
        <v>au6ynzdcy5</v>
      </c>
      <c r="L10" s="10" t="s">
        <v>21</v>
      </c>
      <c r="M10">
        <v>6457.9300000000039</v>
      </c>
    </row>
    <row r="11" spans="1:13" ht="14.25" customHeight="1" x14ac:dyDescent="0.3">
      <c r="A11" s="2" t="s">
        <v>2638</v>
      </c>
      <c r="B11" s="2" t="s">
        <v>559</v>
      </c>
      <c r="C11" s="2">
        <v>1</v>
      </c>
      <c r="D11" t="str">
        <f>_xlfn.XLOOKUP(order_items!B11,products_2026!A:A,products_2026!C:C,,0,)</f>
        <v>Outdoor</v>
      </c>
      <c r="E11">
        <f>_xlfn.XLOOKUP(B11,products_2026!A:A,products_2026!D:D,,0,)</f>
        <v>51.74</v>
      </c>
      <c r="F11">
        <f t="shared" si="0"/>
        <v>51.74</v>
      </c>
      <c r="G11" t="str">
        <f>_xlfn.XLOOKUP(B11,products_2026!A:A,products_2026!B:B,,0,)</f>
        <v>Garden Ornament Frog</v>
      </c>
      <c r="H11" t="str">
        <f>_xlfn.XLOOKUP(B11,products_2026!A:A,products_2026!E:E,,0,)</f>
        <v>SELL0077</v>
      </c>
      <c r="I11" t="str">
        <f>IFERROR(_xlfn.XLOOKUP(H11,sellers_2026!A:A,sellers_2026!G:G,,0,), "unknown/inactive")</f>
        <v>ACT</v>
      </c>
      <c r="J11" t="str">
        <f>_xlfn.XLOOKUP(H11,sellers_2026!A:A,sellers_2026!B:B,,0,)</f>
        <v>doorsyout</v>
      </c>
      <c r="L11" s="10" t="s">
        <v>17</v>
      </c>
      <c r="M11">
        <v>4385.2300000000005</v>
      </c>
    </row>
    <row r="12" spans="1:13" ht="14.25" customHeight="1" x14ac:dyDescent="0.3">
      <c r="A12" s="2" t="s">
        <v>2639</v>
      </c>
      <c r="B12" s="2" t="s">
        <v>61</v>
      </c>
      <c r="C12" s="2">
        <v>2</v>
      </c>
      <c r="D12" t="str">
        <f>_xlfn.XLOOKUP(order_items!B12,products_2026!A:A,products_2026!C:C,,0,)</f>
        <v>Beauty</v>
      </c>
      <c r="E12">
        <f>_xlfn.XLOOKUP(B12,products_2026!A:A,products_2026!D:D,,0,)</f>
        <v>10.94</v>
      </c>
      <c r="F12">
        <f t="shared" si="0"/>
        <v>21.88</v>
      </c>
      <c r="G12" t="str">
        <f>_xlfn.XLOOKUP(B12,products_2026!A:A,products_2026!B:B,,0,)</f>
        <v>Hydrating Face Mist</v>
      </c>
      <c r="H12" t="str">
        <f>_xlfn.XLOOKUP(B12,products_2026!A:A,products_2026!E:E,,0,)</f>
        <v>SELL0017</v>
      </c>
      <c r="I12" t="str">
        <f>IFERROR(_xlfn.XLOOKUP(H12,sellers_2026!A:A,sellers_2026!G:G,,0,), "unknown/inactive")</f>
        <v>QLD</v>
      </c>
      <c r="J12" t="str">
        <f>_xlfn.XLOOKUP(H12,sellers_2026!A:A,sellers_2026!B:B,,0,)</f>
        <v>7e16xoz37j</v>
      </c>
      <c r="L12" s="10" t="s">
        <v>13</v>
      </c>
      <c r="M12">
        <v>3487.2400000000011</v>
      </c>
    </row>
    <row r="13" spans="1:13" ht="14.25" customHeight="1" x14ac:dyDescent="0.3">
      <c r="A13" s="2" t="s">
        <v>2639</v>
      </c>
      <c r="B13" s="2" t="s">
        <v>559</v>
      </c>
      <c r="C13" s="2">
        <v>1</v>
      </c>
      <c r="D13" t="str">
        <f>_xlfn.XLOOKUP(order_items!B13,products_2026!A:A,products_2026!C:C,,0,)</f>
        <v>Outdoor</v>
      </c>
      <c r="E13">
        <f>_xlfn.XLOOKUP(B13,products_2026!A:A,products_2026!D:D,,0,)</f>
        <v>51.74</v>
      </c>
      <c r="F13">
        <f t="shared" si="0"/>
        <v>51.74</v>
      </c>
      <c r="G13" t="str">
        <f>_xlfn.XLOOKUP(B13,products_2026!A:A,products_2026!B:B,,0,)</f>
        <v>Garden Ornament Frog</v>
      </c>
      <c r="H13" t="str">
        <f>_xlfn.XLOOKUP(B13,products_2026!A:A,products_2026!E:E,,0,)</f>
        <v>SELL0077</v>
      </c>
      <c r="I13" t="str">
        <f>IFERROR(_xlfn.XLOOKUP(H13,sellers_2026!A:A,sellers_2026!G:G,,0,), "unknown/inactive")</f>
        <v>ACT</v>
      </c>
      <c r="J13" t="str">
        <f>_xlfn.XLOOKUP(H13,sellers_2026!A:A,sellers_2026!B:B,,0,)</f>
        <v>doorsyout</v>
      </c>
      <c r="L13" s="10" t="s">
        <v>35</v>
      </c>
      <c r="M13">
        <v>2178.86</v>
      </c>
    </row>
    <row r="14" spans="1:13" ht="14.25" customHeight="1" x14ac:dyDescent="0.3">
      <c r="A14" s="2" t="s">
        <v>2639</v>
      </c>
      <c r="B14" s="2" t="s">
        <v>893</v>
      </c>
      <c r="C14" s="2">
        <v>1</v>
      </c>
      <c r="D14" t="str">
        <f>_xlfn.XLOOKUP(order_items!B14,products_2026!A:A,products_2026!C:C,,0,)</f>
        <v>Clothes</v>
      </c>
      <c r="E14">
        <f>_xlfn.XLOOKUP(B14,products_2026!A:A,products_2026!D:D,,0,)</f>
        <v>64.84</v>
      </c>
      <c r="F14">
        <f t="shared" si="0"/>
        <v>64.84</v>
      </c>
      <c r="G14" t="str">
        <f>_xlfn.XLOOKUP(B14,products_2026!A:A,products_2026!B:B,,0,)</f>
        <v>Portable Camping Chair (Blue)</v>
      </c>
      <c r="H14" t="str">
        <f>_xlfn.XLOOKUP(B14,products_2026!A:A,products_2026!E:E,,0,)</f>
        <v>SELL0092</v>
      </c>
      <c r="I14" t="str">
        <f>IFERROR(_xlfn.XLOOKUP(H14,sellers_2026!A:A,sellers_2026!G:G,,0,), "unknown/inactive")</f>
        <v>VIC</v>
      </c>
      <c r="J14" t="str">
        <f>_xlfn.XLOOKUP(H14,sellers_2026!A:A,sellers_2026!B:B,,0,)</f>
        <v>dress4beauty</v>
      </c>
      <c r="L14" s="10" t="s">
        <v>81</v>
      </c>
      <c r="M14">
        <v>1829.6800000000007</v>
      </c>
    </row>
    <row r="15" spans="1:13" ht="14.25" customHeight="1" x14ac:dyDescent="0.3">
      <c r="A15" s="2" t="s">
        <v>2640</v>
      </c>
      <c r="B15" s="2" t="s">
        <v>156</v>
      </c>
      <c r="C15" s="2">
        <v>1</v>
      </c>
      <c r="D15" t="str">
        <f>_xlfn.XLOOKUP(order_items!B15,products_2026!A:A,products_2026!C:C,,0,)</f>
        <v>Beauty</v>
      </c>
      <c r="E15">
        <f>_xlfn.XLOOKUP(B15,products_2026!A:A,products_2026!D:D,,0,)</f>
        <v>15.04</v>
      </c>
      <c r="F15">
        <f t="shared" si="0"/>
        <v>15.04</v>
      </c>
      <c r="G15" t="str">
        <f>_xlfn.XLOOKUP(B15,products_2026!A:A,products_2026!B:B,,0,)</f>
        <v>Blending Sponge</v>
      </c>
      <c r="H15" t="str">
        <f>_xlfn.XLOOKUP(B15,products_2026!A:A,products_2026!E:E,,0,)</f>
        <v>SELL0032</v>
      </c>
      <c r="I15" t="str">
        <f>IFERROR(_xlfn.XLOOKUP(H15,sellers_2026!A:A,sellers_2026!G:G,,0,), "unknown/inactive")</f>
        <v>VIC</v>
      </c>
      <c r="J15" t="str">
        <f>_xlfn.XLOOKUP(H15,sellers_2026!A:A,sellers_2026!B:B,,0,)</f>
        <v>buydongxi25</v>
      </c>
      <c r="L15" s="10" t="s">
        <v>177</v>
      </c>
      <c r="M15">
        <v>1807.0999999999997</v>
      </c>
    </row>
    <row r="16" spans="1:13" ht="14.25" customHeight="1" x14ac:dyDescent="0.3">
      <c r="A16" s="2" t="s">
        <v>2640</v>
      </c>
      <c r="B16" s="2" t="s">
        <v>728</v>
      </c>
      <c r="C16" s="2">
        <v>1</v>
      </c>
      <c r="D16" t="str">
        <f>_xlfn.XLOOKUP(order_items!B16,products_2026!A:A,products_2026!C:C,,0,)</f>
        <v>Gift_Sets</v>
      </c>
      <c r="E16">
        <f>_xlfn.XLOOKUP(B16,products_2026!A:A,products_2026!D:D,,0,)</f>
        <v>33.89</v>
      </c>
      <c r="F16">
        <f t="shared" si="0"/>
        <v>33.89</v>
      </c>
      <c r="G16" t="str">
        <f>_xlfn.XLOOKUP(B16,products_2026!A:A,products_2026!B:B,,0,)</f>
        <v>Mini Plant Starter Kit (Diasy)</v>
      </c>
      <c r="H16" t="str">
        <f>_xlfn.XLOOKUP(B16,products_2026!A:A,products_2026!E:E,,0,)</f>
        <v>SELL0088</v>
      </c>
      <c r="I16" t="str">
        <f>IFERROR(_xlfn.XLOOKUP(H16,sellers_2026!A:A,sellers_2026!G:G,,0,), "unknown/inactive")</f>
        <v>TAS</v>
      </c>
      <c r="J16" t="str">
        <f>_xlfn.XLOOKUP(H16,sellers_2026!A:A,sellers_2026!B:B,,0,)</f>
        <v>7ti9lfa6h5</v>
      </c>
      <c r="L16" s="10" t="s">
        <v>29</v>
      </c>
      <c r="M16">
        <v>1434.61</v>
      </c>
    </row>
    <row r="17" spans="1:25" ht="14.25" customHeight="1" x14ac:dyDescent="0.3">
      <c r="A17" s="2" t="s">
        <v>2641</v>
      </c>
      <c r="B17" s="2" t="s">
        <v>27</v>
      </c>
      <c r="C17" s="2">
        <v>1</v>
      </c>
      <c r="D17" t="str">
        <f>_xlfn.XLOOKUP(order_items!B17,products_2026!A:A,products_2026!C:C,,0,)</f>
        <v>Toys</v>
      </c>
      <c r="E17">
        <f>_xlfn.XLOOKUP(B17,products_2026!A:A,products_2026!D:D,,0,)</f>
        <v>38.25</v>
      </c>
      <c r="F17">
        <f t="shared" si="0"/>
        <v>38.25</v>
      </c>
      <c r="G17" t="str">
        <f>_xlfn.XLOOKUP(B17,products_2026!A:A,products_2026!B:B,,0,)</f>
        <v>Slime Lab Blue 8pc</v>
      </c>
      <c r="H17" t="str">
        <f>_xlfn.XLOOKUP(B17,products_2026!A:A,products_2026!E:E,,0,)</f>
        <v>SELL0006</v>
      </c>
      <c r="I17" t="str">
        <f>IFERROR(_xlfn.XLOOKUP(H17,sellers_2026!A:A,sellers_2026!G:G,,0,), "unknown/inactive")</f>
        <v>VIC</v>
      </c>
      <c r="J17" t="str">
        <f>_xlfn.XLOOKUP(H17,sellers_2026!A:A,sellers_2026!B:B,,0,)</f>
        <v>toysyay</v>
      </c>
      <c r="L17" s="10" t="s">
        <v>7</v>
      </c>
      <c r="M17">
        <v>1239.08</v>
      </c>
    </row>
    <row r="18" spans="1:25" ht="14.25" customHeight="1" x14ac:dyDescent="0.3">
      <c r="A18" s="2" t="s">
        <v>2642</v>
      </c>
      <c r="B18" s="2" t="s">
        <v>262</v>
      </c>
      <c r="C18" s="2">
        <v>2</v>
      </c>
      <c r="D18" t="str">
        <f>_xlfn.XLOOKUP(order_items!B18,products_2026!A:A,products_2026!C:C,,0,)</f>
        <v>Home</v>
      </c>
      <c r="E18">
        <f>_xlfn.XLOOKUP(B18,products_2026!A:A,products_2026!D:D,,0,)</f>
        <v>91.41</v>
      </c>
      <c r="F18">
        <f t="shared" si="0"/>
        <v>182.82</v>
      </c>
      <c r="G18" t="str">
        <f>_xlfn.XLOOKUP(B18,products_2026!A:A,products_2026!B:B,,0,)</f>
        <v>Premium Soy Candle Orange Blossom</v>
      </c>
      <c r="H18" t="str">
        <f>_xlfn.XLOOKUP(B18,products_2026!A:A,products_2026!E:E,,0,)</f>
        <v>SELL0042</v>
      </c>
      <c r="I18" t="str">
        <f>IFERROR(_xlfn.XLOOKUP(H18,sellers_2026!A:A,sellers_2026!G:G,,0,), "unknown/inactive")</f>
        <v>WA</v>
      </c>
      <c r="J18" t="str">
        <f>_xlfn.XLOOKUP(H18,sellers_2026!A:A,sellers_2026!B:B,,0,)</f>
        <v>beauty490</v>
      </c>
      <c r="L18" s="10" t="s">
        <v>25</v>
      </c>
      <c r="M18">
        <v>351.23000000000008</v>
      </c>
    </row>
    <row r="19" spans="1:25" ht="14.25" customHeight="1" x14ac:dyDescent="0.3">
      <c r="A19" s="2" t="s">
        <v>2642</v>
      </c>
      <c r="B19" s="2" t="s">
        <v>289</v>
      </c>
      <c r="C19" s="2">
        <v>1</v>
      </c>
      <c r="D19" t="str">
        <f>_xlfn.XLOOKUP(order_items!B19,products_2026!A:A,products_2026!C:C,,0,)</f>
        <v>Clothes</v>
      </c>
      <c r="E19">
        <f>_xlfn.XLOOKUP(B19,products_2026!A:A,products_2026!D:D,,0,)</f>
        <v>25.48</v>
      </c>
      <c r="F19">
        <f t="shared" si="0"/>
        <v>25.48</v>
      </c>
      <c r="G19" t="str">
        <f>_xlfn.XLOOKUP(B19,products_2026!A:A,products_2026!B:B,,0,)</f>
        <v>Rain Jacket Red XXS</v>
      </c>
      <c r="H19" t="str">
        <f>_xlfn.XLOOKUP(B19,products_2026!A:A,products_2026!E:E,,0,)</f>
        <v>SELL0045</v>
      </c>
      <c r="I19" t="str">
        <f>IFERROR(_xlfn.XLOOKUP(H19,sellers_2026!A:A,sellers_2026!G:G,,0,), "unknown/inactive")</f>
        <v>NT</v>
      </c>
      <c r="J19" t="str">
        <f>_xlfn.XLOOKUP(H19,sellers_2026!A:A,sellers_2026!B:B,,0,)</f>
        <v>s22ods7z5m</v>
      </c>
      <c r="L19" s="10" t="s">
        <v>1092</v>
      </c>
    </row>
    <row r="20" spans="1:25" ht="14.25" customHeight="1" x14ac:dyDescent="0.3">
      <c r="A20" s="2" t="s">
        <v>2642</v>
      </c>
      <c r="B20" s="2" t="s">
        <v>378</v>
      </c>
      <c r="C20" s="2">
        <v>1</v>
      </c>
      <c r="D20" t="str">
        <f>_xlfn.XLOOKUP(order_items!B20,products_2026!A:A,products_2026!C:C,,0,)</f>
        <v>Toys</v>
      </c>
      <c r="E20">
        <f>_xlfn.XLOOKUP(B20,products_2026!A:A,products_2026!D:D,,0,)</f>
        <v>13.7</v>
      </c>
      <c r="F20">
        <f t="shared" si="0"/>
        <v>13.7</v>
      </c>
      <c r="G20" t="str">
        <f>_xlfn.XLOOKUP(B20,products_2026!A:A,products_2026!B:B,,0,)</f>
        <v>Kids Paint Kit (Blue)</v>
      </c>
      <c r="H20" t="str">
        <f>_xlfn.XLOOKUP(B20,products_2026!A:A,products_2026!E:E,,0,)</f>
        <v>SELL0047</v>
      </c>
      <c r="I20" t="str">
        <f>IFERROR(_xlfn.XLOOKUP(H20,sellers_2026!A:A,sellers_2026!G:G,,0,), "unknown/inactive")</f>
        <v>NT</v>
      </c>
      <c r="J20" t="str">
        <f>_xlfn.XLOOKUP(H20,sellers_2026!A:A,sellers_2026!B:B,,0,)</f>
        <v>toymajoy</v>
      </c>
      <c r="L20" s="10" t="s">
        <v>1016</v>
      </c>
      <c r="M20">
        <v>39697.21</v>
      </c>
    </row>
    <row r="21" spans="1:25" ht="14.25" customHeight="1" x14ac:dyDescent="0.3">
      <c r="A21" s="2" t="s">
        <v>2643</v>
      </c>
      <c r="B21" s="2" t="s">
        <v>470</v>
      </c>
      <c r="C21" s="2">
        <v>1</v>
      </c>
      <c r="D21" t="str">
        <f>_xlfn.XLOOKUP(order_items!B21,products_2026!A:A,products_2026!C:C,,0,)</f>
        <v>Outdoor</v>
      </c>
      <c r="E21">
        <f>_xlfn.XLOOKUP(B21,products_2026!A:A,products_2026!D:D,,0,)</f>
        <v>30.95</v>
      </c>
      <c r="F21">
        <f t="shared" si="0"/>
        <v>30.95</v>
      </c>
      <c r="G21" t="str">
        <f>_xlfn.XLOOKUP(B21,products_2026!A:A,products_2026!B:B,,0,)</f>
        <v>BBQ Cleaning Brush</v>
      </c>
      <c r="H21" t="str">
        <f>_xlfn.XLOOKUP(B21,products_2026!A:A,products_2026!E:E,,0,)</f>
        <v>SELL0067</v>
      </c>
      <c r="I21" t="str">
        <f>IFERROR(_xlfn.XLOOKUP(H21,sellers_2026!A:A,sellers_2026!G:G,,0,), "unknown/inactive")</f>
        <v>WA</v>
      </c>
      <c r="J21" t="str">
        <f>_xlfn.XLOOKUP(H21,sellers_2026!A:A,sellers_2026!B:B,,0,)</f>
        <v>w71bv3mee1</v>
      </c>
    </row>
    <row r="22" spans="1:25" ht="14.25" customHeight="1" x14ac:dyDescent="0.3">
      <c r="A22" s="2" t="s">
        <v>2644</v>
      </c>
      <c r="B22" s="2" t="s">
        <v>405</v>
      </c>
      <c r="C22" s="2">
        <v>1</v>
      </c>
      <c r="D22" t="str">
        <f>_xlfn.XLOOKUP(order_items!B22,products_2026!A:A,products_2026!C:C,,0,)</f>
        <v>Gift_Sets</v>
      </c>
      <c r="E22">
        <f>_xlfn.XLOOKUP(B22,products_2026!A:A,products_2026!D:D,,0,)</f>
        <v>29.98</v>
      </c>
      <c r="F22">
        <f t="shared" si="0"/>
        <v>29.98</v>
      </c>
      <c r="G22" t="str">
        <f>_xlfn.XLOOKUP(B22,products_2026!A:A,products_2026!B:B,,0,)</f>
        <v>Coffee Sampler Pack</v>
      </c>
      <c r="H22" t="str">
        <f>_xlfn.XLOOKUP(B22,products_2026!A:A,products_2026!E:E,,0,)</f>
        <v>SELL0058</v>
      </c>
      <c r="I22" t="str">
        <f>IFERROR(_xlfn.XLOOKUP(H22,sellers_2026!A:A,sellers_2026!G:G,,0,), "unknown/inactive")</f>
        <v>QLD</v>
      </c>
      <c r="J22" t="str">
        <f>_xlfn.XLOOKUP(H22,sellers_2026!A:A,sellers_2026!B:B,,0,)</f>
        <v>au6ynzdcy5</v>
      </c>
    </row>
    <row r="23" spans="1:25" ht="14.25" customHeight="1" x14ac:dyDescent="0.3">
      <c r="A23" s="2" t="s">
        <v>2644</v>
      </c>
      <c r="B23" s="2" t="s">
        <v>532</v>
      </c>
      <c r="C23" s="2">
        <v>1</v>
      </c>
      <c r="D23" t="str">
        <f>_xlfn.XLOOKUP(order_items!B23,products_2026!A:A,products_2026!C:C,,0,)</f>
        <v>Home</v>
      </c>
      <c r="E23">
        <f>_xlfn.XLOOKUP(B23,products_2026!A:A,products_2026!D:D,,0,)</f>
        <v>64.55</v>
      </c>
      <c r="F23">
        <f t="shared" si="0"/>
        <v>64.55</v>
      </c>
      <c r="G23" t="str">
        <f>_xlfn.XLOOKUP(B23,products_2026!A:A,products_2026!B:B,,0,)</f>
        <v>Carbon Fiber Mug Set</v>
      </c>
      <c r="H23" t="str">
        <f>_xlfn.XLOOKUP(B23,products_2026!A:A,products_2026!E:E,,0,)</f>
        <v>SELL0074</v>
      </c>
      <c r="I23" t="str">
        <f>IFERROR(_xlfn.XLOOKUP(H23,sellers_2026!A:A,sellers_2026!G:G,,0,), "unknown/inactive")</f>
        <v>NT</v>
      </c>
      <c r="J23" t="str">
        <f>_xlfn.XLOOKUP(H23,sellers_2026!A:A,sellers_2026!B:B,,0,)</f>
        <v>springlesprungle3</v>
      </c>
    </row>
    <row r="24" spans="1:25" ht="14.25" customHeight="1" x14ac:dyDescent="0.3">
      <c r="A24" s="2" t="s">
        <v>2645</v>
      </c>
      <c r="B24" s="2" t="s">
        <v>919</v>
      </c>
      <c r="C24" s="2">
        <v>1</v>
      </c>
      <c r="D24" t="str">
        <f>_xlfn.XLOOKUP(order_items!B24,products_2026!A:A,products_2026!C:C,,0,)</f>
        <v>Outdoor</v>
      </c>
      <c r="E24">
        <f>_xlfn.XLOOKUP(B24,products_2026!A:A,products_2026!D:D,,0,)</f>
        <v>50.15</v>
      </c>
      <c r="F24">
        <f t="shared" si="0"/>
        <v>50.15</v>
      </c>
      <c r="G24" t="str">
        <f>_xlfn.XLOOKUP(B24,products_2026!A:A,products_2026!B:B,,0,)</f>
        <v>Beach Umbrella - UV50+ Floral</v>
      </c>
      <c r="H24" t="str">
        <f>_xlfn.XLOOKUP(B24,products_2026!A:A,products_2026!E:E,,0,)</f>
        <v>SELL0092</v>
      </c>
      <c r="I24" t="str">
        <f>IFERROR(_xlfn.XLOOKUP(H24,sellers_2026!A:A,sellers_2026!G:G,,0,), "unknown/inactive")</f>
        <v>VIC</v>
      </c>
      <c r="J24" t="str">
        <f>_xlfn.XLOOKUP(H24,sellers_2026!A:A,sellers_2026!B:B,,0,)</f>
        <v>dress4beauty</v>
      </c>
    </row>
    <row r="25" spans="1:25" ht="14.25" customHeight="1" x14ac:dyDescent="0.3">
      <c r="A25" s="2" t="s">
        <v>2646</v>
      </c>
      <c r="B25" s="2" t="s">
        <v>799</v>
      </c>
      <c r="C25" s="2">
        <v>1</v>
      </c>
      <c r="D25" t="str">
        <f>_xlfn.XLOOKUP(order_items!B25,products_2026!A:A,products_2026!C:C,,0,)</f>
        <v>Home</v>
      </c>
      <c r="E25">
        <f>_xlfn.XLOOKUP(B25,products_2026!A:A,products_2026!D:D,,0,)</f>
        <v>20.79</v>
      </c>
      <c r="F25">
        <f t="shared" si="0"/>
        <v>20.79</v>
      </c>
      <c r="G25" t="str">
        <f>_xlfn.XLOOKUP(B25,products_2026!A:A,products_2026!B:B,,0,)</f>
        <v>Silicone Laundry Basket - White</v>
      </c>
      <c r="H25" t="str">
        <f>_xlfn.XLOOKUP(B25,products_2026!A:A,products_2026!E:E,,0,)</f>
        <v>SELL0027</v>
      </c>
      <c r="I25" t="str">
        <f>IFERROR(_xlfn.XLOOKUP(H25,sellers_2026!A:A,sellers_2026!G:G,,0,), "unknown/inactive")</f>
        <v>QLD</v>
      </c>
      <c r="J25" t="str">
        <f>_xlfn.XLOOKUP(H25,sellers_2026!A:A,sellers_2026!B:B,,0,)</f>
        <v>home458</v>
      </c>
    </row>
    <row r="26" spans="1:25" ht="14.25" customHeight="1" x14ac:dyDescent="0.3">
      <c r="A26" s="2" t="s">
        <v>2647</v>
      </c>
      <c r="B26" s="2" t="s">
        <v>210</v>
      </c>
      <c r="C26" s="2">
        <v>2</v>
      </c>
      <c r="D26" t="str">
        <f>_xlfn.XLOOKUP(order_items!B26,products_2026!A:A,products_2026!C:C,,0,)</f>
        <v>Home</v>
      </c>
      <c r="E26">
        <f>_xlfn.XLOOKUP(B26,products_2026!A:A,products_2026!D:D,,0,)</f>
        <v>46.55</v>
      </c>
      <c r="F26">
        <f t="shared" si="0"/>
        <v>93.1</v>
      </c>
      <c r="G26" t="str">
        <f>_xlfn.XLOOKUP(B26,products_2026!A:A,products_2026!B:B,,0,)</f>
        <v>Stainless Steel Cutting Board</v>
      </c>
      <c r="H26" t="str">
        <f>_xlfn.XLOOKUP(B26,products_2026!A:A,products_2026!E:E,,0,)</f>
        <v>SELL0037</v>
      </c>
      <c r="I26" t="str">
        <f>IFERROR(_xlfn.XLOOKUP(H26,sellers_2026!A:A,sellers_2026!G:G,,0,), "unknown/inactive")</f>
        <v>VIC</v>
      </c>
      <c r="J26" t="str">
        <f>_xlfn.XLOOKUP(H26,sellers_2026!A:A,sellers_2026!B:B,,0,)</f>
        <v>storeshop</v>
      </c>
      <c r="L26" s="9" t="s">
        <v>1103</v>
      </c>
      <c r="M26" t="s">
        <v>3109</v>
      </c>
      <c r="O26" s="9" t="s">
        <v>1103</v>
      </c>
      <c r="P26" t="s">
        <v>1003</v>
      </c>
      <c r="R26" s="9" t="s">
        <v>1103</v>
      </c>
      <c r="S26" t="s">
        <v>3110</v>
      </c>
      <c r="U26" s="9" t="s">
        <v>1103</v>
      </c>
      <c r="V26" t="s">
        <v>1104</v>
      </c>
      <c r="X26" s="9" t="s">
        <v>1103</v>
      </c>
      <c r="Y26" t="s">
        <v>3109</v>
      </c>
    </row>
    <row r="27" spans="1:25" ht="14.25" customHeight="1" x14ac:dyDescent="0.3">
      <c r="A27" s="2" t="s">
        <v>2648</v>
      </c>
      <c r="B27" s="2" t="s">
        <v>338</v>
      </c>
      <c r="C27" s="2">
        <v>1</v>
      </c>
      <c r="D27" t="str">
        <f>_xlfn.XLOOKUP(order_items!B27,products_2026!A:A,products_2026!C:C,,0,)</f>
        <v>Electronics</v>
      </c>
      <c r="E27">
        <f>_xlfn.XLOOKUP(B27,products_2026!A:A,products_2026!D:D,,0,)</f>
        <v>62.17</v>
      </c>
      <c r="F27">
        <f t="shared" si="0"/>
        <v>62.17</v>
      </c>
      <c r="G27" t="str">
        <f>_xlfn.XLOOKUP(B27,products_2026!A:A,products_2026!B:B,,0,)</f>
        <v>Bluetooth Speaker - Portable</v>
      </c>
      <c r="H27" t="str">
        <f>_xlfn.XLOOKUP(B27,products_2026!A:A,products_2026!E:E,,0,)</f>
        <v>SELL0051</v>
      </c>
      <c r="I27" t="str">
        <f>IFERROR(_xlfn.XLOOKUP(H27,sellers_2026!A:A,sellers_2026!G:G,,0,), "unknown/inactive")</f>
        <v>NT</v>
      </c>
      <c r="J27" t="str">
        <f>_xlfn.XLOOKUP(H27,sellers_2026!A:A,sellers_2026!B:B,,0,)</f>
        <v>healthway</v>
      </c>
      <c r="L27" s="10" t="s">
        <v>93</v>
      </c>
      <c r="M27">
        <v>923.12</v>
      </c>
      <c r="O27" s="10" t="s">
        <v>58</v>
      </c>
      <c r="P27">
        <v>20</v>
      </c>
      <c r="R27" s="10" t="s">
        <v>7</v>
      </c>
      <c r="S27">
        <v>20.631200000000003</v>
      </c>
      <c r="U27" s="10" t="s">
        <v>1111</v>
      </c>
      <c r="V27">
        <v>43</v>
      </c>
      <c r="X27" s="10" t="s">
        <v>1111</v>
      </c>
      <c r="Y27">
        <v>2798.11</v>
      </c>
    </row>
    <row r="28" spans="1:25" ht="14.25" customHeight="1" x14ac:dyDescent="0.3">
      <c r="A28" s="2" t="s">
        <v>2649</v>
      </c>
      <c r="B28" s="2" t="s">
        <v>460</v>
      </c>
      <c r="C28" s="2">
        <v>1</v>
      </c>
      <c r="D28" t="str">
        <f>_xlfn.XLOOKUP(order_items!B28,products_2026!A:A,products_2026!C:C,,0,)</f>
        <v>Toys</v>
      </c>
      <c r="E28">
        <f>_xlfn.XLOOKUP(B28,products_2026!A:A,products_2026!D:D,,0,)</f>
        <v>37.9</v>
      </c>
      <c r="F28">
        <f t="shared" si="0"/>
        <v>37.9</v>
      </c>
      <c r="G28" t="str">
        <f>_xlfn.XLOOKUP(B28,products_2026!A:A,products_2026!B:B,,0,)</f>
        <v>Kite Rainbow</v>
      </c>
      <c r="H28" t="str">
        <f>_xlfn.XLOOKUP(B28,products_2026!A:A,products_2026!E:E,,0,)</f>
        <v>SELL0065</v>
      </c>
      <c r="I28" t="str">
        <f>IFERROR(_xlfn.XLOOKUP(H28,sellers_2026!A:A,sellers_2026!G:G,,0,), "unknown/inactive")</f>
        <v>ACT</v>
      </c>
      <c r="J28" t="str">
        <f>_xlfn.XLOOKUP(H28,sellers_2026!A:A,sellers_2026!B:B,,0,)</f>
        <v>fq9rb8o3qr</v>
      </c>
      <c r="L28" s="10" t="s">
        <v>908</v>
      </c>
      <c r="M28">
        <v>638.9</v>
      </c>
      <c r="O28" s="10" t="s">
        <v>890</v>
      </c>
      <c r="P28">
        <v>20</v>
      </c>
      <c r="R28" s="10" t="s">
        <v>13</v>
      </c>
      <c r="S28">
        <v>42.040281690140866</v>
      </c>
      <c r="U28" s="10" t="s">
        <v>1118</v>
      </c>
      <c r="V28">
        <v>45</v>
      </c>
      <c r="X28" s="10" t="s">
        <v>1118</v>
      </c>
      <c r="Y28">
        <v>2182.0999999999995</v>
      </c>
    </row>
    <row r="29" spans="1:25" ht="14.25" customHeight="1" x14ac:dyDescent="0.3">
      <c r="A29" s="2" t="s">
        <v>2650</v>
      </c>
      <c r="B29" s="2" t="s">
        <v>465</v>
      </c>
      <c r="C29" s="2">
        <v>1</v>
      </c>
      <c r="D29" t="str">
        <f>_xlfn.XLOOKUP(order_items!B29,products_2026!A:A,products_2026!C:C,,0,)</f>
        <v>Toys</v>
      </c>
      <c r="E29">
        <f>_xlfn.XLOOKUP(B29,products_2026!A:A,products_2026!D:D,,0,)</f>
        <v>24.19</v>
      </c>
      <c r="F29">
        <f t="shared" si="0"/>
        <v>24.19</v>
      </c>
      <c r="G29" t="str">
        <f>_xlfn.XLOOKUP(B29,products_2026!A:A,products_2026!B:B,,0,)</f>
        <v>Light up lawnmower AI powered</v>
      </c>
      <c r="H29" t="str">
        <f>_xlfn.XLOOKUP(B29,products_2026!A:A,products_2026!E:E,,0,)</f>
        <v>SELL0067</v>
      </c>
      <c r="I29" t="str">
        <f>IFERROR(_xlfn.XLOOKUP(H29,sellers_2026!A:A,sellers_2026!G:G,,0,), "unknown/inactive")</f>
        <v>WA</v>
      </c>
      <c r="J29" t="str">
        <f>_xlfn.XLOOKUP(H29,sellers_2026!A:A,sellers_2026!B:B,,0,)</f>
        <v>w71bv3mee1</v>
      </c>
      <c r="L29" s="10" t="s">
        <v>828</v>
      </c>
      <c r="M29">
        <v>601.46</v>
      </c>
      <c r="O29" s="10" t="s">
        <v>502</v>
      </c>
      <c r="P29">
        <v>18</v>
      </c>
      <c r="R29" s="10" t="s">
        <v>17</v>
      </c>
      <c r="S29">
        <v>68.197627118644093</v>
      </c>
      <c r="U29" s="10" t="s">
        <v>1124</v>
      </c>
      <c r="V29">
        <v>135</v>
      </c>
      <c r="X29" s="10" t="s">
        <v>1124</v>
      </c>
      <c r="Y29">
        <v>6315.3499999999967</v>
      </c>
    </row>
    <row r="30" spans="1:25" ht="14.25" customHeight="1" x14ac:dyDescent="0.3">
      <c r="A30" s="2" t="s">
        <v>2651</v>
      </c>
      <c r="B30" s="2" t="s">
        <v>803</v>
      </c>
      <c r="C30" s="2">
        <v>1</v>
      </c>
      <c r="D30" t="str">
        <f>_xlfn.XLOOKUP(order_items!B30,products_2026!A:A,products_2026!C:C,,0,)</f>
        <v>Home</v>
      </c>
      <c r="E30">
        <f>_xlfn.XLOOKUP(B30,products_2026!A:A,products_2026!D:D,,0,)</f>
        <v>115.49</v>
      </c>
      <c r="F30">
        <f t="shared" si="0"/>
        <v>115.49</v>
      </c>
      <c r="G30" t="str">
        <f>_xlfn.XLOOKUP(B30,products_2026!A:A,products_2026!B:B,,0,)</f>
        <v>Memory Foam Pillow Medium Firm</v>
      </c>
      <c r="H30" t="str">
        <f>_xlfn.XLOOKUP(B30,products_2026!A:A,products_2026!E:E,,0,)</f>
        <v>SELL0027</v>
      </c>
      <c r="I30" t="str">
        <f>IFERROR(_xlfn.XLOOKUP(H30,sellers_2026!A:A,sellers_2026!G:G,,0,), "unknown/inactive")</f>
        <v>QLD</v>
      </c>
      <c r="J30" t="str">
        <f>_xlfn.XLOOKUP(H30,sellers_2026!A:A,sellers_2026!B:B,,0,)</f>
        <v>home458</v>
      </c>
      <c r="L30" s="10" t="s">
        <v>182</v>
      </c>
      <c r="M30">
        <v>588.95000000000005</v>
      </c>
      <c r="O30" s="10" t="s">
        <v>471</v>
      </c>
      <c r="P30">
        <v>15</v>
      </c>
      <c r="R30" s="10" t="s">
        <v>177</v>
      </c>
      <c r="S30">
        <v>29.659423076923069</v>
      </c>
      <c r="U30" s="10" t="s">
        <v>1130</v>
      </c>
      <c r="V30">
        <v>128</v>
      </c>
      <c r="X30" s="10" t="s">
        <v>1130</v>
      </c>
      <c r="Y30">
        <v>6542.5700000000033</v>
      </c>
    </row>
    <row r="31" spans="1:25" ht="14.25" customHeight="1" x14ac:dyDescent="0.3">
      <c r="A31" s="2" t="s">
        <v>2652</v>
      </c>
      <c r="B31" s="2" t="s">
        <v>462</v>
      </c>
      <c r="C31" s="2">
        <v>1</v>
      </c>
      <c r="D31" t="str">
        <f>_xlfn.XLOOKUP(order_items!B31,products_2026!A:A,products_2026!C:C,,0,)</f>
        <v>Health</v>
      </c>
      <c r="E31">
        <f>_xlfn.XLOOKUP(B31,products_2026!A:A,products_2026!D:D,,0,)</f>
        <v>40.75</v>
      </c>
      <c r="F31">
        <f t="shared" si="0"/>
        <v>40.75</v>
      </c>
      <c r="G31" t="str">
        <f>_xlfn.XLOOKUP(B31,products_2026!A:A,products_2026!B:B,,0,)</f>
        <v>Blood Pressure Monitor Digital</v>
      </c>
      <c r="H31" t="str">
        <f>_xlfn.XLOOKUP(B31,products_2026!A:A,products_2026!E:E,,0,)</f>
        <v>SELL0066</v>
      </c>
      <c r="I31" t="str">
        <f>IFERROR(_xlfn.XLOOKUP(H31,sellers_2026!A:A,sellers_2026!G:G,,0,), "unknown/inactive")</f>
        <v>VIC</v>
      </c>
      <c r="J31" t="str">
        <f>_xlfn.XLOOKUP(H31,sellers_2026!A:A,sellers_2026!B:B,,0,)</f>
        <v>healthcarehelp</v>
      </c>
      <c r="L31" s="10" t="s">
        <v>502</v>
      </c>
      <c r="M31">
        <v>588.06000000000006</v>
      </c>
      <c r="O31" s="10" t="s">
        <v>48</v>
      </c>
      <c r="P31">
        <v>12</v>
      </c>
      <c r="R31" s="10" t="s">
        <v>35</v>
      </c>
      <c r="S31">
        <v>47.101707317073171</v>
      </c>
      <c r="U31" s="10" t="s">
        <v>1110</v>
      </c>
      <c r="V31">
        <v>12</v>
      </c>
      <c r="X31" s="10" t="s">
        <v>1110</v>
      </c>
      <c r="Y31">
        <v>680.99000000000012</v>
      </c>
    </row>
    <row r="32" spans="1:25" ht="14.25" customHeight="1" x14ac:dyDescent="0.3">
      <c r="A32" s="2" t="s">
        <v>2653</v>
      </c>
      <c r="B32" s="2" t="s">
        <v>495</v>
      </c>
      <c r="C32" s="2">
        <v>1</v>
      </c>
      <c r="D32" t="str">
        <f>_xlfn.XLOOKUP(order_items!B32,products_2026!A:A,products_2026!C:C,,0,)</f>
        <v>Home</v>
      </c>
      <c r="E32">
        <f>_xlfn.XLOOKUP(B32,products_2026!A:A,products_2026!D:D,,0,)</f>
        <v>14.98</v>
      </c>
      <c r="F32">
        <f t="shared" si="0"/>
        <v>14.98</v>
      </c>
      <c r="G32" t="str">
        <f>_xlfn.XLOOKUP(B32,products_2026!A:A,products_2026!B:B,,0,)</f>
        <v>Essential Oil Diffuser Mains Powered</v>
      </c>
      <c r="H32" t="str">
        <f>_xlfn.XLOOKUP(B32,products_2026!A:A,products_2026!E:E,,0,)</f>
        <v>SELL0070</v>
      </c>
      <c r="I32" t="str">
        <f>IFERROR(_xlfn.XLOOKUP(H32,sellers_2026!A:A,sellers_2026!G:G,,0,), "unknown/inactive")</f>
        <v>QLD</v>
      </c>
      <c r="J32" t="str">
        <f>_xlfn.XLOOKUP(H32,sellers_2026!A:A,sellers_2026!B:B,,0,)</f>
        <v>homeandaways</v>
      </c>
      <c r="L32" s="10" t="s">
        <v>962</v>
      </c>
      <c r="M32">
        <v>560.49</v>
      </c>
      <c r="O32" s="10" t="s">
        <v>115</v>
      </c>
      <c r="P32">
        <v>12</v>
      </c>
      <c r="R32" s="10" t="s">
        <v>21</v>
      </c>
      <c r="S32">
        <v>59.057078651685416</v>
      </c>
      <c r="U32" s="10" t="s">
        <v>1129</v>
      </c>
      <c r="V32">
        <v>158</v>
      </c>
      <c r="X32" s="10" t="s">
        <v>1129</v>
      </c>
      <c r="Y32">
        <v>8013.1800000000067</v>
      </c>
    </row>
    <row r="33" spans="1:36" ht="14.25" customHeight="1" x14ac:dyDescent="0.3">
      <c r="A33" s="2" t="s">
        <v>2653</v>
      </c>
      <c r="B33" s="2" t="s">
        <v>710</v>
      </c>
      <c r="C33" s="2">
        <v>2</v>
      </c>
      <c r="D33" t="str">
        <f>_xlfn.XLOOKUP(order_items!B33,products_2026!A:A,products_2026!C:C,,0,)</f>
        <v>Electronics</v>
      </c>
      <c r="E33">
        <f>_xlfn.XLOOKUP(B33,products_2026!A:A,products_2026!D:D,,0,)</f>
        <v>36.57</v>
      </c>
      <c r="F33">
        <f t="shared" si="0"/>
        <v>73.14</v>
      </c>
      <c r="G33" t="str">
        <f>_xlfn.XLOOKUP(B33,products_2026!A:A,products_2026!B:B,,0,)</f>
        <v>Portable Power Bank 10,000mAh (Navy)</v>
      </c>
      <c r="H33" t="str">
        <f>_xlfn.XLOOKUP(B33,products_2026!A:A,products_2026!E:E,,0,)</f>
        <v>SELL0088</v>
      </c>
      <c r="I33" t="str">
        <f>IFERROR(_xlfn.XLOOKUP(H33,sellers_2026!A:A,sellers_2026!G:G,,0,), "unknown/inactive")</f>
        <v>TAS</v>
      </c>
      <c r="J33" t="str">
        <f>_xlfn.XLOOKUP(H33,sellers_2026!A:A,sellers_2026!B:B,,0,)</f>
        <v>7ti9lfa6h5</v>
      </c>
      <c r="L33" s="10" t="s">
        <v>48</v>
      </c>
      <c r="M33">
        <v>519.41999999999996</v>
      </c>
      <c r="O33" s="10" t="s">
        <v>924</v>
      </c>
      <c r="P33">
        <v>10</v>
      </c>
      <c r="R33" s="10" t="s">
        <v>81</v>
      </c>
      <c r="S33">
        <v>35.403617021276609</v>
      </c>
      <c r="U33" s="10" t="s">
        <v>1102</v>
      </c>
      <c r="V33">
        <v>186</v>
      </c>
      <c r="X33" s="10" t="s">
        <v>1102</v>
      </c>
      <c r="Y33">
        <v>9289.2700000000023</v>
      </c>
    </row>
    <row r="34" spans="1:36" ht="14.25" customHeight="1" x14ac:dyDescent="0.3">
      <c r="A34" s="2" t="s">
        <v>2653</v>
      </c>
      <c r="B34" s="2" t="s">
        <v>883</v>
      </c>
      <c r="C34" s="2">
        <v>1</v>
      </c>
      <c r="D34" t="str">
        <f>_xlfn.XLOOKUP(order_items!B34,products_2026!A:A,products_2026!C:C,,0,)</f>
        <v>Outdoor</v>
      </c>
      <c r="E34">
        <f>_xlfn.XLOOKUP(B34,products_2026!A:A,products_2026!D:D,,0,)</f>
        <v>81.02</v>
      </c>
      <c r="F34">
        <f t="shared" si="0"/>
        <v>81.02</v>
      </c>
      <c r="G34" t="str">
        <f>_xlfn.XLOOKUP(B34,products_2026!A:A,products_2026!B:B,,0,)</f>
        <v>BBQ Meat Thermometer Bluetooth</v>
      </c>
      <c r="H34" t="str">
        <f>_xlfn.XLOOKUP(B34,products_2026!A:A,products_2026!E:E,,0,)</f>
        <v>SELL0092</v>
      </c>
      <c r="I34" t="str">
        <f>IFERROR(_xlfn.XLOOKUP(H34,sellers_2026!A:A,sellers_2026!G:G,,0,), "unknown/inactive")</f>
        <v>VIC</v>
      </c>
      <c r="J34" t="str">
        <f>_xlfn.XLOOKUP(H34,sellers_2026!A:A,sellers_2026!B:B,,0,)</f>
        <v>dress4beauty</v>
      </c>
      <c r="L34" s="10" t="s">
        <v>560</v>
      </c>
      <c r="M34">
        <v>517.4</v>
      </c>
      <c r="O34" s="10" t="s">
        <v>611</v>
      </c>
      <c r="P34">
        <v>10</v>
      </c>
      <c r="R34" s="10" t="s">
        <v>49</v>
      </c>
      <c r="S34">
        <v>47.986185567010281</v>
      </c>
      <c r="U34" s="10" t="s">
        <v>1117</v>
      </c>
      <c r="V34">
        <v>88</v>
      </c>
      <c r="X34" s="10" t="s">
        <v>1117</v>
      </c>
      <c r="Y34">
        <v>3875.6399999999985</v>
      </c>
    </row>
    <row r="35" spans="1:36" ht="14.25" customHeight="1" x14ac:dyDescent="0.3">
      <c r="A35" s="2" t="s">
        <v>2654</v>
      </c>
      <c r="B35" s="2" t="s">
        <v>217</v>
      </c>
      <c r="C35" s="2">
        <v>2</v>
      </c>
      <c r="D35" t="str">
        <f>_xlfn.XLOOKUP(order_items!B35,products_2026!A:A,products_2026!C:C,,0,)</f>
        <v>Home</v>
      </c>
      <c r="E35">
        <f>_xlfn.XLOOKUP(B35,products_2026!A:A,products_2026!D:D,,0,)</f>
        <v>82.88</v>
      </c>
      <c r="F35">
        <f t="shared" si="0"/>
        <v>165.76</v>
      </c>
      <c r="G35" t="str">
        <f>_xlfn.XLOOKUP(B35,products_2026!A:A,products_2026!B:B,,0,)</f>
        <v>Floor Lamp Standing Tall LED</v>
      </c>
      <c r="H35" t="str">
        <f>_xlfn.XLOOKUP(B35,products_2026!A:A,products_2026!E:E,,0,)</f>
        <v>SELL0038</v>
      </c>
      <c r="I35" t="str">
        <f>IFERROR(_xlfn.XLOOKUP(H35,sellers_2026!A:A,sellers_2026!G:G,,0,), "unknown/inactive")</f>
        <v>SA</v>
      </c>
      <c r="J35" t="str">
        <f>_xlfn.XLOOKUP(H35,sellers_2026!A:A,sellers_2026!B:B,,0,)</f>
        <v>compradadonut</v>
      </c>
      <c r="L35" s="10" t="s">
        <v>686</v>
      </c>
      <c r="M35">
        <v>509.40999999999997</v>
      </c>
      <c r="O35" s="10" t="s">
        <v>908</v>
      </c>
      <c r="P35">
        <v>10</v>
      </c>
      <c r="R35" s="10" t="s">
        <v>25</v>
      </c>
      <c r="S35">
        <v>7.5887179487179512</v>
      </c>
      <c r="U35" s="10" t="s">
        <v>1092</v>
      </c>
      <c r="X35" s="10" t="s">
        <v>1092</v>
      </c>
    </row>
    <row r="36" spans="1:36" ht="14.25" customHeight="1" x14ac:dyDescent="0.3">
      <c r="A36" s="2" t="s">
        <v>2655</v>
      </c>
      <c r="B36" s="2" t="s">
        <v>503</v>
      </c>
      <c r="C36" s="2">
        <v>2</v>
      </c>
      <c r="D36" t="str">
        <f>_xlfn.XLOOKUP(order_items!B36,products_2026!A:A,products_2026!C:C,,0,)</f>
        <v>Home</v>
      </c>
      <c r="E36">
        <f>_xlfn.XLOOKUP(B36,products_2026!A:A,products_2026!D:D,,0,)</f>
        <v>19.989999999999998</v>
      </c>
      <c r="F36">
        <f t="shared" si="0"/>
        <v>39.979999999999997</v>
      </c>
      <c r="G36" t="str">
        <f>_xlfn.XLOOKUP(B36,products_2026!A:A,products_2026!B:B,,0,)</f>
        <v>Drawer Organiser 5 sections</v>
      </c>
      <c r="H36" t="str">
        <f>_xlfn.XLOOKUP(B36,products_2026!A:A,products_2026!E:E,,0,)</f>
        <v>SELL0070</v>
      </c>
      <c r="I36" t="str">
        <f>IFERROR(_xlfn.XLOOKUP(H36,sellers_2026!A:A,sellers_2026!G:G,,0,), "unknown/inactive")</f>
        <v>QLD</v>
      </c>
      <c r="J36" t="str">
        <f>_xlfn.XLOOKUP(H36,sellers_2026!A:A,sellers_2026!B:B,,0,)</f>
        <v>homeandaways</v>
      </c>
      <c r="L36" s="10" t="s">
        <v>884</v>
      </c>
      <c r="M36">
        <v>486.11999999999995</v>
      </c>
      <c r="O36" s="10" t="s">
        <v>560</v>
      </c>
      <c r="P36">
        <v>10</v>
      </c>
      <c r="R36" s="10" t="s">
        <v>29</v>
      </c>
      <c r="S36">
        <v>23.856249999999999</v>
      </c>
      <c r="U36" s="10" t="s">
        <v>1016</v>
      </c>
      <c r="V36">
        <v>795</v>
      </c>
      <c r="X36" s="10" t="s">
        <v>1016</v>
      </c>
      <c r="Y36">
        <v>39697.210000000006</v>
      </c>
    </row>
    <row r="37" spans="1:36" ht="14.25" customHeight="1" x14ac:dyDescent="0.3">
      <c r="A37" s="2" t="s">
        <v>2656</v>
      </c>
      <c r="B37" s="2" t="s">
        <v>638</v>
      </c>
      <c r="C37" s="2">
        <v>1</v>
      </c>
      <c r="D37" t="str">
        <f>_xlfn.XLOOKUP(order_items!B37,products_2026!A:A,products_2026!C:C,,0,)</f>
        <v>Clothes</v>
      </c>
      <c r="E37">
        <f>_xlfn.XLOOKUP(B37,products_2026!A:A,products_2026!D:D,,0,)</f>
        <v>44.13</v>
      </c>
      <c r="F37">
        <f t="shared" si="0"/>
        <v>44.13</v>
      </c>
      <c r="G37" t="str">
        <f>_xlfn.XLOOKUP(B37,products_2026!A:A,products_2026!B:B,,0,)</f>
        <v>Men’s Chino Shorts XL</v>
      </c>
      <c r="H37" t="str">
        <f>_xlfn.XLOOKUP(B37,products_2026!A:A,products_2026!E:E,,0,)</f>
        <v>SELL0086</v>
      </c>
      <c r="I37" t="str">
        <f>IFERROR(_xlfn.XLOOKUP(H37,sellers_2026!A:A,sellers_2026!G:G,,0,), "unknown/inactive")</f>
        <v>VIC</v>
      </c>
      <c r="J37" t="str">
        <f>_xlfn.XLOOKUP(H37,sellers_2026!A:A,sellers_2026!B:B,,0,)</f>
        <v>clothesforlife</v>
      </c>
      <c r="L37" s="10" t="s">
        <v>613</v>
      </c>
      <c r="M37">
        <v>477.2</v>
      </c>
      <c r="O37" s="10" t="s">
        <v>323</v>
      </c>
      <c r="P37">
        <v>9</v>
      </c>
      <c r="R37" s="10" t="s">
        <v>1092</v>
      </c>
    </row>
    <row r="38" spans="1:36" ht="14.25" customHeight="1" x14ac:dyDescent="0.3">
      <c r="A38" s="2" t="s">
        <v>2657</v>
      </c>
      <c r="B38" s="2" t="s">
        <v>546</v>
      </c>
      <c r="C38" s="2">
        <v>1</v>
      </c>
      <c r="D38" t="str">
        <f>_xlfn.XLOOKUP(order_items!B38,products_2026!A:A,products_2026!C:C,,0,)</f>
        <v>Clothes</v>
      </c>
      <c r="E38">
        <f>_xlfn.XLOOKUP(B38,products_2026!A:A,products_2026!D:D,,0,)</f>
        <v>20.75</v>
      </c>
      <c r="F38">
        <f t="shared" si="0"/>
        <v>20.75</v>
      </c>
      <c r="G38" t="str">
        <f>_xlfn.XLOOKUP(B38,products_2026!A:A,products_2026!B:B,,0,)</f>
        <v>Wool Beanie - Navy</v>
      </c>
      <c r="H38" t="str">
        <f>_xlfn.XLOOKUP(B38,products_2026!A:A,products_2026!E:E,,0,)</f>
        <v>SELL0039</v>
      </c>
      <c r="I38" t="str">
        <f>IFERROR(_xlfn.XLOOKUP(H38,sellers_2026!A:A,sellers_2026!G:G,,0,), "unknown/inactive")</f>
        <v>QLD</v>
      </c>
      <c r="J38" t="str">
        <f>_xlfn.XLOOKUP(H38,sellers_2026!A:A,sellers_2026!B:B,,0,)</f>
        <v>zmkizlf6t6</v>
      </c>
      <c r="L38" s="10" t="s">
        <v>471</v>
      </c>
      <c r="M38">
        <v>464.24999999999994</v>
      </c>
      <c r="O38" s="10" t="s">
        <v>964</v>
      </c>
      <c r="P38">
        <v>9</v>
      </c>
      <c r="R38" s="10" t="s">
        <v>1016</v>
      </c>
      <c r="S38">
        <v>42.804377358490555</v>
      </c>
    </row>
    <row r="39" spans="1:36" ht="14.25" customHeight="1" x14ac:dyDescent="0.3">
      <c r="A39" s="2" t="s">
        <v>2657</v>
      </c>
      <c r="B39" s="2" t="s">
        <v>925</v>
      </c>
      <c r="C39" s="2">
        <v>1</v>
      </c>
      <c r="D39" t="str">
        <f>_xlfn.XLOOKUP(order_items!B39,products_2026!A:A,products_2026!C:C,,0,)</f>
        <v>Outdoor</v>
      </c>
      <c r="E39">
        <f>_xlfn.XLOOKUP(B39,products_2026!A:A,products_2026!D:D,,0,)</f>
        <v>26.98</v>
      </c>
      <c r="F39">
        <f t="shared" si="0"/>
        <v>26.98</v>
      </c>
      <c r="G39" t="str">
        <f>_xlfn.XLOOKUP(B39,products_2026!A:A,products_2026!B:B,,0,)</f>
        <v>Stainless Steel BBQ Tools Set (Grey)</v>
      </c>
      <c r="H39" t="str">
        <f>_xlfn.XLOOKUP(B39,products_2026!A:A,products_2026!E:E,,0,)</f>
        <v>SELL0093</v>
      </c>
      <c r="I39" t="str">
        <f>IFERROR(_xlfn.XLOOKUP(H39,sellers_2026!A:A,sellers_2026!G:G,,0,), "unknown/inactive")</f>
        <v>NT</v>
      </c>
      <c r="J39" t="str">
        <f>_xlfn.XLOOKUP(H39,sellers_2026!A:A,sellers_2026!B:B,,0,)</f>
        <v>millies-outdoor-shop</v>
      </c>
      <c r="L39" s="10" t="s">
        <v>115</v>
      </c>
      <c r="M39">
        <v>460.67999999999995</v>
      </c>
      <c r="O39" s="10" t="s">
        <v>65</v>
      </c>
      <c r="P39">
        <v>9</v>
      </c>
    </row>
    <row r="40" spans="1:36" ht="14.25" customHeight="1" x14ac:dyDescent="0.3">
      <c r="A40" s="2" t="s">
        <v>2658</v>
      </c>
      <c r="B40" s="2" t="s">
        <v>247</v>
      </c>
      <c r="C40" s="2">
        <v>1</v>
      </c>
      <c r="D40" t="str">
        <f>_xlfn.XLOOKUP(order_items!B40,products_2026!A:A,products_2026!C:C,,0,)</f>
        <v>Gift_Sets</v>
      </c>
      <c r="E40">
        <f>_xlfn.XLOOKUP(B40,products_2026!A:A,products_2026!D:D,,0,)</f>
        <v>32.44</v>
      </c>
      <c r="F40">
        <f t="shared" si="0"/>
        <v>32.44</v>
      </c>
      <c r="G40" t="str">
        <f>_xlfn.XLOOKUP(B40,products_2026!A:A,products_2026!B:B,,0,)</f>
        <v>Dark Chocolate Selection Box</v>
      </c>
      <c r="H40" t="str">
        <f>_xlfn.XLOOKUP(B40,products_2026!A:A,products_2026!E:E,,0,)</f>
        <v>SELL0041</v>
      </c>
      <c r="I40" t="str">
        <f>IFERROR(_xlfn.XLOOKUP(H40,sellers_2026!A:A,sellers_2026!G:G,,0,), "unknown/inactive")</f>
        <v>NT</v>
      </c>
      <c r="J40" t="str">
        <f>_xlfn.XLOOKUP(H40,sellers_2026!A:A,sellers_2026!B:B,,0,)</f>
        <v>wcs62ctlxh</v>
      </c>
      <c r="L40" s="10" t="s">
        <v>932</v>
      </c>
      <c r="M40">
        <v>456.44</v>
      </c>
      <c r="O40" s="10" t="s">
        <v>93</v>
      </c>
      <c r="P40">
        <v>8</v>
      </c>
      <c r="R40" s="9" t="s">
        <v>1103</v>
      </c>
      <c r="S40" t="s">
        <v>3109</v>
      </c>
      <c r="U40" s="9" t="s">
        <v>1103</v>
      </c>
      <c r="V40" t="s">
        <v>1003</v>
      </c>
      <c r="X40" s="9" t="s">
        <v>3109</v>
      </c>
      <c r="Y40" s="9" t="s">
        <v>3111</v>
      </c>
    </row>
    <row r="41" spans="1:36" ht="14.25" customHeight="1" x14ac:dyDescent="0.3">
      <c r="A41" s="2" t="s">
        <v>2659</v>
      </c>
      <c r="B41" s="2" t="s">
        <v>327</v>
      </c>
      <c r="C41" s="2">
        <v>1</v>
      </c>
      <c r="D41" t="str">
        <f>_xlfn.XLOOKUP(order_items!B41,products_2026!A:A,products_2026!C:C,,0,)</f>
        <v>Stationery</v>
      </c>
      <c r="E41">
        <f>_xlfn.XLOOKUP(B41,products_2026!A:A,products_2026!D:D,,0,)</f>
        <v>7.57</v>
      </c>
      <c r="F41">
        <f t="shared" si="0"/>
        <v>7.57</v>
      </c>
      <c r="G41" t="str">
        <f>_xlfn.XLOOKUP(B41,products_2026!A:A,products_2026!B:B,,0,)</f>
        <v>Whiteoard Markers - 3 pack</v>
      </c>
      <c r="H41" t="str">
        <f>_xlfn.XLOOKUP(B41,products_2026!A:A,products_2026!E:E,,0,)</f>
        <v>SELL0049</v>
      </c>
      <c r="I41" t="str">
        <f>IFERROR(_xlfn.XLOOKUP(H41,sellers_2026!A:A,sellers_2026!G:G,,0,), "unknown/inactive")</f>
        <v>VIC</v>
      </c>
      <c r="J41" t="str">
        <f>_xlfn.XLOOKUP(H41,sellers_2026!A:A,sellers_2026!B:B,,0,)</f>
        <v>beautifullife472</v>
      </c>
      <c r="L41" s="10" t="s">
        <v>402</v>
      </c>
      <c r="M41">
        <v>451.44</v>
      </c>
      <c r="O41" s="10" t="s">
        <v>416</v>
      </c>
      <c r="P41">
        <v>8</v>
      </c>
      <c r="R41" s="10" t="s">
        <v>1066</v>
      </c>
      <c r="S41">
        <v>3154.0999999999995</v>
      </c>
      <c r="U41" s="10" t="s">
        <v>1032</v>
      </c>
      <c r="V41">
        <v>65</v>
      </c>
      <c r="X41" s="9" t="s">
        <v>1103</v>
      </c>
      <c r="Y41" t="s">
        <v>7</v>
      </c>
      <c r="Z41" t="s">
        <v>13</v>
      </c>
      <c r="AA41" t="s">
        <v>17</v>
      </c>
      <c r="AB41" t="s">
        <v>177</v>
      </c>
      <c r="AC41" t="s">
        <v>35</v>
      </c>
      <c r="AD41" t="s">
        <v>21</v>
      </c>
      <c r="AE41" t="s">
        <v>81</v>
      </c>
      <c r="AF41" t="s">
        <v>49</v>
      </c>
      <c r="AG41" t="s">
        <v>25</v>
      </c>
      <c r="AH41" t="s">
        <v>29</v>
      </c>
      <c r="AI41" t="s">
        <v>1092</v>
      </c>
      <c r="AJ41" t="s">
        <v>1016</v>
      </c>
    </row>
    <row r="42" spans="1:36" ht="14.25" customHeight="1" x14ac:dyDescent="0.3">
      <c r="A42" s="2" t="s">
        <v>2660</v>
      </c>
      <c r="B42" s="2" t="s">
        <v>877</v>
      </c>
      <c r="C42" s="2">
        <v>1</v>
      </c>
      <c r="D42" t="str">
        <f>_xlfn.XLOOKUP(order_items!B42,products_2026!A:A,products_2026!C:C,,0,)</f>
        <v>Jewellery</v>
      </c>
      <c r="E42">
        <f>_xlfn.XLOOKUP(B42,products_2026!A:A,products_2026!D:D,,0,)</f>
        <v>39.04</v>
      </c>
      <c r="F42">
        <f t="shared" si="0"/>
        <v>39.04</v>
      </c>
      <c r="G42" t="str">
        <f>_xlfn.XLOOKUP(B42,products_2026!A:A,products_2026!B:B,,0,)</f>
        <v>Gold-plated Hoop Earrings 5mm</v>
      </c>
      <c r="H42" t="str">
        <f>_xlfn.XLOOKUP(B42,products_2026!A:A,products_2026!E:E,,0,)</f>
        <v>SELL0092</v>
      </c>
      <c r="I42" t="str">
        <f>IFERROR(_xlfn.XLOOKUP(H42,sellers_2026!A:A,sellers_2026!G:G,,0,), "unknown/inactive")</f>
        <v>VIC</v>
      </c>
      <c r="J42" t="str">
        <f>_xlfn.XLOOKUP(H42,sellers_2026!A:A,sellers_2026!B:B,,0,)</f>
        <v>dress4beauty</v>
      </c>
      <c r="L42" s="10" t="s">
        <v>543</v>
      </c>
      <c r="M42">
        <v>450.6</v>
      </c>
      <c r="O42" s="10" t="s">
        <v>952</v>
      </c>
      <c r="P42">
        <v>7</v>
      </c>
      <c r="R42" s="10" t="s">
        <v>1032</v>
      </c>
      <c r="S42">
        <v>2733.4100000000008</v>
      </c>
      <c r="U42" s="10" t="s">
        <v>1066</v>
      </c>
      <c r="V42">
        <v>54</v>
      </c>
      <c r="X42" s="10" t="s">
        <v>1111</v>
      </c>
      <c r="Y42">
        <v>51.56</v>
      </c>
      <c r="Z42">
        <v>84.22</v>
      </c>
      <c r="AB42">
        <v>54.47</v>
      </c>
      <c r="AC42">
        <v>48.8</v>
      </c>
      <c r="AD42">
        <v>11.91</v>
      </c>
      <c r="AE42">
        <v>35.020000000000003</v>
      </c>
      <c r="AF42">
        <v>2436.33</v>
      </c>
      <c r="AH42">
        <v>75.8</v>
      </c>
      <c r="AJ42">
        <v>2798.11</v>
      </c>
    </row>
    <row r="43" spans="1:36" ht="14.25" customHeight="1" x14ac:dyDescent="0.3">
      <c r="A43" s="2" t="s">
        <v>2660</v>
      </c>
      <c r="B43" s="2" t="s">
        <v>989</v>
      </c>
      <c r="C43" s="2">
        <v>1</v>
      </c>
      <c r="D43" t="str">
        <f>_xlfn.XLOOKUP(order_items!B43,products_2026!A:A,products_2026!C:C,,0,)</f>
        <v>Toys</v>
      </c>
      <c r="E43">
        <f>_xlfn.XLOOKUP(B43,products_2026!A:A,products_2026!D:D,,0,)</f>
        <v>24.92</v>
      </c>
      <c r="F43">
        <f t="shared" si="0"/>
        <v>24.92</v>
      </c>
      <c r="G43" t="str">
        <f>_xlfn.XLOOKUP(B43,products_2026!A:A,products_2026!B:B,,0,)</f>
        <v>building blocks 800 pc</v>
      </c>
      <c r="H43" t="str">
        <f>_xlfn.XLOOKUP(B43,products_2026!A:A,products_2026!E:E,,0,)</f>
        <v>SELL0095</v>
      </c>
      <c r="I43" t="str">
        <f>IFERROR(_xlfn.XLOOKUP(H43,sellers_2026!A:A,sellers_2026!G:G,,0,), "unknown/inactive")</f>
        <v>TAS</v>
      </c>
      <c r="J43" t="str">
        <f>_xlfn.XLOOKUP(H43,sellers_2026!A:A,sellers_2026!B:B,,0,)</f>
        <v>toybuy</v>
      </c>
      <c r="L43" s="10" t="s">
        <v>680</v>
      </c>
      <c r="M43">
        <v>443.19</v>
      </c>
      <c r="O43" s="10" t="s">
        <v>962</v>
      </c>
      <c r="P43">
        <v>7</v>
      </c>
      <c r="R43" s="10" t="s">
        <v>1007</v>
      </c>
      <c r="S43">
        <v>2038.1199999999994</v>
      </c>
      <c r="U43" s="10" t="s">
        <v>1007</v>
      </c>
      <c r="V43">
        <v>49</v>
      </c>
      <c r="X43" s="10" t="s">
        <v>1118</v>
      </c>
      <c r="Y43">
        <v>467.34999999999997</v>
      </c>
      <c r="AA43">
        <v>511.84000000000003</v>
      </c>
      <c r="AB43">
        <v>57.09</v>
      </c>
      <c r="AD43">
        <v>211.37</v>
      </c>
      <c r="AE43">
        <v>176.8</v>
      </c>
      <c r="AF43">
        <v>725.21000000000015</v>
      </c>
      <c r="AH43">
        <v>32.44</v>
      </c>
      <c r="AJ43">
        <v>2182.1000000000004</v>
      </c>
    </row>
    <row r="44" spans="1:36" ht="14.25" customHeight="1" x14ac:dyDescent="0.3">
      <c r="A44" s="2" t="s">
        <v>2661</v>
      </c>
      <c r="B44" s="2" t="s">
        <v>134</v>
      </c>
      <c r="C44" s="2">
        <v>1</v>
      </c>
      <c r="D44" t="str">
        <f>_xlfn.XLOOKUP(order_items!B44,products_2026!A:A,products_2026!C:C,,0,)</f>
        <v>Home</v>
      </c>
      <c r="E44">
        <f>_xlfn.XLOOKUP(B44,products_2026!A:A,products_2026!D:D,,0,)</f>
        <v>29.36</v>
      </c>
      <c r="F44">
        <f t="shared" si="0"/>
        <v>29.36</v>
      </c>
      <c r="G44" t="str">
        <f>_xlfn.XLOOKUP(B44,products_2026!A:A,products_2026!B:B,,0,)</f>
        <v>Essential Oil Diffuser</v>
      </c>
      <c r="H44" t="str">
        <f>_xlfn.XLOOKUP(B44,products_2026!A:A,products_2026!E:E,,0,)</f>
        <v>SELL0028</v>
      </c>
      <c r="I44" t="str">
        <f>IFERROR(_xlfn.XLOOKUP(H44,sellers_2026!A:A,sellers_2026!G:G,,0,), "unknown/inactive")</f>
        <v>NT</v>
      </c>
      <c r="J44" t="str">
        <f>_xlfn.XLOOKUP(H44,sellers_2026!A:A,sellers_2026!B:B,,0,)</f>
        <v>goodsahoy</v>
      </c>
      <c r="L44" s="10" t="s">
        <v>852</v>
      </c>
      <c r="M44">
        <v>440.4</v>
      </c>
      <c r="O44" s="10" t="s">
        <v>104</v>
      </c>
      <c r="P44">
        <v>7</v>
      </c>
      <c r="R44" s="10" t="s">
        <v>1054</v>
      </c>
      <c r="S44">
        <v>1662.0900000000001</v>
      </c>
      <c r="U44" s="10" t="s">
        <v>1055</v>
      </c>
      <c r="V44">
        <v>32</v>
      </c>
      <c r="X44" s="10" t="s">
        <v>1124</v>
      </c>
      <c r="Y44">
        <v>116.19</v>
      </c>
      <c r="Z44">
        <v>225.43</v>
      </c>
      <c r="AA44">
        <v>62.17</v>
      </c>
      <c r="AB44">
        <v>81.819999999999993</v>
      </c>
      <c r="AC44">
        <v>928.16000000000008</v>
      </c>
      <c r="AD44">
        <v>504.99000000000007</v>
      </c>
      <c r="AE44">
        <v>116.9</v>
      </c>
      <c r="AF44">
        <v>3810.5199999999986</v>
      </c>
      <c r="AG44">
        <v>41.269999999999996</v>
      </c>
      <c r="AH44">
        <v>427.90000000000003</v>
      </c>
      <c r="AJ44">
        <v>6315.3499999999985</v>
      </c>
    </row>
    <row r="45" spans="1:36" ht="14.25" customHeight="1" x14ac:dyDescent="0.3">
      <c r="A45" s="2" t="s">
        <v>2661</v>
      </c>
      <c r="B45" s="2" t="s">
        <v>439</v>
      </c>
      <c r="C45" s="2">
        <v>1</v>
      </c>
      <c r="D45" t="str">
        <f>_xlfn.XLOOKUP(order_items!B45,products_2026!A:A,products_2026!C:C,,0,)</f>
        <v>Jewellery</v>
      </c>
      <c r="E45">
        <f>_xlfn.XLOOKUP(B45,products_2026!A:A,products_2026!D:D,,0,)</f>
        <v>24.7</v>
      </c>
      <c r="F45">
        <f t="shared" si="0"/>
        <v>24.7</v>
      </c>
      <c r="G45" t="str">
        <f>_xlfn.XLOOKUP(B45,products_2026!A:A,products_2026!B:B,,0,)</f>
        <v>antique bronze necklace owl vintage</v>
      </c>
      <c r="H45" t="str">
        <f>_xlfn.XLOOKUP(B45,products_2026!A:A,products_2026!E:E,,0,)</f>
        <v>SELL0062</v>
      </c>
      <c r="I45" t="str">
        <f>IFERROR(_xlfn.XLOOKUP(H45,sellers_2026!A:A,sellers_2026!G:G,,0,), "unknown/inactive")</f>
        <v>QLD</v>
      </c>
      <c r="J45" t="str">
        <f>_xlfn.XLOOKUP(H45,sellers_2026!A:A,sellers_2026!B:B,,0,)</f>
        <v>queenslandqweenie</v>
      </c>
      <c r="L45" s="10" t="s">
        <v>323</v>
      </c>
      <c r="M45">
        <v>439.29</v>
      </c>
      <c r="O45" s="10" t="s">
        <v>597</v>
      </c>
      <c r="P45">
        <v>7</v>
      </c>
      <c r="R45" s="10" t="s">
        <v>1012</v>
      </c>
      <c r="S45">
        <v>1634.81</v>
      </c>
      <c r="U45" s="10" t="s">
        <v>1088</v>
      </c>
      <c r="V45">
        <v>30</v>
      </c>
      <c r="X45" s="10" t="s">
        <v>1130</v>
      </c>
      <c r="Y45">
        <v>32.82</v>
      </c>
      <c r="Z45">
        <v>925.67</v>
      </c>
      <c r="AB45">
        <v>117.22999999999999</v>
      </c>
      <c r="AC45">
        <v>688.46999999999991</v>
      </c>
      <c r="AD45">
        <v>2036.7200000000003</v>
      </c>
      <c r="AE45">
        <v>403.73</v>
      </c>
      <c r="AF45">
        <v>2098.4999999999995</v>
      </c>
      <c r="AG45">
        <v>50.67</v>
      </c>
      <c r="AH45">
        <v>188.76</v>
      </c>
      <c r="AJ45">
        <v>6542.57</v>
      </c>
    </row>
    <row r="46" spans="1:36" ht="14.25" customHeight="1" x14ac:dyDescent="0.3">
      <c r="A46" s="2" t="s">
        <v>2662</v>
      </c>
      <c r="B46" s="2" t="s">
        <v>550</v>
      </c>
      <c r="C46" s="2">
        <v>1</v>
      </c>
      <c r="D46" t="str">
        <f>_xlfn.XLOOKUP(order_items!B46,products_2026!A:A,products_2026!C:C,,0,)</f>
        <v>Clothes</v>
      </c>
      <c r="E46">
        <f>_xlfn.XLOOKUP(B46,products_2026!A:A,products_2026!D:D,,0,)</f>
        <v>34.22</v>
      </c>
      <c r="F46">
        <f t="shared" si="0"/>
        <v>34.22</v>
      </c>
      <c r="G46" t="str">
        <f>_xlfn.XLOOKUP(B46,products_2026!A:A,products_2026!B:B,,0,)</f>
        <v>Wool Beanie - Black</v>
      </c>
      <c r="H46" t="str">
        <f>_xlfn.XLOOKUP(B46,products_2026!A:A,products_2026!E:E,,0,)</f>
        <v>SELL0039</v>
      </c>
      <c r="I46" t="str">
        <f>IFERROR(_xlfn.XLOOKUP(H46,sellers_2026!A:A,sellers_2026!G:G,,0,), "unknown/inactive")</f>
        <v>QLD</v>
      </c>
      <c r="J46" t="str">
        <f>_xlfn.XLOOKUP(H46,sellers_2026!A:A,sellers_2026!B:B,,0,)</f>
        <v>zmkizlf6t6</v>
      </c>
      <c r="L46" s="10" t="s">
        <v>886</v>
      </c>
      <c r="M46">
        <v>399.4</v>
      </c>
      <c r="O46" s="10" t="s">
        <v>312</v>
      </c>
      <c r="P46">
        <v>7</v>
      </c>
      <c r="R46" s="10" t="s">
        <v>1081</v>
      </c>
      <c r="S46">
        <v>1219.76</v>
      </c>
      <c r="U46" s="10" t="s">
        <v>1027</v>
      </c>
      <c r="V46">
        <v>29</v>
      </c>
      <c r="X46" s="10" t="s">
        <v>1110</v>
      </c>
      <c r="AA46">
        <v>109.36</v>
      </c>
      <c r="AB46">
        <v>189.20000000000002</v>
      </c>
      <c r="AD46">
        <v>248.64</v>
      </c>
      <c r="AE46">
        <v>104.7</v>
      </c>
      <c r="AH46">
        <v>29.09</v>
      </c>
      <c r="AJ46">
        <v>680.99000000000012</v>
      </c>
    </row>
    <row r="47" spans="1:36" ht="14.25" customHeight="1" x14ac:dyDescent="0.3">
      <c r="A47" s="2" t="s">
        <v>2663</v>
      </c>
      <c r="B47" s="2" t="s">
        <v>224</v>
      </c>
      <c r="C47" s="2">
        <v>2</v>
      </c>
      <c r="D47" t="str">
        <f>_xlfn.XLOOKUP(order_items!B47,products_2026!A:A,products_2026!C:C,,0,)</f>
        <v>Home</v>
      </c>
      <c r="E47">
        <f>_xlfn.XLOOKUP(B47,products_2026!A:A,products_2026!D:D,,0,)</f>
        <v>42.24</v>
      </c>
      <c r="F47">
        <f t="shared" si="0"/>
        <v>84.48</v>
      </c>
      <c r="G47" t="str">
        <f>_xlfn.XLOOKUP(B47,products_2026!A:A,products_2026!B:B,,0,)</f>
        <v>Reed Oil Diffuser Pomegranate Bay Leaf</v>
      </c>
      <c r="H47" t="str">
        <f>_xlfn.XLOOKUP(B47,products_2026!A:A,products_2026!E:E,,0,)</f>
        <v>SELL0039</v>
      </c>
      <c r="I47" t="str">
        <f>IFERROR(_xlfn.XLOOKUP(H47,sellers_2026!A:A,sellers_2026!G:G,,0,), "unknown/inactive")</f>
        <v>QLD</v>
      </c>
      <c r="J47" t="str">
        <f>_xlfn.XLOOKUP(H47,sellers_2026!A:A,sellers_2026!B:B,,0,)</f>
        <v>zmkizlf6t6</v>
      </c>
      <c r="L47" s="10" t="s">
        <v>894</v>
      </c>
      <c r="M47">
        <v>389.04</v>
      </c>
      <c r="O47" s="10" t="s">
        <v>172</v>
      </c>
      <c r="P47">
        <v>7</v>
      </c>
      <c r="R47" s="10" t="s">
        <v>1088</v>
      </c>
      <c r="S47">
        <v>1125.3800000000001</v>
      </c>
      <c r="U47" s="10" t="s">
        <v>1054</v>
      </c>
      <c r="V47">
        <v>27</v>
      </c>
      <c r="X47" s="10" t="s">
        <v>1129</v>
      </c>
      <c r="Y47">
        <v>32.299999999999997</v>
      </c>
      <c r="Z47">
        <v>52.53</v>
      </c>
      <c r="AA47">
        <v>2347.5700000000002</v>
      </c>
      <c r="AB47">
        <v>1102.33</v>
      </c>
      <c r="AC47">
        <v>131.78</v>
      </c>
      <c r="AD47">
        <v>2939.0099999999998</v>
      </c>
      <c r="AE47">
        <v>177.48999999999995</v>
      </c>
      <c r="AF47">
        <v>811.22000000000014</v>
      </c>
      <c r="AG47">
        <v>160.53999999999996</v>
      </c>
      <c r="AH47">
        <v>258.40999999999997</v>
      </c>
      <c r="AJ47">
        <v>8013.18</v>
      </c>
    </row>
    <row r="48" spans="1:36" ht="14.25" customHeight="1" x14ac:dyDescent="0.3">
      <c r="A48" s="2" t="s">
        <v>2663</v>
      </c>
      <c r="B48" s="2" t="s">
        <v>286</v>
      </c>
      <c r="C48" s="2">
        <v>1</v>
      </c>
      <c r="D48" t="str">
        <f>_xlfn.XLOOKUP(order_items!B48,products_2026!A:A,products_2026!C:C,,0,)</f>
        <v>Outdoor</v>
      </c>
      <c r="E48">
        <f>_xlfn.XLOOKUP(B48,products_2026!A:A,products_2026!D:D,,0,)</f>
        <v>51.49</v>
      </c>
      <c r="F48">
        <f t="shared" si="0"/>
        <v>51.49</v>
      </c>
      <c r="G48" t="str">
        <f>_xlfn.XLOOKUP(B48,products_2026!A:A,products_2026!B:B,,0,)</f>
        <v>Solar Garden Light</v>
      </c>
      <c r="H48" t="str">
        <f>_xlfn.XLOOKUP(B48,products_2026!A:A,products_2026!E:E,,0,)</f>
        <v>SELL0045</v>
      </c>
      <c r="I48" t="str">
        <f>IFERROR(_xlfn.XLOOKUP(H48,sellers_2026!A:A,sellers_2026!G:G,,0,), "unknown/inactive")</f>
        <v>NT</v>
      </c>
      <c r="J48" t="str">
        <f>_xlfn.XLOOKUP(H48,sellers_2026!A:A,sellers_2026!B:B,,0,)</f>
        <v>s22ods7z5m</v>
      </c>
      <c r="L48" s="10" t="s">
        <v>659</v>
      </c>
      <c r="M48">
        <v>381.57</v>
      </c>
      <c r="O48" s="10" t="s">
        <v>659</v>
      </c>
      <c r="P48">
        <v>7</v>
      </c>
      <c r="R48" s="10" t="s">
        <v>1027</v>
      </c>
      <c r="S48">
        <v>1075.5800000000002</v>
      </c>
      <c r="U48" s="10" t="s">
        <v>1012</v>
      </c>
      <c r="V48">
        <v>27</v>
      </c>
      <c r="X48" s="10" t="s">
        <v>1102</v>
      </c>
      <c r="Y48">
        <v>327.66999999999996</v>
      </c>
      <c r="Z48">
        <v>1629.5500000000002</v>
      </c>
      <c r="AA48">
        <v>1277.1699999999996</v>
      </c>
      <c r="AB48">
        <v>204.95999999999998</v>
      </c>
      <c r="AC48">
        <v>354.66999999999996</v>
      </c>
      <c r="AD48">
        <v>139.64999999999998</v>
      </c>
      <c r="AE48">
        <v>762.4</v>
      </c>
      <c r="AF48">
        <v>4252.590000000002</v>
      </c>
      <c r="AG48">
        <v>83.420000000000016</v>
      </c>
      <c r="AH48">
        <v>257.19</v>
      </c>
      <c r="AJ48">
        <v>9289.2700000000023</v>
      </c>
    </row>
    <row r="49" spans="1:36" ht="14.25" customHeight="1" x14ac:dyDescent="0.3">
      <c r="A49" s="2" t="s">
        <v>2663</v>
      </c>
      <c r="B49" s="2" t="s">
        <v>559</v>
      </c>
      <c r="C49" s="2">
        <v>1</v>
      </c>
      <c r="D49" t="str">
        <f>_xlfn.XLOOKUP(order_items!B49,products_2026!A:A,products_2026!C:C,,0,)</f>
        <v>Outdoor</v>
      </c>
      <c r="E49">
        <f>_xlfn.XLOOKUP(B49,products_2026!A:A,products_2026!D:D,,0,)</f>
        <v>51.74</v>
      </c>
      <c r="F49">
        <f t="shared" si="0"/>
        <v>51.74</v>
      </c>
      <c r="G49" t="str">
        <f>_xlfn.XLOOKUP(B49,products_2026!A:A,products_2026!B:B,,0,)</f>
        <v>Garden Ornament Frog</v>
      </c>
      <c r="H49" t="str">
        <f>_xlfn.XLOOKUP(B49,products_2026!A:A,products_2026!E:E,,0,)</f>
        <v>SELL0077</v>
      </c>
      <c r="I49" t="str">
        <f>IFERROR(_xlfn.XLOOKUP(H49,sellers_2026!A:A,sellers_2026!G:G,,0,), "unknown/inactive")</f>
        <v>ACT</v>
      </c>
      <c r="J49" t="str">
        <f>_xlfn.XLOOKUP(H49,sellers_2026!A:A,sellers_2026!B:B,,0,)</f>
        <v>doorsyout</v>
      </c>
      <c r="L49" s="10" t="s">
        <v>952</v>
      </c>
      <c r="M49">
        <v>380.87</v>
      </c>
      <c r="O49" s="10" t="s">
        <v>130</v>
      </c>
      <c r="P49">
        <v>6</v>
      </c>
      <c r="R49" s="10" t="s">
        <v>1034</v>
      </c>
      <c r="S49">
        <v>1060.3900000000001</v>
      </c>
      <c r="U49" s="10" t="s">
        <v>1008</v>
      </c>
      <c r="V49">
        <v>26</v>
      </c>
      <c r="X49" s="10" t="s">
        <v>1117</v>
      </c>
      <c r="Y49">
        <v>211.19</v>
      </c>
      <c r="Z49">
        <v>569.84</v>
      </c>
      <c r="AA49">
        <v>77.12</v>
      </c>
      <c r="AC49">
        <v>26.98</v>
      </c>
      <c r="AD49">
        <v>365.64</v>
      </c>
      <c r="AE49">
        <v>52.64</v>
      </c>
      <c r="AF49">
        <v>2391.88</v>
      </c>
      <c r="AG49">
        <v>15.330000000000002</v>
      </c>
      <c r="AH49">
        <v>165.02</v>
      </c>
      <c r="AJ49">
        <v>3875.64</v>
      </c>
    </row>
    <row r="50" spans="1:36" ht="14.25" customHeight="1" x14ac:dyDescent="0.3">
      <c r="A50" s="2" t="s">
        <v>2663</v>
      </c>
      <c r="B50" s="2" t="s">
        <v>836</v>
      </c>
      <c r="C50" s="2">
        <v>1</v>
      </c>
      <c r="D50" t="str">
        <f>_xlfn.XLOOKUP(order_items!B50,products_2026!A:A,products_2026!C:C,,0,)</f>
        <v>Home</v>
      </c>
      <c r="E50">
        <f>_xlfn.XLOOKUP(B50,products_2026!A:A,products_2026!D:D,,0,)</f>
        <v>22.63</v>
      </c>
      <c r="F50">
        <f t="shared" si="0"/>
        <v>22.63</v>
      </c>
      <c r="G50" t="str">
        <f>_xlfn.XLOOKUP(B50,products_2026!A:A,products_2026!B:B,,0,)</f>
        <v>Vitamin C Serum 50ml</v>
      </c>
      <c r="H50" t="str">
        <f>_xlfn.XLOOKUP(B50,products_2026!A:A,products_2026!E:E,,0,)</f>
        <v>SELL0091</v>
      </c>
      <c r="I50" t="str">
        <f>IFERROR(_xlfn.XLOOKUP(H50,sellers_2026!A:A,sellers_2026!G:G,,0,), "unknown/inactive")</f>
        <v>TAS</v>
      </c>
      <c r="J50" t="str">
        <f>_xlfn.XLOOKUP(H50,sellers_2026!A:A,sellers_2026!B:B,,0,)</f>
        <v>beautifullhome</v>
      </c>
      <c r="L50" s="10" t="s">
        <v>520</v>
      </c>
      <c r="M50">
        <v>373.76</v>
      </c>
      <c r="O50" s="10" t="s">
        <v>504</v>
      </c>
      <c r="P50">
        <v>6</v>
      </c>
      <c r="R50" s="10" t="s">
        <v>1055</v>
      </c>
      <c r="S50">
        <v>957.45999999999992</v>
      </c>
      <c r="U50" s="10" t="s">
        <v>1037</v>
      </c>
      <c r="V50">
        <v>24</v>
      </c>
      <c r="X50" s="10" t="s">
        <v>1092</v>
      </c>
    </row>
    <row r="51" spans="1:36" ht="14.25" customHeight="1" x14ac:dyDescent="0.3">
      <c r="A51" s="2" t="s">
        <v>2664</v>
      </c>
      <c r="B51" s="2" t="s">
        <v>583</v>
      </c>
      <c r="C51" s="2">
        <v>1</v>
      </c>
      <c r="D51" t="str">
        <f>_xlfn.XLOOKUP(order_items!B51,products_2026!A:A,products_2026!C:C,,0,)</f>
        <v>Stationery</v>
      </c>
      <c r="E51">
        <f>_xlfn.XLOOKUP(B51,products_2026!A:A,products_2026!D:D,,0,)</f>
        <v>6.18</v>
      </c>
      <c r="F51">
        <f t="shared" si="0"/>
        <v>6.18</v>
      </c>
      <c r="G51" t="str">
        <f>_xlfn.XLOOKUP(B51,products_2026!A:A,products_2026!B:B,,0,)</f>
        <v>Highlighter 4pc Yellow</v>
      </c>
      <c r="H51" t="str">
        <f>_xlfn.XLOOKUP(B51,products_2026!A:A,products_2026!E:E,,0,)</f>
        <v>SELL0080</v>
      </c>
      <c r="I51" t="str">
        <f>IFERROR(_xlfn.XLOOKUP(H51,sellers_2026!A:A,sellers_2026!G:G,,0,), "unknown/inactive")</f>
        <v>TAS</v>
      </c>
      <c r="J51" t="str">
        <f>_xlfn.XLOOKUP(H51,sellers_2026!A:A,sellers_2026!B:B,,0,)</f>
        <v>cpghfp370y</v>
      </c>
      <c r="L51" s="10" t="s">
        <v>263</v>
      </c>
      <c r="M51">
        <v>365.64</v>
      </c>
      <c r="O51" s="10" t="s">
        <v>894</v>
      </c>
      <c r="P51">
        <v>6</v>
      </c>
      <c r="R51" s="10" t="s">
        <v>1037</v>
      </c>
      <c r="S51">
        <v>948.93000000000006</v>
      </c>
      <c r="U51" s="10" t="s">
        <v>1091</v>
      </c>
      <c r="V51">
        <v>23</v>
      </c>
      <c r="X51" s="10" t="s">
        <v>1016</v>
      </c>
      <c r="Y51">
        <v>1239.08</v>
      </c>
      <c r="Z51">
        <v>3487.2400000000002</v>
      </c>
      <c r="AA51">
        <v>4385.2299999999996</v>
      </c>
      <c r="AB51">
        <v>1807.1</v>
      </c>
      <c r="AC51">
        <v>2178.8599999999997</v>
      </c>
      <c r="AD51">
        <v>6457.9299999999994</v>
      </c>
      <c r="AE51">
        <v>1829.68</v>
      </c>
      <c r="AF51">
        <v>16526.25</v>
      </c>
      <c r="AG51">
        <v>351.22999999999996</v>
      </c>
      <c r="AH51">
        <v>1434.61</v>
      </c>
      <c r="AJ51">
        <v>39697.21</v>
      </c>
    </row>
    <row r="52" spans="1:36" ht="14.25" customHeight="1" x14ac:dyDescent="0.3">
      <c r="A52" s="2" t="s">
        <v>2665</v>
      </c>
      <c r="B52" s="2" t="s">
        <v>277</v>
      </c>
      <c r="C52" s="2">
        <v>1</v>
      </c>
      <c r="D52" t="str">
        <f>_xlfn.XLOOKUP(order_items!B52,products_2026!A:A,products_2026!C:C,,0,)</f>
        <v>Electronics</v>
      </c>
      <c r="E52">
        <f>_xlfn.XLOOKUP(B52,products_2026!A:A,products_2026!D:D,,0,)</f>
        <v>112.5</v>
      </c>
      <c r="F52">
        <f t="shared" si="0"/>
        <v>112.5</v>
      </c>
      <c r="G52" t="str">
        <f>_xlfn.XLOOKUP(B52,products_2026!A:A,products_2026!B:B,,0,)</f>
        <v>Wireless Bluetooth Earbuds Noise Cancel</v>
      </c>
      <c r="H52" t="str">
        <f>_xlfn.XLOOKUP(B52,products_2026!A:A,products_2026!E:E,,0,)</f>
        <v>SELL0024</v>
      </c>
      <c r="I52" t="str">
        <f>IFERROR(_xlfn.XLOOKUP(H52,sellers_2026!A:A,sellers_2026!G:G,,0,), "unknown/inactive")</f>
        <v>VIC</v>
      </c>
      <c r="J52" t="str">
        <f>_xlfn.XLOOKUP(H52,sellers_2026!A:A,sellers_2026!B:B,,0,)</f>
        <v>ELEC25B</v>
      </c>
      <c r="L52" s="10" t="s">
        <v>473</v>
      </c>
      <c r="M52">
        <v>363.95000000000005</v>
      </c>
      <c r="O52" s="10" t="s">
        <v>828</v>
      </c>
      <c r="P52">
        <v>6</v>
      </c>
      <c r="R52" s="10" t="s">
        <v>1064</v>
      </c>
      <c r="S52">
        <v>916.88999999999987</v>
      </c>
      <c r="U52" s="10" t="s">
        <v>1051</v>
      </c>
      <c r="V52">
        <v>21</v>
      </c>
    </row>
    <row r="53" spans="1:36" ht="14.25" customHeight="1" x14ac:dyDescent="0.3">
      <c r="A53" s="2" t="s">
        <v>2666</v>
      </c>
      <c r="B53" s="2" t="s">
        <v>726</v>
      </c>
      <c r="C53" s="2">
        <v>1</v>
      </c>
      <c r="D53" t="str">
        <f>_xlfn.XLOOKUP(order_items!B53,products_2026!A:A,products_2026!C:C,,0,)</f>
        <v>Gift_Sets</v>
      </c>
      <c r="E53">
        <f>_xlfn.XLOOKUP(B53,products_2026!A:A,products_2026!D:D,,0,)</f>
        <v>21.81</v>
      </c>
      <c r="F53">
        <f t="shared" si="0"/>
        <v>21.81</v>
      </c>
      <c r="G53" t="str">
        <f>_xlfn.XLOOKUP(B53,products_2026!A:A,products_2026!B:B,,0,)</f>
        <v>White Chocolate Selection Box</v>
      </c>
      <c r="H53" t="str">
        <f>_xlfn.XLOOKUP(B53,products_2026!A:A,products_2026!E:E,,0,)</f>
        <v>SELL0088</v>
      </c>
      <c r="I53" t="str">
        <f>IFERROR(_xlfn.XLOOKUP(H53,sellers_2026!A:A,sellers_2026!G:G,,0,), "unknown/inactive")</f>
        <v>TAS</v>
      </c>
      <c r="J53" t="str">
        <f>_xlfn.XLOOKUP(H53,sellers_2026!A:A,sellers_2026!B:B,,0,)</f>
        <v>7ti9lfa6h5</v>
      </c>
      <c r="L53" s="10" t="s">
        <v>377</v>
      </c>
      <c r="M53">
        <v>353.16</v>
      </c>
      <c r="O53" s="10" t="s">
        <v>402</v>
      </c>
      <c r="P53">
        <v>6</v>
      </c>
      <c r="R53" s="10" t="s">
        <v>1057</v>
      </c>
      <c r="S53">
        <v>904.07999999999993</v>
      </c>
      <c r="U53" s="10" t="s">
        <v>1084</v>
      </c>
      <c r="V53">
        <v>18</v>
      </c>
    </row>
    <row r="54" spans="1:36" ht="14.25" customHeight="1" x14ac:dyDescent="0.3">
      <c r="A54" s="2" t="s">
        <v>2667</v>
      </c>
      <c r="B54" s="2" t="s">
        <v>638</v>
      </c>
      <c r="C54" s="2">
        <v>1</v>
      </c>
      <c r="D54" t="str">
        <f>_xlfn.XLOOKUP(order_items!B54,products_2026!A:A,products_2026!C:C,,0,)</f>
        <v>Clothes</v>
      </c>
      <c r="E54">
        <f>_xlfn.XLOOKUP(B54,products_2026!A:A,products_2026!D:D,,0,)</f>
        <v>44.13</v>
      </c>
      <c r="F54">
        <f t="shared" si="0"/>
        <v>44.13</v>
      </c>
      <c r="G54" t="str">
        <f>_xlfn.XLOOKUP(B54,products_2026!A:A,products_2026!B:B,,0,)</f>
        <v>Men’s Chino Shorts XL</v>
      </c>
      <c r="H54" t="str">
        <f>_xlfn.XLOOKUP(B54,products_2026!A:A,products_2026!E:E,,0,)</f>
        <v>SELL0086</v>
      </c>
      <c r="I54" t="str">
        <f>IFERROR(_xlfn.XLOOKUP(H54,sellers_2026!A:A,sellers_2026!G:G,,0,), "unknown/inactive")</f>
        <v>VIC</v>
      </c>
      <c r="J54" t="str">
        <f>_xlfn.XLOOKUP(H54,sellers_2026!A:A,sellers_2026!B:B,,0,)</f>
        <v>clothesforlife</v>
      </c>
      <c r="L54" s="10" t="s">
        <v>597</v>
      </c>
      <c r="M54">
        <v>336.97999999999996</v>
      </c>
      <c r="O54" s="10" t="s">
        <v>711</v>
      </c>
      <c r="P54">
        <v>6</v>
      </c>
      <c r="R54" s="10" t="s">
        <v>1051</v>
      </c>
      <c r="S54">
        <v>824.28000000000009</v>
      </c>
      <c r="U54" s="10" t="s">
        <v>1025</v>
      </c>
      <c r="V54">
        <v>18</v>
      </c>
    </row>
    <row r="55" spans="1:36" ht="14.25" customHeight="1" x14ac:dyDescent="0.3">
      <c r="A55" s="2" t="s">
        <v>2667</v>
      </c>
      <c r="B55" s="2" t="s">
        <v>666</v>
      </c>
      <c r="C55" s="2">
        <v>2</v>
      </c>
      <c r="D55" t="str">
        <f>_xlfn.XLOOKUP(order_items!B55,products_2026!A:A,products_2026!C:C,,0,)</f>
        <v>Clothes</v>
      </c>
      <c r="E55">
        <f>_xlfn.XLOOKUP(B55,products_2026!A:A,products_2026!D:D,,0,)</f>
        <v>53.17</v>
      </c>
      <c r="F55">
        <f t="shared" si="0"/>
        <v>106.34</v>
      </c>
      <c r="G55" t="str">
        <f>_xlfn.XLOOKUP(B55,products_2026!A:A,products_2026!B:B,,0,)</f>
        <v>Unisex Hoodie - Yellow L</v>
      </c>
      <c r="H55" t="str">
        <f>_xlfn.XLOOKUP(B55,products_2026!A:A,products_2026!E:E,,0,)</f>
        <v>SELL0039</v>
      </c>
      <c r="I55" t="str">
        <f>IFERROR(_xlfn.XLOOKUP(H55,sellers_2026!A:A,sellers_2026!G:G,,0,), "unknown/inactive")</f>
        <v>QLD</v>
      </c>
      <c r="J55" t="str">
        <f>_xlfn.XLOOKUP(H55,sellers_2026!A:A,sellers_2026!B:B,,0,)</f>
        <v>zmkizlf6t6</v>
      </c>
      <c r="L55" s="10" t="s">
        <v>708</v>
      </c>
      <c r="M55">
        <v>319.20000000000005</v>
      </c>
      <c r="O55" s="10" t="s">
        <v>543</v>
      </c>
      <c r="P55">
        <v>6</v>
      </c>
      <c r="R55" s="10" t="s">
        <v>1091</v>
      </c>
      <c r="S55">
        <v>808.09999999999991</v>
      </c>
      <c r="U55" s="10" t="s">
        <v>1034</v>
      </c>
      <c r="V55">
        <v>16</v>
      </c>
    </row>
    <row r="56" spans="1:36" ht="14.25" customHeight="1" x14ac:dyDescent="0.3">
      <c r="A56" s="2" t="s">
        <v>2667</v>
      </c>
      <c r="B56" s="2" t="s">
        <v>931</v>
      </c>
      <c r="C56" s="2">
        <v>1</v>
      </c>
      <c r="D56" t="str">
        <f>_xlfn.XLOOKUP(order_items!B56,products_2026!A:A,products_2026!C:C,,0,)</f>
        <v>Outdoor</v>
      </c>
      <c r="E56">
        <f>_xlfn.XLOOKUP(B56,products_2026!A:A,products_2026!D:D,,0,)</f>
        <v>114.11</v>
      </c>
      <c r="F56">
        <f t="shared" si="0"/>
        <v>114.11</v>
      </c>
      <c r="G56" t="str">
        <f>_xlfn.XLOOKUP(B56,products_2026!A:A,products_2026!B:B,,0,)</f>
        <v>Compact Hiking Backpack 20L (Blue)</v>
      </c>
      <c r="H56" t="str">
        <f>_xlfn.XLOOKUP(B56,products_2026!A:A,products_2026!E:E,,0,)</f>
        <v>SELL0093</v>
      </c>
      <c r="I56" t="str">
        <f>IFERROR(_xlfn.XLOOKUP(H56,sellers_2026!A:A,sellers_2026!G:G,,0,), "unknown/inactive")</f>
        <v>NT</v>
      </c>
      <c r="J56" t="str">
        <f>_xlfn.XLOOKUP(H56,sellers_2026!A:A,sellers_2026!B:B,,0,)</f>
        <v>millies-outdoor-shop</v>
      </c>
      <c r="L56" s="10" t="s">
        <v>816</v>
      </c>
      <c r="M56">
        <v>304.64999999999998</v>
      </c>
      <c r="O56" s="10" t="s">
        <v>884</v>
      </c>
      <c r="P56">
        <v>6</v>
      </c>
      <c r="R56" s="10" t="s">
        <v>1035</v>
      </c>
      <c r="S56">
        <v>731.20999999999992</v>
      </c>
      <c r="U56" s="10" t="s">
        <v>1057</v>
      </c>
      <c r="V56">
        <v>16</v>
      </c>
    </row>
    <row r="57" spans="1:36" ht="14.25" customHeight="1" x14ac:dyDescent="0.3">
      <c r="A57" s="2" t="s">
        <v>2668</v>
      </c>
      <c r="B57" s="2" t="s">
        <v>710</v>
      </c>
      <c r="C57" s="2">
        <v>1</v>
      </c>
      <c r="D57" t="str">
        <f>_xlfn.XLOOKUP(order_items!B57,products_2026!A:A,products_2026!C:C,,0,)</f>
        <v>Electronics</v>
      </c>
      <c r="E57">
        <f>_xlfn.XLOOKUP(B57,products_2026!A:A,products_2026!D:D,,0,)</f>
        <v>36.57</v>
      </c>
      <c r="F57">
        <f t="shared" si="0"/>
        <v>36.57</v>
      </c>
      <c r="G57" t="str">
        <f>_xlfn.XLOOKUP(B57,products_2026!A:A,products_2026!B:B,,0,)</f>
        <v>Portable Power Bank 10,000mAh (Navy)</v>
      </c>
      <c r="H57" t="str">
        <f>_xlfn.XLOOKUP(B57,products_2026!A:A,products_2026!E:E,,0,)</f>
        <v>SELL0088</v>
      </c>
      <c r="I57" t="str">
        <f>IFERROR(_xlfn.XLOOKUP(H57,sellers_2026!A:A,sellers_2026!G:G,,0,), "unknown/inactive")</f>
        <v>TAS</v>
      </c>
      <c r="J57" t="str">
        <f>_xlfn.XLOOKUP(H57,sellers_2026!A:A,sellers_2026!B:B,,0,)</f>
        <v>7ti9lfa6h5</v>
      </c>
      <c r="L57" s="10" t="s">
        <v>922</v>
      </c>
      <c r="M57">
        <v>291.51</v>
      </c>
      <c r="O57" s="10" t="s">
        <v>808</v>
      </c>
      <c r="P57">
        <v>6</v>
      </c>
      <c r="R57" s="10" t="s">
        <v>1025</v>
      </c>
      <c r="S57">
        <v>720.7299999999999</v>
      </c>
      <c r="U57" s="10" t="s">
        <v>1081</v>
      </c>
      <c r="V57">
        <v>15</v>
      </c>
    </row>
    <row r="58" spans="1:36" ht="14.25" customHeight="1" x14ac:dyDescent="0.3">
      <c r="A58" s="2" t="s">
        <v>2669</v>
      </c>
      <c r="B58" s="2" t="s">
        <v>148</v>
      </c>
      <c r="C58" s="2">
        <v>1</v>
      </c>
      <c r="D58" t="str">
        <f>_xlfn.XLOOKUP(order_items!B58,products_2026!A:A,products_2026!C:C,,0,)</f>
        <v>Health</v>
      </c>
      <c r="E58">
        <f>_xlfn.XLOOKUP(B58,products_2026!A:A,products_2026!D:D,,0,)</f>
        <v>58.23</v>
      </c>
      <c r="F58">
        <f t="shared" si="0"/>
        <v>58.23</v>
      </c>
      <c r="G58" t="str">
        <f>_xlfn.XLOOKUP(B58,products_2026!A:A,products_2026!B:B,,0,)</f>
        <v>Yoga Mat 10mm</v>
      </c>
      <c r="H58" t="str">
        <f>_xlfn.XLOOKUP(B58,products_2026!A:A,products_2026!E:E,,0,)</f>
        <v>SELL0031</v>
      </c>
      <c r="I58" t="str">
        <f>IFERROR(_xlfn.XLOOKUP(H58,sellers_2026!A:A,sellers_2026!G:G,,0,), "unknown/inactive")</f>
        <v>VIC</v>
      </c>
      <c r="J58" t="str">
        <f>_xlfn.XLOOKUP(H58,sellers_2026!A:A,sellers_2026!B:B,,0,)</f>
        <v>keepwells</v>
      </c>
      <c r="L58" s="10" t="s">
        <v>611</v>
      </c>
      <c r="M58">
        <v>285.15999999999997</v>
      </c>
      <c r="O58" s="10" t="s">
        <v>680</v>
      </c>
      <c r="P58">
        <v>6</v>
      </c>
      <c r="R58" s="10" t="s">
        <v>1009</v>
      </c>
      <c r="S58">
        <v>713.98</v>
      </c>
      <c r="U58" s="10" t="s">
        <v>1080</v>
      </c>
      <c r="V58">
        <v>15</v>
      </c>
    </row>
    <row r="59" spans="1:36" ht="14.25" customHeight="1" x14ac:dyDescent="0.3">
      <c r="A59" s="2" t="s">
        <v>2669</v>
      </c>
      <c r="B59" s="2" t="s">
        <v>231</v>
      </c>
      <c r="C59" s="2">
        <v>1</v>
      </c>
      <c r="D59" t="str">
        <f>_xlfn.XLOOKUP(order_items!B59,products_2026!A:A,products_2026!C:C,,0,)</f>
        <v>Stationery</v>
      </c>
      <c r="E59">
        <f>_xlfn.XLOOKUP(B59,products_2026!A:A,products_2026!D:D,,0,)</f>
        <v>12.88</v>
      </c>
      <c r="F59">
        <f t="shared" si="0"/>
        <v>12.88</v>
      </c>
      <c r="G59" t="str">
        <f>_xlfn.XLOOKUP(B59,products_2026!A:A,products_2026!B:B,,0,)</f>
        <v>Highlighter Set Pens Yellow</v>
      </c>
      <c r="H59" t="str">
        <f>_xlfn.XLOOKUP(B59,products_2026!A:A,products_2026!E:E,,0,)</f>
        <v>SELL0040</v>
      </c>
      <c r="I59" t="str">
        <f>IFERROR(_xlfn.XLOOKUP(H59,sellers_2026!A:A,sellers_2026!G:G,,0,), "unknown/inactive")</f>
        <v>TAS</v>
      </c>
      <c r="J59" t="str">
        <f>_xlfn.XLOOKUP(H59,sellers_2026!A:A,sellers_2026!B:B,,0,)</f>
        <v>cheapandgood27</v>
      </c>
      <c r="L59" s="10" t="s">
        <v>416</v>
      </c>
      <c r="M59">
        <v>278.88000000000005</v>
      </c>
      <c r="O59" s="10" t="s">
        <v>252</v>
      </c>
      <c r="P59">
        <v>5</v>
      </c>
      <c r="R59" s="10" t="s">
        <v>1014</v>
      </c>
      <c r="S59">
        <v>653.91000000000008</v>
      </c>
      <c r="U59" s="10" t="s">
        <v>1064</v>
      </c>
      <c r="V59">
        <v>15</v>
      </c>
    </row>
    <row r="60" spans="1:36" ht="14.25" customHeight="1" x14ac:dyDescent="0.3">
      <c r="A60" s="2" t="s">
        <v>2670</v>
      </c>
      <c r="B60" s="2" t="s">
        <v>805</v>
      </c>
      <c r="C60" s="2">
        <v>2</v>
      </c>
      <c r="D60" t="str">
        <f>_xlfn.XLOOKUP(order_items!B60,products_2026!A:A,products_2026!C:C,,0,)</f>
        <v>Home</v>
      </c>
      <c r="E60">
        <f>_xlfn.XLOOKUP(B60,products_2026!A:A,products_2026!D:D,,0,)</f>
        <v>46.25</v>
      </c>
      <c r="F60">
        <f t="shared" si="0"/>
        <v>92.5</v>
      </c>
      <c r="G60" t="str">
        <f>_xlfn.XLOOKUP(B60,products_2026!A:A,products_2026!B:B,,0,)</f>
        <v>Memory Foam Pillow Firm x 2</v>
      </c>
      <c r="H60" t="str">
        <f>_xlfn.XLOOKUP(B60,products_2026!A:A,products_2026!E:E,,0,)</f>
        <v>SELL0027</v>
      </c>
      <c r="I60" t="str">
        <f>IFERROR(_xlfn.XLOOKUP(H60,sellers_2026!A:A,sellers_2026!G:G,,0,), "unknown/inactive")</f>
        <v>QLD</v>
      </c>
      <c r="J60" t="str">
        <f>_xlfn.XLOOKUP(H60,sellers_2026!A:A,sellers_2026!B:B,,0,)</f>
        <v>home458</v>
      </c>
      <c r="L60" s="10" t="s">
        <v>58</v>
      </c>
      <c r="M60">
        <v>274.20000000000005</v>
      </c>
      <c r="O60" s="10" t="s">
        <v>888</v>
      </c>
      <c r="P60">
        <v>5</v>
      </c>
      <c r="R60" s="10" t="s">
        <v>1068</v>
      </c>
      <c r="S60">
        <v>619.4</v>
      </c>
      <c r="U60" s="10" t="s">
        <v>1042</v>
      </c>
      <c r="V60">
        <v>15</v>
      </c>
    </row>
    <row r="61" spans="1:36" ht="14.25" customHeight="1" x14ac:dyDescent="0.3">
      <c r="A61" s="2" t="s">
        <v>2671</v>
      </c>
      <c r="B61" s="2" t="s">
        <v>237</v>
      </c>
      <c r="C61" s="2">
        <v>1</v>
      </c>
      <c r="D61" t="str">
        <f>_xlfn.XLOOKUP(order_items!B61,products_2026!A:A,products_2026!C:C,,0,)</f>
        <v>Toys</v>
      </c>
      <c r="E61">
        <f>_xlfn.XLOOKUP(B61,products_2026!A:A,products_2026!D:D,,0,)</f>
        <v>7.88</v>
      </c>
      <c r="F61">
        <f t="shared" si="0"/>
        <v>7.88</v>
      </c>
      <c r="G61" t="str">
        <f>_xlfn.XLOOKUP(B61,products_2026!A:A,products_2026!B:B,,0,)</f>
        <v>Car racing track automatic launch</v>
      </c>
      <c r="H61" t="str">
        <f>_xlfn.XLOOKUP(B61,products_2026!A:A,products_2026!E:E,,0,)</f>
        <v>SELL0040</v>
      </c>
      <c r="I61" t="str">
        <f>IFERROR(_xlfn.XLOOKUP(H61,sellers_2026!A:A,sellers_2026!G:G,,0,), "unknown/inactive")</f>
        <v>TAS</v>
      </c>
      <c r="J61" t="str">
        <f>_xlfn.XLOOKUP(H61,sellers_2026!A:A,sellers_2026!B:B,,0,)</f>
        <v>cheapandgood27</v>
      </c>
      <c r="L61" s="10" t="s">
        <v>127</v>
      </c>
      <c r="M61">
        <v>269.39999999999998</v>
      </c>
      <c r="O61" s="10" t="s">
        <v>835</v>
      </c>
      <c r="P61">
        <v>5</v>
      </c>
      <c r="R61" s="10" t="s">
        <v>1075</v>
      </c>
      <c r="S61">
        <v>597.18000000000006</v>
      </c>
      <c r="U61" s="10" t="s">
        <v>1014</v>
      </c>
      <c r="V61">
        <v>14</v>
      </c>
    </row>
    <row r="62" spans="1:36" ht="14.25" customHeight="1" x14ac:dyDescent="0.3">
      <c r="A62" s="2" t="s">
        <v>2671</v>
      </c>
      <c r="B62" s="2" t="s">
        <v>927</v>
      </c>
      <c r="C62" s="2">
        <v>1</v>
      </c>
      <c r="D62" t="str">
        <f>_xlfn.XLOOKUP(order_items!B62,products_2026!A:A,products_2026!C:C,,0,)</f>
        <v>Outdoor</v>
      </c>
      <c r="E62">
        <f>_xlfn.XLOOKUP(B62,products_2026!A:A,products_2026!D:D,,0,)</f>
        <v>27.32</v>
      </c>
      <c r="F62">
        <f t="shared" si="0"/>
        <v>27.32</v>
      </c>
      <c r="G62" t="str">
        <f>_xlfn.XLOOKUP(B62,products_2026!A:A,products_2026!B:B,,0,)</f>
        <v>Stainless Steel BBQ Tools Set (Green)</v>
      </c>
      <c r="H62" t="str">
        <f>_xlfn.XLOOKUP(B62,products_2026!A:A,products_2026!E:E,,0,)</f>
        <v>SELL0093</v>
      </c>
      <c r="I62" t="str">
        <f>IFERROR(_xlfn.XLOOKUP(H62,sellers_2026!A:A,sellers_2026!G:G,,0,), "unknown/inactive")</f>
        <v>NT</v>
      </c>
      <c r="J62" t="str">
        <f>_xlfn.XLOOKUP(H62,sellers_2026!A:A,sellers_2026!B:B,,0,)</f>
        <v>millies-outdoor-shop</v>
      </c>
      <c r="L62" s="10" t="s">
        <v>918</v>
      </c>
      <c r="M62">
        <v>267.76</v>
      </c>
      <c r="O62" s="10" t="s">
        <v>708</v>
      </c>
      <c r="P62">
        <v>5</v>
      </c>
      <c r="R62" s="10" t="s">
        <v>1082</v>
      </c>
      <c r="S62">
        <v>596.92999999999995</v>
      </c>
      <c r="U62" s="10" t="s">
        <v>1069</v>
      </c>
      <c r="V62">
        <v>14</v>
      </c>
    </row>
    <row r="63" spans="1:36" ht="14.25" customHeight="1" x14ac:dyDescent="0.3">
      <c r="A63" s="2" t="s">
        <v>2672</v>
      </c>
      <c r="B63" s="2" t="s">
        <v>224</v>
      </c>
      <c r="C63" s="2">
        <v>1</v>
      </c>
      <c r="D63" t="str">
        <f>_xlfn.XLOOKUP(order_items!B63,products_2026!A:A,products_2026!C:C,,0,)</f>
        <v>Home</v>
      </c>
      <c r="E63">
        <f>_xlfn.XLOOKUP(B63,products_2026!A:A,products_2026!D:D,,0,)</f>
        <v>42.24</v>
      </c>
      <c r="F63">
        <f t="shared" si="0"/>
        <v>42.24</v>
      </c>
      <c r="G63" t="str">
        <f>_xlfn.XLOOKUP(B63,products_2026!A:A,products_2026!B:B,,0,)</f>
        <v>Reed Oil Diffuser Pomegranate Bay Leaf</v>
      </c>
      <c r="H63" t="str">
        <f>_xlfn.XLOOKUP(B63,products_2026!A:A,products_2026!E:E,,0,)</f>
        <v>SELL0039</v>
      </c>
      <c r="I63" t="str">
        <f>IFERROR(_xlfn.XLOOKUP(H63,sellers_2026!A:A,sellers_2026!G:G,,0,), "unknown/inactive")</f>
        <v>QLD</v>
      </c>
      <c r="J63" t="str">
        <f>_xlfn.XLOOKUP(H63,sellers_2026!A:A,sellers_2026!B:B,,0,)</f>
        <v>zmkizlf6t6</v>
      </c>
      <c r="L63" s="10" t="s">
        <v>352</v>
      </c>
      <c r="M63">
        <v>264.63</v>
      </c>
      <c r="O63" s="10" t="s">
        <v>307</v>
      </c>
      <c r="P63">
        <v>5</v>
      </c>
      <c r="R63" s="10" t="s">
        <v>1019</v>
      </c>
      <c r="S63">
        <v>539.25</v>
      </c>
      <c r="U63" s="10" t="s">
        <v>1009</v>
      </c>
      <c r="V63">
        <v>14</v>
      </c>
    </row>
    <row r="64" spans="1:36" ht="14.25" customHeight="1" x14ac:dyDescent="0.3">
      <c r="A64" s="2" t="s">
        <v>2673</v>
      </c>
      <c r="B64" s="2" t="s">
        <v>462</v>
      </c>
      <c r="C64" s="2">
        <v>1</v>
      </c>
      <c r="D64" t="str">
        <f>_xlfn.XLOOKUP(order_items!B64,products_2026!A:A,products_2026!C:C,,0,)</f>
        <v>Health</v>
      </c>
      <c r="E64">
        <f>_xlfn.XLOOKUP(B64,products_2026!A:A,products_2026!D:D,,0,)</f>
        <v>40.75</v>
      </c>
      <c r="F64">
        <f t="shared" si="0"/>
        <v>40.75</v>
      </c>
      <c r="G64" t="str">
        <f>_xlfn.XLOOKUP(B64,products_2026!A:A,products_2026!B:B,,0,)</f>
        <v>Blood Pressure Monitor Digital</v>
      </c>
      <c r="H64" t="str">
        <f>_xlfn.XLOOKUP(B64,products_2026!A:A,products_2026!E:E,,0,)</f>
        <v>SELL0066</v>
      </c>
      <c r="I64" t="str">
        <f>IFERROR(_xlfn.XLOOKUP(H64,sellers_2026!A:A,sellers_2026!G:G,,0,), "unknown/inactive")</f>
        <v>VIC</v>
      </c>
      <c r="J64" t="str">
        <f>_xlfn.XLOOKUP(H64,sellers_2026!A:A,sellers_2026!B:B,,0,)</f>
        <v>healthcarehelp</v>
      </c>
      <c r="L64" s="10" t="s">
        <v>934</v>
      </c>
      <c r="M64">
        <v>262.53000000000003</v>
      </c>
      <c r="O64" s="10" t="s">
        <v>74</v>
      </c>
      <c r="P64">
        <v>5</v>
      </c>
      <c r="R64" s="10" t="s">
        <v>1089</v>
      </c>
      <c r="S64">
        <v>532.65000000000009</v>
      </c>
      <c r="U64" s="10" t="s">
        <v>1089</v>
      </c>
      <c r="V64">
        <v>13</v>
      </c>
    </row>
    <row r="65" spans="1:22" ht="14.25" customHeight="1" x14ac:dyDescent="0.3">
      <c r="A65" s="2" t="s">
        <v>2673</v>
      </c>
      <c r="B65" s="2" t="s">
        <v>614</v>
      </c>
      <c r="C65" s="2">
        <v>1</v>
      </c>
      <c r="D65" t="str">
        <f>_xlfn.XLOOKUP(order_items!B65,products_2026!A:A,products_2026!C:C,,0,)</f>
        <v>Beauty</v>
      </c>
      <c r="E65">
        <f>_xlfn.XLOOKUP(B65,products_2026!A:A,products_2026!D:D,,0,)</f>
        <v>32.26</v>
      </c>
      <c r="F65">
        <f t="shared" si="0"/>
        <v>32.26</v>
      </c>
      <c r="G65" t="str">
        <f>_xlfn.XLOOKUP(B65,products_2026!A:A,products_2026!B:B,,0,)</f>
        <v>Vitamin C Serum 50ml</v>
      </c>
      <c r="H65" t="str">
        <f>_xlfn.XLOOKUP(B65,products_2026!A:A,products_2026!E:E,,0,)</f>
        <v>SELL0084</v>
      </c>
      <c r="I65" t="str">
        <f>IFERROR(_xlfn.XLOOKUP(H65,sellers_2026!A:A,sellers_2026!G:G,,0,), "unknown/inactive")</f>
        <v>NSW</v>
      </c>
      <c r="J65" t="str">
        <f>_xlfn.XLOOKUP(H65,sellers_2026!A:A,sellers_2026!B:B,,0,)</f>
        <v>lfmk805jw2</v>
      </c>
      <c r="L65" s="10" t="s">
        <v>533</v>
      </c>
      <c r="M65">
        <v>258.2</v>
      </c>
      <c r="O65" s="10" t="s">
        <v>473</v>
      </c>
      <c r="P65">
        <v>5</v>
      </c>
      <c r="R65" s="10" t="s">
        <v>1074</v>
      </c>
      <c r="S65">
        <v>521.34</v>
      </c>
      <c r="U65" s="10" t="s">
        <v>1024</v>
      </c>
      <c r="V65">
        <v>13</v>
      </c>
    </row>
    <row r="66" spans="1:22" ht="14.25" customHeight="1" x14ac:dyDescent="0.3">
      <c r="A66" s="2" t="s">
        <v>2674</v>
      </c>
      <c r="B66" s="2" t="s">
        <v>753</v>
      </c>
      <c r="C66" s="2">
        <v>1</v>
      </c>
      <c r="D66" t="str">
        <f>_xlfn.XLOOKUP(order_items!B66,products_2026!A:A,products_2026!C:C,,0,)</f>
        <v>Health</v>
      </c>
      <c r="E66">
        <f>_xlfn.XLOOKUP(B66,products_2026!A:A,products_2026!D:D,,0,)</f>
        <v>70.97</v>
      </c>
      <c r="F66">
        <f t="shared" si="0"/>
        <v>70.97</v>
      </c>
      <c r="G66" t="str">
        <f>_xlfn.XLOOKUP(B66,products_2026!A:A,products_2026!B:B,,0,)</f>
        <v>Smartwatch Health Tracking</v>
      </c>
      <c r="H66" t="str">
        <f>_xlfn.XLOOKUP(B66,products_2026!A:A,products_2026!E:E,,0,)</f>
        <v>SELL0089</v>
      </c>
      <c r="I66" t="str">
        <f>IFERROR(_xlfn.XLOOKUP(H66,sellers_2026!A:A,sellers_2026!G:G,,0,), "unknown/inactive")</f>
        <v>QLD</v>
      </c>
      <c r="J66" t="str">
        <f>_xlfn.XLOOKUP(H66,sellers_2026!A:A,sellers_2026!B:B,,0,)</f>
        <v>pyrurodqk4</v>
      </c>
      <c r="L66" s="10" t="s">
        <v>833</v>
      </c>
      <c r="M66">
        <v>257.82</v>
      </c>
      <c r="O66" s="10" t="s">
        <v>84</v>
      </c>
      <c r="P66">
        <v>5</v>
      </c>
      <c r="R66" s="10" t="s">
        <v>1031</v>
      </c>
      <c r="S66">
        <v>517.4</v>
      </c>
      <c r="U66" s="10" t="s">
        <v>1039</v>
      </c>
      <c r="V66">
        <v>13</v>
      </c>
    </row>
    <row r="67" spans="1:22" ht="14.25" customHeight="1" x14ac:dyDescent="0.3">
      <c r="A67" s="2" t="s">
        <v>2675</v>
      </c>
      <c r="B67" s="2" t="s">
        <v>640</v>
      </c>
      <c r="C67" s="2">
        <v>1</v>
      </c>
      <c r="D67" t="str">
        <f>_xlfn.XLOOKUP(order_items!B67,products_2026!A:A,products_2026!C:C,,0,)</f>
        <v>Clothes</v>
      </c>
      <c r="E67">
        <f>_xlfn.XLOOKUP(B67,products_2026!A:A,products_2026!D:D,,0,)</f>
        <v>37.99</v>
      </c>
      <c r="F67">
        <f t="shared" ref="F67:F130" si="1">C67*E67</f>
        <v>37.99</v>
      </c>
      <c r="G67" t="str">
        <f>_xlfn.XLOOKUP(B67,products_2026!A:A,products_2026!B:B,,0,)</f>
        <v>Cotton T Black Small</v>
      </c>
      <c r="H67" t="str">
        <f>_xlfn.XLOOKUP(B67,products_2026!A:A,products_2026!E:E,,0,)</f>
        <v>SELL0086</v>
      </c>
      <c r="I67" t="str">
        <f>IFERROR(_xlfn.XLOOKUP(H67,sellers_2026!A:A,sellers_2026!G:G,,0,), "unknown/inactive")</f>
        <v>VIC</v>
      </c>
      <c r="J67" t="str">
        <f>_xlfn.XLOOKUP(H67,sellers_2026!A:A,sellers_2026!B:B,,0,)</f>
        <v>clothesforlife</v>
      </c>
      <c r="L67" s="10" t="s">
        <v>699</v>
      </c>
      <c r="M67">
        <v>255.36</v>
      </c>
      <c r="O67" s="10" t="s">
        <v>761</v>
      </c>
      <c r="P67">
        <v>5</v>
      </c>
      <c r="R67" s="10" t="s">
        <v>1008</v>
      </c>
      <c r="S67">
        <v>514.91999999999996</v>
      </c>
      <c r="U67" s="10" t="s">
        <v>1019</v>
      </c>
      <c r="V67">
        <v>13</v>
      </c>
    </row>
    <row r="68" spans="1:22" ht="14.25" customHeight="1" x14ac:dyDescent="0.3">
      <c r="A68" s="2" t="s">
        <v>2676</v>
      </c>
      <c r="B68" s="2" t="s">
        <v>839</v>
      </c>
      <c r="C68" s="2">
        <v>1</v>
      </c>
      <c r="D68" t="str">
        <f>_xlfn.XLOOKUP(order_items!B68,products_2026!A:A,products_2026!C:C,,0,)</f>
        <v>Home</v>
      </c>
      <c r="E68">
        <f>_xlfn.XLOOKUP(B68,products_2026!A:A,products_2026!D:D,,0,)</f>
        <v>71.349999999999994</v>
      </c>
      <c r="F68">
        <f t="shared" si="1"/>
        <v>71.349999999999994</v>
      </c>
      <c r="G68" t="str">
        <f>_xlfn.XLOOKUP(B68,products_2026!A:A,products_2026!B:B,,0,)</f>
        <v>LED Floor Lamp</v>
      </c>
      <c r="H68" t="str">
        <f>_xlfn.XLOOKUP(B68,products_2026!A:A,products_2026!E:E,,0,)</f>
        <v>SELL0091</v>
      </c>
      <c r="I68" t="str">
        <f>IFERROR(_xlfn.XLOOKUP(H68,sellers_2026!A:A,sellers_2026!G:G,,0,), "unknown/inactive")</f>
        <v>TAS</v>
      </c>
      <c r="J68" t="str">
        <f>_xlfn.XLOOKUP(H68,sellers_2026!A:A,sellers_2026!B:B,,0,)</f>
        <v>beautifullhome</v>
      </c>
      <c r="L68" s="10" t="s">
        <v>924</v>
      </c>
      <c r="M68">
        <v>254.1</v>
      </c>
      <c r="O68" s="10" t="s">
        <v>234</v>
      </c>
      <c r="P68">
        <v>5</v>
      </c>
      <c r="R68" s="10" t="s">
        <v>1020</v>
      </c>
      <c r="S68">
        <v>487.35000000000008</v>
      </c>
      <c r="U68" s="10" t="s">
        <v>1083</v>
      </c>
      <c r="V68">
        <v>12</v>
      </c>
    </row>
    <row r="69" spans="1:22" ht="14.25" customHeight="1" x14ac:dyDescent="0.3">
      <c r="A69" s="2" t="s">
        <v>2677</v>
      </c>
      <c r="B69" s="2" t="s">
        <v>889</v>
      </c>
      <c r="C69" s="2">
        <v>1</v>
      </c>
      <c r="D69" t="str">
        <f>_xlfn.XLOOKUP(order_items!B69,products_2026!A:A,products_2026!C:C,,0,)</f>
        <v>Outdoor</v>
      </c>
      <c r="E69">
        <f>_xlfn.XLOOKUP(B69,products_2026!A:A,products_2026!D:D,,0,)</f>
        <v>10.07</v>
      </c>
      <c r="F69">
        <f t="shared" si="1"/>
        <v>10.07</v>
      </c>
      <c r="G69" t="str">
        <f>_xlfn.XLOOKUP(B69,products_2026!A:A,products_2026!B:B,,0,)</f>
        <v>Bamboo Picnic Rug Recycled Material</v>
      </c>
      <c r="H69" t="str">
        <f>_xlfn.XLOOKUP(B69,products_2026!A:A,products_2026!E:E,,0,)</f>
        <v>SELL0092</v>
      </c>
      <c r="I69" t="str">
        <f>IFERROR(_xlfn.XLOOKUP(H69,sellers_2026!A:A,sellers_2026!G:G,,0,), "unknown/inactive")</f>
        <v>VIC</v>
      </c>
      <c r="J69" t="str">
        <f>_xlfn.XLOOKUP(H69,sellers_2026!A:A,sellers_2026!B:B,,0,)</f>
        <v>dress4beauty</v>
      </c>
      <c r="L69" s="10" t="s">
        <v>218</v>
      </c>
      <c r="M69">
        <v>248.64</v>
      </c>
      <c r="O69" s="10" t="s">
        <v>641</v>
      </c>
      <c r="P69">
        <v>5</v>
      </c>
      <c r="R69" s="10" t="s">
        <v>1042</v>
      </c>
      <c r="S69">
        <v>443.82999999999993</v>
      </c>
      <c r="U69" s="10" t="s">
        <v>1013</v>
      </c>
      <c r="V69">
        <v>10</v>
      </c>
    </row>
    <row r="70" spans="1:22" ht="14.25" customHeight="1" x14ac:dyDescent="0.3">
      <c r="A70" s="2" t="s">
        <v>2678</v>
      </c>
      <c r="B70" s="2" t="s">
        <v>269</v>
      </c>
      <c r="C70" s="2">
        <v>1</v>
      </c>
      <c r="D70" t="str">
        <f>_xlfn.XLOOKUP(order_items!B70,products_2026!A:A,products_2026!C:C,,0,)</f>
        <v>Clothes</v>
      </c>
      <c r="E70">
        <f>_xlfn.XLOOKUP(B70,products_2026!A:A,products_2026!D:D,,0,)</f>
        <v>37.79</v>
      </c>
      <c r="F70">
        <f t="shared" si="1"/>
        <v>37.79</v>
      </c>
      <c r="G70" t="str">
        <f>_xlfn.XLOOKUP(B70,products_2026!A:A,products_2026!B:B,,0,)</f>
        <v>Kids Cotton Pyjamas 18month</v>
      </c>
      <c r="H70" t="str">
        <f>_xlfn.XLOOKUP(B70,products_2026!A:A,products_2026!E:E,,0,)</f>
        <v>SELL0043</v>
      </c>
      <c r="I70" t="str">
        <f>IFERROR(_xlfn.XLOOKUP(H70,sellers_2026!A:A,sellers_2026!G:G,,0,), "unknown/inactive")</f>
        <v>WA</v>
      </c>
      <c r="J70" t="str">
        <f>_xlfn.XLOOKUP(H70,sellers_2026!A:A,sellers_2026!B:B,,0,)</f>
        <v>g9x1rt9dw8</v>
      </c>
      <c r="L70" s="10" t="s">
        <v>558</v>
      </c>
      <c r="M70">
        <v>237.48</v>
      </c>
      <c r="O70" s="10" t="s">
        <v>463</v>
      </c>
      <c r="P70">
        <v>5</v>
      </c>
      <c r="R70" s="10" t="s">
        <v>1059</v>
      </c>
      <c r="S70">
        <v>439.29</v>
      </c>
      <c r="U70" s="10" t="s">
        <v>1077</v>
      </c>
      <c r="V70">
        <v>10</v>
      </c>
    </row>
    <row r="71" spans="1:22" ht="14.25" customHeight="1" x14ac:dyDescent="0.3">
      <c r="A71" s="2" t="s">
        <v>2679</v>
      </c>
      <c r="B71" s="2" t="s">
        <v>449</v>
      </c>
      <c r="C71" s="2">
        <v>1</v>
      </c>
      <c r="D71" t="str">
        <f>_xlfn.XLOOKUP(order_items!B71,products_2026!A:A,products_2026!C:C,,0,)</f>
        <v>Electronics</v>
      </c>
      <c r="E71">
        <f>_xlfn.XLOOKUP(B71,products_2026!A:A,products_2026!D:D,,0,)</f>
        <v>40.97</v>
      </c>
      <c r="F71">
        <f t="shared" si="1"/>
        <v>40.97</v>
      </c>
      <c r="G71" t="str">
        <f>_xlfn.XLOOKUP(B71,products_2026!A:A,products_2026!B:B,,0,)</f>
        <v>Smart Home Hub</v>
      </c>
      <c r="H71" t="str">
        <f>_xlfn.XLOOKUP(B71,products_2026!A:A,products_2026!E:E,,0,)</f>
        <v>SELL0063</v>
      </c>
      <c r="I71" t="str">
        <f>IFERROR(_xlfn.XLOOKUP(H71,sellers_2026!A:A,sellers_2026!G:G,,0,), "unknown/inactive")</f>
        <v>SA</v>
      </c>
      <c r="J71" t="str">
        <f>_xlfn.XLOOKUP(H71,sellers_2026!A:A,sellers_2026!B:B,,0,)</f>
        <v>uqcoiiv4s9</v>
      </c>
      <c r="L71" s="10" t="s">
        <v>844</v>
      </c>
      <c r="M71">
        <v>233.62</v>
      </c>
      <c r="O71" s="10" t="s">
        <v>232</v>
      </c>
      <c r="P71">
        <v>5</v>
      </c>
      <c r="R71" s="10" t="s">
        <v>1028</v>
      </c>
      <c r="S71">
        <v>437.84</v>
      </c>
      <c r="U71" s="10" t="s">
        <v>1031</v>
      </c>
      <c r="V71">
        <v>10</v>
      </c>
    </row>
    <row r="72" spans="1:22" ht="14.25" customHeight="1" x14ac:dyDescent="0.3">
      <c r="A72" s="2" t="s">
        <v>2679</v>
      </c>
      <c r="B72" s="2" t="s">
        <v>557</v>
      </c>
      <c r="C72" s="2">
        <v>1</v>
      </c>
      <c r="D72" t="str">
        <f>_xlfn.XLOOKUP(order_items!B72,products_2026!A:A,products_2026!C:C,,0,)</f>
        <v>Health</v>
      </c>
      <c r="E72">
        <f>_xlfn.XLOOKUP(B72,products_2026!A:A,products_2026!D:D,,0,)</f>
        <v>79.16</v>
      </c>
      <c r="F72">
        <f t="shared" si="1"/>
        <v>79.16</v>
      </c>
      <c r="G72" t="str">
        <f>_xlfn.XLOOKUP(B72,products_2026!A:A,products_2026!B:B,,0,)</f>
        <v>Heat Therapy Pad Reusable</v>
      </c>
      <c r="H72" t="str">
        <f>_xlfn.XLOOKUP(B72,products_2026!A:A,products_2026!E:E,,0,)</f>
        <v>SELL0076</v>
      </c>
      <c r="I72" t="str">
        <f>IFERROR(_xlfn.XLOOKUP(H72,sellers_2026!A:A,sellers_2026!G:G,,0,), "unknown/inactive")</f>
        <v>QLD</v>
      </c>
      <c r="J72" t="str">
        <f>_xlfn.XLOOKUP(H72,sellers_2026!A:A,sellers_2026!B:B,,0,)</f>
        <v>generalstuff</v>
      </c>
      <c r="L72" s="10" t="s">
        <v>804</v>
      </c>
      <c r="M72">
        <v>230.98</v>
      </c>
      <c r="O72" s="10" t="s">
        <v>182</v>
      </c>
      <c r="P72">
        <v>5</v>
      </c>
      <c r="R72" s="10" t="s">
        <v>1039</v>
      </c>
      <c r="S72">
        <v>421.54</v>
      </c>
      <c r="U72" s="10" t="s">
        <v>1074</v>
      </c>
      <c r="V72">
        <v>10</v>
      </c>
    </row>
    <row r="73" spans="1:22" ht="14.25" customHeight="1" x14ac:dyDescent="0.3">
      <c r="A73" s="2" t="s">
        <v>2680</v>
      </c>
      <c r="B73" s="2" t="s">
        <v>368</v>
      </c>
      <c r="C73" s="2">
        <v>1</v>
      </c>
      <c r="D73" t="str">
        <f>_xlfn.XLOOKUP(order_items!B73,products_2026!A:A,products_2026!C:C,,0,)</f>
        <v>Toys</v>
      </c>
      <c r="E73">
        <f>_xlfn.XLOOKUP(B73,products_2026!A:A,products_2026!D:D,,0,)</f>
        <v>16.22</v>
      </c>
      <c r="F73">
        <f t="shared" si="1"/>
        <v>16.22</v>
      </c>
      <c r="G73" t="str">
        <f>_xlfn.XLOOKUP(B73,products_2026!A:A,products_2026!B:B,,0,)</f>
        <v>Kids Paint Kit</v>
      </c>
      <c r="H73" t="str">
        <f>_xlfn.XLOOKUP(B73,products_2026!A:A,products_2026!E:E,,0,)</f>
        <v>SELL0055</v>
      </c>
      <c r="I73" t="str">
        <f>IFERROR(_xlfn.XLOOKUP(H73,sellers_2026!A:A,sellers_2026!G:G,,0,), "unknown/inactive")</f>
        <v>NSW</v>
      </c>
      <c r="J73" t="str">
        <f>_xlfn.XLOOKUP(H73,sellers_2026!A:A,sellers_2026!B:B,,0,)</f>
        <v>hill25doors</v>
      </c>
      <c r="L73" s="10" t="s">
        <v>278</v>
      </c>
      <c r="M73">
        <v>225</v>
      </c>
      <c r="O73" s="10" t="s">
        <v>379</v>
      </c>
      <c r="P73">
        <v>5</v>
      </c>
      <c r="R73" s="10" t="s">
        <v>1080</v>
      </c>
      <c r="S73">
        <v>419.94</v>
      </c>
      <c r="U73" s="10" t="s">
        <v>1068</v>
      </c>
      <c r="V73">
        <v>10</v>
      </c>
    </row>
    <row r="74" spans="1:22" ht="14.25" customHeight="1" x14ac:dyDescent="0.3">
      <c r="A74" s="2" t="s">
        <v>2681</v>
      </c>
      <c r="B74" s="2" t="s">
        <v>734</v>
      </c>
      <c r="C74" s="2">
        <v>2</v>
      </c>
      <c r="D74" t="str">
        <f>_xlfn.XLOOKUP(order_items!B74,products_2026!A:A,products_2026!C:C,,0,)</f>
        <v>Gift_Sets</v>
      </c>
      <c r="E74">
        <f>_xlfn.XLOOKUP(B74,products_2026!A:A,products_2026!D:D,,0,)</f>
        <v>24.26</v>
      </c>
      <c r="F74">
        <f t="shared" si="1"/>
        <v>48.52</v>
      </c>
      <c r="G74" t="str">
        <f>_xlfn.XLOOKUP(B74,products_2026!A:A,products_2026!B:B,,0,)</f>
        <v>Fruity Mango Bath Gel Gift Set</v>
      </c>
      <c r="H74" t="str">
        <f>_xlfn.XLOOKUP(B74,products_2026!A:A,products_2026!E:E,,0,)</f>
        <v>SELL0088</v>
      </c>
      <c r="I74" t="str">
        <f>IFERROR(_xlfn.XLOOKUP(H74,sellers_2026!A:A,sellers_2026!G:G,,0,), "unknown/inactive")</f>
        <v>TAS</v>
      </c>
      <c r="J74" t="str">
        <f>_xlfn.XLOOKUP(H74,sellers_2026!A:A,sellers_2026!B:B,,0,)</f>
        <v>7ti9lfa6h5</v>
      </c>
      <c r="L74" s="10" t="s">
        <v>513</v>
      </c>
      <c r="M74">
        <v>223.17000000000002</v>
      </c>
      <c r="O74" s="10" t="s">
        <v>186</v>
      </c>
      <c r="P74">
        <v>5</v>
      </c>
      <c r="R74" s="10" t="s">
        <v>1069</v>
      </c>
      <c r="S74">
        <v>402.48000000000008</v>
      </c>
      <c r="U74" s="10" t="s">
        <v>1018</v>
      </c>
      <c r="V74">
        <v>9</v>
      </c>
    </row>
    <row r="75" spans="1:22" ht="14.25" customHeight="1" x14ac:dyDescent="0.3">
      <c r="A75" s="2" t="s">
        <v>2682</v>
      </c>
      <c r="B75" s="2" t="s">
        <v>970</v>
      </c>
      <c r="C75" s="2">
        <v>1</v>
      </c>
      <c r="D75" t="str">
        <f>_xlfn.XLOOKUP(order_items!B75,products_2026!A:A,products_2026!C:C,,0,)</f>
        <v>Stationery</v>
      </c>
      <c r="E75">
        <f>_xlfn.XLOOKUP(B75,products_2026!A:A,products_2026!D:D,,0,)</f>
        <v>5.1100000000000003</v>
      </c>
      <c r="F75">
        <f t="shared" si="1"/>
        <v>5.1100000000000003</v>
      </c>
      <c r="G75" t="str">
        <f>_xlfn.XLOOKUP(B75,products_2026!A:A,products_2026!B:B,,0,)</f>
        <v>Sticky Notes Cube 200pc</v>
      </c>
      <c r="H75" t="str">
        <f>_xlfn.XLOOKUP(B75,products_2026!A:A,products_2026!E:E,,0,)</f>
        <v>SELL0094</v>
      </c>
      <c r="I75" t="str">
        <f>IFERROR(_xlfn.XLOOKUP(H75,sellers_2026!A:A,sellers_2026!G:G,,0,), "unknown/inactive")</f>
        <v>WA</v>
      </c>
      <c r="J75" t="str">
        <f>_xlfn.XLOOKUP(H75,sellers_2026!A:A,sellers_2026!B:B,,0,)</f>
        <v>excelinall</v>
      </c>
      <c r="L75" s="10" t="s">
        <v>676</v>
      </c>
      <c r="M75">
        <v>221.8</v>
      </c>
      <c r="O75" s="10" t="s">
        <v>959</v>
      </c>
      <c r="P75">
        <v>5</v>
      </c>
      <c r="R75" s="10" t="s">
        <v>1073</v>
      </c>
      <c r="S75">
        <v>376.19</v>
      </c>
      <c r="U75" s="10" t="s">
        <v>1059</v>
      </c>
      <c r="V75">
        <v>9</v>
      </c>
    </row>
    <row r="76" spans="1:22" ht="14.25" customHeight="1" x14ac:dyDescent="0.3">
      <c r="A76" s="2" t="s">
        <v>2683</v>
      </c>
      <c r="B76" s="2" t="s">
        <v>707</v>
      </c>
      <c r="C76" s="2">
        <v>2</v>
      </c>
      <c r="D76" t="str">
        <f>_xlfn.XLOOKUP(order_items!B76,products_2026!A:A,products_2026!C:C,,0,)</f>
        <v>Electronics</v>
      </c>
      <c r="E76">
        <f>_xlfn.XLOOKUP(B76,products_2026!A:A,products_2026!D:D,,0,)</f>
        <v>63.84</v>
      </c>
      <c r="F76">
        <f t="shared" si="1"/>
        <v>127.68</v>
      </c>
      <c r="G76" t="str">
        <f>_xlfn.XLOOKUP(B76,products_2026!A:A,products_2026!B:B,,0,)</f>
        <v>Noise Cancelling Headphones (Black)</v>
      </c>
      <c r="H76" t="str">
        <f>_xlfn.XLOOKUP(B76,products_2026!A:A,products_2026!E:E,,0,)</f>
        <v>SELL0088</v>
      </c>
      <c r="I76" t="str">
        <f>IFERROR(_xlfn.XLOOKUP(H76,sellers_2026!A:A,sellers_2026!G:G,,0,), "unknown/inactive")</f>
        <v>TAS</v>
      </c>
      <c r="J76" t="str">
        <f>_xlfn.XLOOKUP(H76,sellers_2026!A:A,sellers_2026!B:B,,0,)</f>
        <v>7ti9lfa6h5</v>
      </c>
      <c r="L76" s="10" t="s">
        <v>639</v>
      </c>
      <c r="M76">
        <v>220.65000000000003</v>
      </c>
      <c r="O76" s="10" t="s">
        <v>261</v>
      </c>
      <c r="P76">
        <v>5</v>
      </c>
      <c r="R76" s="10" t="s">
        <v>1022</v>
      </c>
      <c r="S76">
        <v>374.01</v>
      </c>
      <c r="U76" s="10" t="s">
        <v>1046</v>
      </c>
      <c r="V76">
        <v>9</v>
      </c>
    </row>
    <row r="77" spans="1:22" ht="14.25" customHeight="1" x14ac:dyDescent="0.3">
      <c r="A77" s="2" t="s">
        <v>2684</v>
      </c>
      <c r="B77" s="2" t="s">
        <v>612</v>
      </c>
      <c r="C77" s="2">
        <v>1</v>
      </c>
      <c r="D77" t="str">
        <f>_xlfn.XLOOKUP(order_items!B77,products_2026!A:A,products_2026!C:C,,0,)</f>
        <v>Home</v>
      </c>
      <c r="E77">
        <f>_xlfn.XLOOKUP(B77,products_2026!A:A,products_2026!D:D,,0,)</f>
        <v>119.3</v>
      </c>
      <c r="F77">
        <f t="shared" si="1"/>
        <v>119.3</v>
      </c>
      <c r="G77" t="str">
        <f>_xlfn.XLOOKUP(B77,products_2026!A:A,products_2026!B:B,,0,)</f>
        <v>Memory Foam Pillow Medium Firm x 2</v>
      </c>
      <c r="H77" t="str">
        <f>_xlfn.XLOOKUP(B77,products_2026!A:A,products_2026!E:E,,0,)</f>
        <v>SELL0078</v>
      </c>
      <c r="I77" t="str">
        <f>IFERROR(_xlfn.XLOOKUP(H77,sellers_2026!A:A,sellers_2026!G:G,,0,), "unknown/inactive")</f>
        <v>TAS</v>
      </c>
      <c r="J77" t="str">
        <f>_xlfn.XLOOKUP(H77,sellers_2026!A:A,sellers_2026!B:B,,0,)</f>
        <v>r6vd2aojq8</v>
      </c>
      <c r="L77" s="10" t="s">
        <v>55</v>
      </c>
      <c r="M77">
        <v>220.64999999999998</v>
      </c>
      <c r="O77" s="10" t="s">
        <v>727</v>
      </c>
      <c r="P77">
        <v>5</v>
      </c>
      <c r="R77" s="10" t="s">
        <v>1078</v>
      </c>
      <c r="S77">
        <v>354.77</v>
      </c>
      <c r="U77" s="10" t="s">
        <v>1049</v>
      </c>
      <c r="V77">
        <v>9</v>
      </c>
    </row>
    <row r="78" spans="1:22" ht="14.25" customHeight="1" x14ac:dyDescent="0.3">
      <c r="A78" s="2" t="s">
        <v>2684</v>
      </c>
      <c r="B78" s="2" t="s">
        <v>869</v>
      </c>
      <c r="C78" s="2">
        <v>1</v>
      </c>
      <c r="D78" t="str">
        <f>_xlfn.XLOOKUP(order_items!B78,products_2026!A:A,products_2026!C:C,,0,)</f>
        <v>Jewellery</v>
      </c>
      <c r="E78">
        <f>_xlfn.XLOOKUP(B78,products_2026!A:A,products_2026!D:D,,0,)</f>
        <v>37.76</v>
      </c>
      <c r="F78">
        <f t="shared" si="1"/>
        <v>37.76</v>
      </c>
      <c r="G78" t="str">
        <f>_xlfn.XLOOKUP(B78,products_2026!A:A,products_2026!B:B,,0,)</f>
        <v>Anklet - Silver Tone</v>
      </c>
      <c r="H78" t="str">
        <f>_xlfn.XLOOKUP(B78,products_2026!A:A,products_2026!E:E,,0,)</f>
        <v>SELL0092</v>
      </c>
      <c r="I78" t="str">
        <f>IFERROR(_xlfn.XLOOKUP(H78,sellers_2026!A:A,sellers_2026!G:G,,0,), "unknown/inactive")</f>
        <v>VIC</v>
      </c>
      <c r="J78" t="str">
        <f>_xlfn.XLOOKUP(H78,sellers_2026!A:A,sellers_2026!B:B,,0,)</f>
        <v>dress4beauty</v>
      </c>
      <c r="L78" s="10" t="s">
        <v>442</v>
      </c>
      <c r="M78">
        <v>220.02</v>
      </c>
      <c r="O78" s="10" t="s">
        <v>686</v>
      </c>
      <c r="P78">
        <v>5</v>
      </c>
      <c r="R78" s="10" t="s">
        <v>1077</v>
      </c>
      <c r="S78">
        <v>351.58000000000004</v>
      </c>
      <c r="U78" s="10" t="s">
        <v>1065</v>
      </c>
      <c r="V78">
        <v>8</v>
      </c>
    </row>
    <row r="79" spans="1:22" ht="14.25" customHeight="1" x14ac:dyDescent="0.3">
      <c r="A79" s="2" t="s">
        <v>2685</v>
      </c>
      <c r="B79" s="2" t="s">
        <v>249</v>
      </c>
      <c r="C79" s="2">
        <v>1</v>
      </c>
      <c r="D79" t="str">
        <f>_xlfn.XLOOKUP(order_items!B79,products_2026!A:A,products_2026!C:C,,0,)</f>
        <v>Toys</v>
      </c>
      <c r="E79">
        <f>_xlfn.XLOOKUP(B79,products_2026!A:A,products_2026!D:D,,0,)</f>
        <v>17.66</v>
      </c>
      <c r="F79">
        <f t="shared" si="1"/>
        <v>17.66</v>
      </c>
      <c r="G79" t="str">
        <f>_xlfn.XLOOKUP(B79,products_2026!A:A,products_2026!B:B,,0,)</f>
        <v>Glittertube Makeup Set Kids</v>
      </c>
      <c r="H79" t="str">
        <f>_xlfn.XLOOKUP(B79,products_2026!A:A,products_2026!E:E,,0,)</f>
        <v>SELL0041</v>
      </c>
      <c r="I79" t="str">
        <f>IFERROR(_xlfn.XLOOKUP(H79,sellers_2026!A:A,sellers_2026!G:G,,0,), "unknown/inactive")</f>
        <v>NT</v>
      </c>
      <c r="J79" t="str">
        <f>_xlfn.XLOOKUP(H79,sellers_2026!A:A,sellers_2026!B:B,,0,)</f>
        <v>wcs62ctlxh</v>
      </c>
      <c r="L79" s="10" t="s">
        <v>711</v>
      </c>
      <c r="M79">
        <v>219.42000000000002</v>
      </c>
      <c r="O79" s="10" t="s">
        <v>215</v>
      </c>
      <c r="P79">
        <v>5</v>
      </c>
      <c r="R79" s="10" t="s">
        <v>1004</v>
      </c>
      <c r="S79">
        <v>339.42</v>
      </c>
      <c r="U79" s="10" t="s">
        <v>1075</v>
      </c>
      <c r="V79">
        <v>8</v>
      </c>
    </row>
    <row r="80" spans="1:22" ht="14.25" customHeight="1" x14ac:dyDescent="0.3">
      <c r="A80" s="2" t="s">
        <v>2685</v>
      </c>
      <c r="B80" s="2" t="s">
        <v>764</v>
      </c>
      <c r="C80" s="2">
        <v>1</v>
      </c>
      <c r="D80" t="str">
        <f>_xlfn.XLOOKUP(order_items!B80,products_2026!A:A,products_2026!C:C,,0,)</f>
        <v>Health</v>
      </c>
      <c r="E80">
        <f>_xlfn.XLOOKUP(B80,products_2026!A:A,products_2026!D:D,,0,)</f>
        <v>60.86</v>
      </c>
      <c r="F80">
        <f t="shared" si="1"/>
        <v>60.86</v>
      </c>
      <c r="G80" t="str">
        <f>_xlfn.XLOOKUP(B80,products_2026!A:A,products_2026!B:B,,0,)</f>
        <v>Adjustable Dumbbell 12kg</v>
      </c>
      <c r="H80" t="str">
        <f>_xlfn.XLOOKUP(B80,products_2026!A:A,products_2026!E:E,,0,)</f>
        <v>SELL0051</v>
      </c>
      <c r="I80" t="str">
        <f>IFERROR(_xlfn.XLOOKUP(H80,sellers_2026!A:A,sellers_2026!G:G,,0,), "unknown/inactive")</f>
        <v>NT</v>
      </c>
      <c r="J80" t="str">
        <f>_xlfn.XLOOKUP(H80,sellers_2026!A:A,sellers_2026!B:B,,0,)</f>
        <v>healthway</v>
      </c>
      <c r="L80" s="10" t="s">
        <v>165</v>
      </c>
      <c r="M80">
        <v>219.08</v>
      </c>
      <c r="O80" s="10" t="s">
        <v>639</v>
      </c>
      <c r="P80">
        <v>5</v>
      </c>
      <c r="R80" s="10" t="s">
        <v>1024</v>
      </c>
      <c r="S80">
        <v>334.18999999999994</v>
      </c>
      <c r="U80" s="10" t="s">
        <v>1030</v>
      </c>
      <c r="V80">
        <v>8</v>
      </c>
    </row>
    <row r="81" spans="1:22" ht="14.25" customHeight="1" x14ac:dyDescent="0.3">
      <c r="A81" s="2" t="s">
        <v>2685</v>
      </c>
      <c r="B81" s="2" t="s">
        <v>991</v>
      </c>
      <c r="C81" s="2">
        <v>2</v>
      </c>
      <c r="D81" t="str">
        <f>_xlfn.XLOOKUP(order_items!B81,products_2026!A:A,products_2026!C:C,,0,)</f>
        <v>Toys</v>
      </c>
      <c r="E81">
        <f>_xlfn.XLOOKUP(B81,products_2026!A:A,products_2026!D:D,,0,)</f>
        <v>21.04</v>
      </c>
      <c r="F81">
        <f t="shared" si="1"/>
        <v>42.08</v>
      </c>
      <c r="G81" t="str">
        <f>_xlfn.XLOOKUP(B81,products_2026!A:A,products_2026!B:B,,0,)</f>
        <v>Talking doll happy smile matching outfit</v>
      </c>
      <c r="H81" t="str">
        <f>_xlfn.XLOOKUP(B81,products_2026!A:A,products_2026!E:E,,0,)</f>
        <v>SELL0095</v>
      </c>
      <c r="I81" t="str">
        <f>IFERROR(_xlfn.XLOOKUP(H81,sellers_2026!A:A,sellers_2026!G:G,,0,), "unknown/inactive")</f>
        <v>TAS</v>
      </c>
      <c r="J81" t="str">
        <f>_xlfn.XLOOKUP(H81,sellers_2026!A:A,sellers_2026!B:B,,0,)</f>
        <v>toybuy</v>
      </c>
      <c r="L81" s="10" t="s">
        <v>835</v>
      </c>
      <c r="M81">
        <v>208.78</v>
      </c>
      <c r="O81" s="10" t="s">
        <v>918</v>
      </c>
      <c r="P81">
        <v>4</v>
      </c>
      <c r="R81" s="10" t="s">
        <v>1084</v>
      </c>
      <c r="S81">
        <v>330.59999999999997</v>
      </c>
      <c r="U81" s="10" t="s">
        <v>1062</v>
      </c>
      <c r="V81">
        <v>8</v>
      </c>
    </row>
    <row r="82" spans="1:22" ht="14.25" customHeight="1" x14ac:dyDescent="0.3">
      <c r="A82" s="2" t="s">
        <v>2686</v>
      </c>
      <c r="B82" s="2" t="s">
        <v>590</v>
      </c>
      <c r="C82" s="2">
        <v>1</v>
      </c>
      <c r="D82" t="str">
        <f>_xlfn.XLOOKUP(order_items!B82,products_2026!A:A,products_2026!C:C,,0,)</f>
        <v>Gift_Sets</v>
      </c>
      <c r="E82">
        <f>_xlfn.XLOOKUP(B82,products_2026!A:A,products_2026!D:D,,0,)</f>
        <v>19.09</v>
      </c>
      <c r="F82">
        <f t="shared" si="1"/>
        <v>19.09</v>
      </c>
      <c r="G82" t="str">
        <f>_xlfn.XLOOKUP(B82,products_2026!A:A,products_2026!B:B,,0,)</f>
        <v>Milk Chocolate Selection Box</v>
      </c>
      <c r="H82" t="str">
        <f>_xlfn.XLOOKUP(B82,products_2026!A:A,products_2026!E:E,,0,)</f>
        <v>SELL0081</v>
      </c>
      <c r="I82" t="str">
        <f>IFERROR(_xlfn.XLOOKUP(H82,sellers_2026!A:A,sellers_2026!G:G,,0,), "unknown/inactive")</f>
        <v>QLD</v>
      </c>
      <c r="J82" t="str">
        <f>_xlfn.XLOOKUP(H82,sellers_2026!A:A,sellers_2026!B:B,,0,)</f>
        <v>brizzy_bonanza_48</v>
      </c>
      <c r="L82" s="10" t="s">
        <v>261</v>
      </c>
      <c r="M82">
        <v>208.64999999999998</v>
      </c>
      <c r="O82" s="10" t="s">
        <v>992</v>
      </c>
      <c r="P82">
        <v>4</v>
      </c>
      <c r="R82" s="10" t="s">
        <v>1056</v>
      </c>
      <c r="S82">
        <v>314.27</v>
      </c>
      <c r="U82" s="10" t="s">
        <v>1028</v>
      </c>
      <c r="V82">
        <v>8</v>
      </c>
    </row>
    <row r="83" spans="1:22" ht="14.25" customHeight="1" x14ac:dyDescent="0.3">
      <c r="A83" s="2" t="s">
        <v>2687</v>
      </c>
      <c r="B83" s="2" t="s">
        <v>351</v>
      </c>
      <c r="C83" s="2">
        <v>1</v>
      </c>
      <c r="D83" t="str">
        <f>_xlfn.XLOOKUP(order_items!B83,products_2026!A:A,products_2026!C:C,,0,)</f>
        <v>Outdoor</v>
      </c>
      <c r="E83">
        <f>_xlfn.XLOOKUP(B83,products_2026!A:A,products_2026!D:D,,0,)</f>
        <v>88.21</v>
      </c>
      <c r="F83">
        <f t="shared" si="1"/>
        <v>88.21</v>
      </c>
      <c r="G83" t="str">
        <f>_xlfn.XLOOKUP(B83,products_2026!A:A,products_2026!B:B,,0,)</f>
        <v>Portable Mini Grill Gas Fire</v>
      </c>
      <c r="H83" t="str">
        <f>_xlfn.XLOOKUP(B83,products_2026!A:A,products_2026!E:E,,0,)</f>
        <v>SELL0053</v>
      </c>
      <c r="I83" t="str">
        <f>IFERROR(_xlfn.XLOOKUP(H83,sellers_2026!A:A,sellers_2026!G:G,,0,), "unknown/inactive")</f>
        <v>ACT</v>
      </c>
      <c r="J83" t="str">
        <f>_xlfn.XLOOKUP(H83,sellers_2026!A:A,sellers_2026!B:B,,0,)</f>
        <v>homedeliver</v>
      </c>
      <c r="L83" s="10" t="s">
        <v>808</v>
      </c>
      <c r="M83">
        <v>204.66</v>
      </c>
      <c r="O83" s="10" t="s">
        <v>553</v>
      </c>
      <c r="P83">
        <v>4</v>
      </c>
      <c r="R83" s="10" t="s">
        <v>1046</v>
      </c>
      <c r="S83">
        <v>299.65999999999997</v>
      </c>
      <c r="U83" s="10" t="s">
        <v>1020</v>
      </c>
      <c r="V83">
        <v>8</v>
      </c>
    </row>
    <row r="84" spans="1:22" ht="14.25" customHeight="1" x14ac:dyDescent="0.3">
      <c r="A84" s="2" t="s">
        <v>2688</v>
      </c>
      <c r="B84" s="2" t="s">
        <v>306</v>
      </c>
      <c r="C84" s="2">
        <v>1</v>
      </c>
      <c r="D84" t="str">
        <f>_xlfn.XLOOKUP(order_items!B84,products_2026!A:A,products_2026!C:C,,0,)</f>
        <v>Gift_Sets</v>
      </c>
      <c r="E84">
        <f>_xlfn.XLOOKUP(B84,products_2026!A:A,products_2026!D:D,,0,)</f>
        <v>37.340000000000003</v>
      </c>
      <c r="F84">
        <f t="shared" si="1"/>
        <v>37.340000000000003</v>
      </c>
      <c r="G84" t="str">
        <f>_xlfn.XLOOKUP(B84,products_2026!A:A,products_2026!B:B,,0,)</f>
        <v>Spa Pamper Gift Set For Him</v>
      </c>
      <c r="H84" t="str">
        <f>_xlfn.XLOOKUP(B84,products_2026!A:A,products_2026!E:E,,0,)</f>
        <v>SELL0046</v>
      </c>
      <c r="I84" t="str">
        <f>IFERROR(_xlfn.XLOOKUP(H84,sellers_2026!A:A,sellers_2026!G:G,,0,), "unknown/inactive")</f>
        <v>TAS</v>
      </c>
      <c r="J84" t="str">
        <f>_xlfn.XLOOKUP(H84,sellers_2026!A:A,sellers_2026!B:B,,0,)</f>
        <v>find_what_u_need</v>
      </c>
      <c r="L84" s="10" t="s">
        <v>234</v>
      </c>
      <c r="M84">
        <v>204.14999999999998</v>
      </c>
      <c r="O84" s="10" t="s">
        <v>533</v>
      </c>
      <c r="P84">
        <v>4</v>
      </c>
      <c r="R84" s="10" t="s">
        <v>1058</v>
      </c>
      <c r="S84">
        <v>278.70000000000005</v>
      </c>
      <c r="U84" s="10" t="s">
        <v>1017</v>
      </c>
      <c r="V84">
        <v>7</v>
      </c>
    </row>
    <row r="85" spans="1:22" ht="14.25" customHeight="1" x14ac:dyDescent="0.3">
      <c r="A85" s="2" t="s">
        <v>2688</v>
      </c>
      <c r="B85" s="2" t="s">
        <v>679</v>
      </c>
      <c r="C85" s="2">
        <v>1</v>
      </c>
      <c r="D85" t="str">
        <f>_xlfn.XLOOKUP(order_items!B85,products_2026!A:A,products_2026!C:C,,0,)</f>
        <v>Electronics</v>
      </c>
      <c r="E85">
        <f>_xlfn.XLOOKUP(B85,products_2026!A:A,products_2026!D:D,,0,)</f>
        <v>49.85</v>
      </c>
      <c r="F85">
        <f t="shared" si="1"/>
        <v>49.85</v>
      </c>
      <c r="G85" t="str">
        <f>_xlfn.XLOOKUP(B85,products_2026!A:A,products_2026!B:B,,0,)</f>
        <v>HD Webcam 1080p USB Desktop</v>
      </c>
      <c r="H85" t="str">
        <f>_xlfn.XLOOKUP(B85,products_2026!A:A,products_2026!E:E,,0,)</f>
        <v>SELL0024</v>
      </c>
      <c r="I85" t="str">
        <f>IFERROR(_xlfn.XLOOKUP(H85,sellers_2026!A:A,sellers_2026!G:G,,0,), "unknown/inactive")</f>
        <v>VIC</v>
      </c>
      <c r="J85" t="str">
        <f>_xlfn.XLOOKUP(H85,sellers_2026!A:A,sellers_2026!B:B,,0,)</f>
        <v>ELEC25B</v>
      </c>
      <c r="L85" s="10" t="s">
        <v>463</v>
      </c>
      <c r="M85">
        <v>203.75</v>
      </c>
      <c r="O85" s="10" t="s">
        <v>729</v>
      </c>
      <c r="P85">
        <v>4</v>
      </c>
      <c r="R85" s="10" t="s">
        <v>1013</v>
      </c>
      <c r="S85">
        <v>275.93</v>
      </c>
      <c r="U85" s="10" t="s">
        <v>1082</v>
      </c>
      <c r="V85">
        <v>7</v>
      </c>
    </row>
    <row r="86" spans="1:22" ht="14.25" customHeight="1" x14ac:dyDescent="0.3">
      <c r="A86" s="2" t="s">
        <v>2689</v>
      </c>
      <c r="B86" s="2" t="s">
        <v>313</v>
      </c>
      <c r="C86" s="2">
        <v>1</v>
      </c>
      <c r="D86" t="str">
        <f>_xlfn.XLOOKUP(order_items!B86,products_2026!A:A,products_2026!C:C,,0,)</f>
        <v>Toys</v>
      </c>
      <c r="E86">
        <f>_xlfn.XLOOKUP(B86,products_2026!A:A,products_2026!D:D,,0,)</f>
        <v>37.72</v>
      </c>
      <c r="F86">
        <f t="shared" si="1"/>
        <v>37.72</v>
      </c>
      <c r="G86" t="str">
        <f>_xlfn.XLOOKUP(B86,products_2026!A:A,products_2026!B:B,,0,)</f>
        <v>Koala Stuffed Toy</v>
      </c>
      <c r="H86" t="str">
        <f>_xlfn.XLOOKUP(B86,products_2026!A:A,products_2026!E:E,,0,)</f>
        <v>SELL0047</v>
      </c>
      <c r="I86" t="str">
        <f>IFERROR(_xlfn.XLOOKUP(H86,sellers_2026!A:A,sellers_2026!G:G,,0,), "unknown/inactive")</f>
        <v>NT</v>
      </c>
      <c r="J86" t="str">
        <f>_xlfn.XLOOKUP(H86,sellers_2026!A:A,sellers_2026!B:B,,0,)</f>
        <v>toymajoy</v>
      </c>
      <c r="L86" s="10" t="s">
        <v>904</v>
      </c>
      <c r="M86">
        <v>201.99</v>
      </c>
      <c r="O86" s="10" t="s">
        <v>520</v>
      </c>
      <c r="P86">
        <v>4</v>
      </c>
      <c r="R86" s="10" t="s">
        <v>1083</v>
      </c>
      <c r="S86">
        <v>259.11999999999995</v>
      </c>
      <c r="U86" s="10" t="s">
        <v>1035</v>
      </c>
      <c r="V86">
        <v>7</v>
      </c>
    </row>
    <row r="87" spans="1:22" ht="14.25" customHeight="1" x14ac:dyDescent="0.3">
      <c r="A87" s="2" t="s">
        <v>2690</v>
      </c>
      <c r="B87" s="2" t="s">
        <v>772</v>
      </c>
      <c r="C87" s="2">
        <v>1</v>
      </c>
      <c r="D87" t="str">
        <f>_xlfn.XLOOKUP(order_items!B87,products_2026!A:A,products_2026!C:C,,0,)</f>
        <v>Health</v>
      </c>
      <c r="E87">
        <f>_xlfn.XLOOKUP(B87,products_2026!A:A,products_2026!D:D,,0,)</f>
        <v>32.93</v>
      </c>
      <c r="F87">
        <f t="shared" si="1"/>
        <v>32.93</v>
      </c>
      <c r="G87" t="str">
        <f>_xlfn.XLOOKUP(B87,products_2026!A:A,products_2026!B:B,,0,)</f>
        <v>Protein Shaker Bottle 500ml</v>
      </c>
      <c r="H87" t="str">
        <f>_xlfn.XLOOKUP(B87,products_2026!A:A,products_2026!E:E,,0,)</f>
        <v>SELL0051</v>
      </c>
      <c r="I87" t="str">
        <f>IFERROR(_xlfn.XLOOKUP(H87,sellers_2026!A:A,sellers_2026!G:G,,0,), "unknown/inactive")</f>
        <v>NT</v>
      </c>
      <c r="J87" t="str">
        <f>_xlfn.XLOOKUP(H87,sellers_2026!A:A,sellers_2026!B:B,,0,)</f>
        <v>healthway</v>
      </c>
      <c r="L87" s="10" t="s">
        <v>890</v>
      </c>
      <c r="M87">
        <v>201.39999999999992</v>
      </c>
      <c r="O87" s="10" t="s">
        <v>263</v>
      </c>
      <c r="P87">
        <v>4</v>
      </c>
      <c r="R87" s="10" t="s">
        <v>1050</v>
      </c>
      <c r="S87">
        <v>238.21</v>
      </c>
      <c r="U87" s="10" t="s">
        <v>1078</v>
      </c>
      <c r="V87">
        <v>7</v>
      </c>
    </row>
    <row r="88" spans="1:22" ht="14.25" customHeight="1" x14ac:dyDescent="0.3">
      <c r="A88" s="2" t="s">
        <v>2690</v>
      </c>
      <c r="B88" s="2" t="s">
        <v>911</v>
      </c>
      <c r="C88" s="2">
        <v>1</v>
      </c>
      <c r="D88" t="str">
        <f>_xlfn.XLOOKUP(order_items!B88,products_2026!A:A,products_2026!C:C,,0,)</f>
        <v>Toys</v>
      </c>
      <c r="E88">
        <f>_xlfn.XLOOKUP(B88,products_2026!A:A,products_2026!D:D,,0,)</f>
        <v>28.3</v>
      </c>
      <c r="F88">
        <f t="shared" si="1"/>
        <v>28.3</v>
      </c>
      <c r="G88" t="str">
        <f>_xlfn.XLOOKUP(B88,products_2026!A:A,products_2026!B:B,,0,)</f>
        <v>Building Blocks 100 pcs</v>
      </c>
      <c r="H88" t="str">
        <f>_xlfn.XLOOKUP(B88,products_2026!A:A,products_2026!E:E,,0,)</f>
        <v>SELL0047</v>
      </c>
      <c r="I88" t="str">
        <f>IFERROR(_xlfn.XLOOKUP(H88,sellers_2026!A:A,sellers_2026!G:G,,0,), "unknown/inactive")</f>
        <v>NT</v>
      </c>
      <c r="J88" t="str">
        <f>_xlfn.XLOOKUP(H88,sellers_2026!A:A,sellers_2026!B:B,,0,)</f>
        <v>toymajoy</v>
      </c>
      <c r="L88" s="10" t="s">
        <v>20</v>
      </c>
      <c r="M88">
        <v>200.64</v>
      </c>
      <c r="O88" s="10" t="s">
        <v>932</v>
      </c>
      <c r="P88">
        <v>4</v>
      </c>
      <c r="R88" s="10" t="s">
        <v>1043</v>
      </c>
      <c r="S88">
        <v>236.35999999999999</v>
      </c>
      <c r="U88" s="10" t="s">
        <v>1067</v>
      </c>
      <c r="V88">
        <v>6</v>
      </c>
    </row>
    <row r="89" spans="1:22" ht="14.25" customHeight="1" x14ac:dyDescent="0.3">
      <c r="A89" s="2" t="s">
        <v>2691</v>
      </c>
      <c r="B89" s="2" t="s">
        <v>468</v>
      </c>
      <c r="C89" s="2">
        <v>1</v>
      </c>
      <c r="D89" t="str">
        <f>_xlfn.XLOOKUP(order_items!B89,products_2026!A:A,products_2026!C:C,,0,)</f>
        <v>Clothes</v>
      </c>
      <c r="E89">
        <f>_xlfn.XLOOKUP(B89,products_2026!A:A,products_2026!D:D,,0,)</f>
        <v>32.42</v>
      </c>
      <c r="F89">
        <f t="shared" si="1"/>
        <v>32.42</v>
      </c>
      <c r="G89" t="str">
        <f>_xlfn.XLOOKUP(B89,products_2026!A:A,products_2026!B:B,,0,)</f>
        <v>Rain Jacket - Lightweight</v>
      </c>
      <c r="H89" t="str">
        <f>_xlfn.XLOOKUP(B89,products_2026!A:A,products_2026!E:E,,0,)</f>
        <v>SELL0067</v>
      </c>
      <c r="I89" t="str">
        <f>IFERROR(_xlfn.XLOOKUP(H89,sellers_2026!A:A,sellers_2026!G:G,,0,), "unknown/inactive")</f>
        <v>WA</v>
      </c>
      <c r="J89" t="str">
        <f>_xlfn.XLOOKUP(H89,sellers_2026!A:A,sellers_2026!B:B,,0,)</f>
        <v>w71bv3mee1</v>
      </c>
      <c r="L89" s="10" t="s">
        <v>252</v>
      </c>
      <c r="M89">
        <v>199.95</v>
      </c>
      <c r="O89" s="10" t="s">
        <v>928</v>
      </c>
      <c r="P89">
        <v>4</v>
      </c>
      <c r="R89" s="10" t="s">
        <v>1062</v>
      </c>
      <c r="S89">
        <v>228.01999999999998</v>
      </c>
      <c r="U89" s="10" t="s">
        <v>1043</v>
      </c>
      <c r="V89">
        <v>6</v>
      </c>
    </row>
    <row r="90" spans="1:22" ht="14.25" customHeight="1" x14ac:dyDescent="0.3">
      <c r="A90" s="2" t="s">
        <v>2691</v>
      </c>
      <c r="B90" s="2" t="s">
        <v>501</v>
      </c>
      <c r="C90" s="2">
        <v>2</v>
      </c>
      <c r="D90" t="str">
        <f>_xlfn.XLOOKUP(order_items!B90,products_2026!A:A,products_2026!C:C,,0,)</f>
        <v>Outdoor</v>
      </c>
      <c r="E90">
        <f>_xlfn.XLOOKUP(B90,products_2026!A:A,products_2026!D:D,,0,)</f>
        <v>32.67</v>
      </c>
      <c r="F90">
        <f t="shared" si="1"/>
        <v>65.34</v>
      </c>
      <c r="G90" t="str">
        <f>_xlfn.XLOOKUP(B90,products_2026!A:A,products_2026!B:B,,0,)</f>
        <v>Snorkel Set - Adult Small</v>
      </c>
      <c r="H90" t="str">
        <f>_xlfn.XLOOKUP(B90,products_2026!A:A,products_2026!E:E,,0,)</f>
        <v>SELL0070</v>
      </c>
      <c r="I90" t="str">
        <f>IFERROR(_xlfn.XLOOKUP(H90,sellers_2026!A:A,sellers_2026!G:G,,0,), "unknown/inactive")</f>
        <v>QLD</v>
      </c>
      <c r="J90" t="str">
        <f>_xlfn.XLOOKUP(H90,sellers_2026!A:A,sellers_2026!B:B,,0,)</f>
        <v>homeandaways</v>
      </c>
      <c r="L90" s="10" t="s">
        <v>130</v>
      </c>
      <c r="M90">
        <v>192.69</v>
      </c>
      <c r="O90" s="10" t="s">
        <v>850</v>
      </c>
      <c r="P90">
        <v>4</v>
      </c>
      <c r="R90" s="10" t="s">
        <v>1070</v>
      </c>
      <c r="S90">
        <v>220.64999999999998</v>
      </c>
      <c r="U90" s="10" t="s">
        <v>1050</v>
      </c>
      <c r="V90">
        <v>6</v>
      </c>
    </row>
    <row r="91" spans="1:22" ht="14.25" customHeight="1" x14ac:dyDescent="0.3">
      <c r="A91" s="2" t="s">
        <v>2692</v>
      </c>
      <c r="B91" s="2" t="s">
        <v>277</v>
      </c>
      <c r="C91" s="2">
        <v>1</v>
      </c>
      <c r="D91" t="str">
        <f>_xlfn.XLOOKUP(order_items!B91,products_2026!A:A,products_2026!C:C,,0,)</f>
        <v>Electronics</v>
      </c>
      <c r="E91">
        <f>_xlfn.XLOOKUP(B91,products_2026!A:A,products_2026!D:D,,0,)</f>
        <v>112.5</v>
      </c>
      <c r="F91">
        <f t="shared" si="1"/>
        <v>112.5</v>
      </c>
      <c r="G91" t="str">
        <f>_xlfn.XLOOKUP(B91,products_2026!A:A,products_2026!B:B,,0,)</f>
        <v>Wireless Bluetooth Earbuds Noise Cancel</v>
      </c>
      <c r="H91" t="str">
        <f>_xlfn.XLOOKUP(B91,products_2026!A:A,products_2026!E:E,,0,)</f>
        <v>SELL0024</v>
      </c>
      <c r="I91" t="str">
        <f>IFERROR(_xlfn.XLOOKUP(H91,sellers_2026!A:A,sellers_2026!G:G,,0,), "unknown/inactive")</f>
        <v>VIC</v>
      </c>
      <c r="J91" t="str">
        <f>_xlfn.XLOOKUP(H91,sellers_2026!A:A,sellers_2026!B:B,,0,)</f>
        <v>ELEC25B</v>
      </c>
      <c r="L91" s="10" t="s">
        <v>52</v>
      </c>
      <c r="M91">
        <v>192.24</v>
      </c>
      <c r="O91" s="10" t="s">
        <v>43</v>
      </c>
      <c r="P91">
        <v>4</v>
      </c>
      <c r="R91" s="10" t="s">
        <v>1030</v>
      </c>
      <c r="S91">
        <v>201.10000000000002</v>
      </c>
      <c r="U91" s="10" t="s">
        <v>1023</v>
      </c>
      <c r="V91">
        <v>6</v>
      </c>
    </row>
    <row r="92" spans="1:22" ht="14.25" customHeight="1" x14ac:dyDescent="0.3">
      <c r="A92" s="2" t="s">
        <v>2692</v>
      </c>
      <c r="B92" s="2" t="s">
        <v>503</v>
      </c>
      <c r="C92" s="2">
        <v>1</v>
      </c>
      <c r="D92" t="str">
        <f>_xlfn.XLOOKUP(order_items!B92,products_2026!A:A,products_2026!C:C,,0,)</f>
        <v>Home</v>
      </c>
      <c r="E92">
        <f>_xlfn.XLOOKUP(B92,products_2026!A:A,products_2026!D:D,,0,)</f>
        <v>19.989999999999998</v>
      </c>
      <c r="F92">
        <f t="shared" si="1"/>
        <v>19.989999999999998</v>
      </c>
      <c r="G92" t="str">
        <f>_xlfn.XLOOKUP(B92,products_2026!A:A,products_2026!B:B,,0,)</f>
        <v>Drawer Organiser 5 sections</v>
      </c>
      <c r="H92" t="str">
        <f>_xlfn.XLOOKUP(B92,products_2026!A:A,products_2026!E:E,,0,)</f>
        <v>SELL0070</v>
      </c>
      <c r="I92" t="str">
        <f>IFERROR(_xlfn.XLOOKUP(H92,sellers_2026!A:A,sellers_2026!G:G,,0,), "unknown/inactive")</f>
        <v>QLD</v>
      </c>
      <c r="J92" t="str">
        <f>_xlfn.XLOOKUP(H92,sellers_2026!A:A,sellers_2026!B:B,,0,)</f>
        <v>homeandaways</v>
      </c>
      <c r="L92" s="10" t="s">
        <v>696</v>
      </c>
      <c r="M92">
        <v>191.52</v>
      </c>
      <c r="O92" s="10" t="s">
        <v>599</v>
      </c>
      <c r="P92">
        <v>4</v>
      </c>
      <c r="R92" s="10" t="s">
        <v>1044</v>
      </c>
      <c r="S92">
        <v>192.24</v>
      </c>
      <c r="U92" s="10" t="s">
        <v>1053</v>
      </c>
      <c r="V92">
        <v>6</v>
      </c>
    </row>
    <row r="93" spans="1:22" ht="14.25" customHeight="1" x14ac:dyDescent="0.3">
      <c r="A93" s="2" t="s">
        <v>2693</v>
      </c>
      <c r="B93" s="2" t="s">
        <v>37</v>
      </c>
      <c r="C93" s="2">
        <v>1</v>
      </c>
      <c r="D93" t="str">
        <f>_xlfn.XLOOKUP(order_items!B93,products_2026!A:A,products_2026!C:C,,0,)</f>
        <v>Clothes</v>
      </c>
      <c r="E93">
        <f>_xlfn.XLOOKUP(B93,products_2026!A:A,products_2026!D:D,,0,)</f>
        <v>30.71</v>
      </c>
      <c r="F93">
        <f t="shared" si="1"/>
        <v>30.71</v>
      </c>
      <c r="G93" t="str">
        <f>_xlfn.XLOOKUP(B93,products_2026!A:A,products_2026!B:B,,0,)</f>
        <v>Summer Dress - Floral</v>
      </c>
      <c r="H93" t="str">
        <f>_xlfn.XLOOKUP(B93,products_2026!A:A,products_2026!E:E,,0,)</f>
        <v>SELL0008</v>
      </c>
      <c r="I93" t="str">
        <f>IFERROR(_xlfn.XLOOKUP(H93,sellers_2026!A:A,sellers_2026!G:G,,0,), "unknown/inactive")</f>
        <v>QLD</v>
      </c>
      <c r="J93" t="str">
        <f>_xlfn.XLOOKUP(H93,sellers_2026!A:A,sellers_2026!B:B,,0,)</f>
        <v>peterpiper</v>
      </c>
      <c r="L93" s="10" t="s">
        <v>641</v>
      </c>
      <c r="M93">
        <v>189.95</v>
      </c>
      <c r="O93" s="10" t="s">
        <v>699</v>
      </c>
      <c r="P93">
        <v>4</v>
      </c>
      <c r="R93" s="10" t="s">
        <v>1087</v>
      </c>
      <c r="S93">
        <v>186.64</v>
      </c>
      <c r="U93" s="10" t="s">
        <v>1058</v>
      </c>
      <c r="V93">
        <v>6</v>
      </c>
    </row>
    <row r="94" spans="1:22" ht="14.25" customHeight="1" x14ac:dyDescent="0.3">
      <c r="A94" s="2" t="s">
        <v>2693</v>
      </c>
      <c r="B94" s="2" t="s">
        <v>497</v>
      </c>
      <c r="C94" s="2">
        <v>1</v>
      </c>
      <c r="D94" t="str">
        <f>_xlfn.XLOOKUP(order_items!B94,products_2026!A:A,products_2026!C:C,,0,)</f>
        <v>Toys</v>
      </c>
      <c r="E94">
        <f>_xlfn.XLOOKUP(B94,products_2026!A:A,products_2026!D:D,,0,)</f>
        <v>32.44</v>
      </c>
      <c r="F94">
        <f t="shared" si="1"/>
        <v>32.44</v>
      </c>
      <c r="G94" t="str">
        <f>_xlfn.XLOOKUP(B94,products_2026!A:A,products_2026!B:B,,0,)</f>
        <v>Educational Puzzle - Zoo Animals</v>
      </c>
      <c r="H94" t="str">
        <f>_xlfn.XLOOKUP(B94,products_2026!A:A,products_2026!E:E,,0,)</f>
        <v>SELL0070</v>
      </c>
      <c r="I94" t="str">
        <f>IFERROR(_xlfn.XLOOKUP(H94,sellers_2026!A:A,sellers_2026!G:G,,0,), "unknown/inactive")</f>
        <v>QLD</v>
      </c>
      <c r="J94" t="str">
        <f>_xlfn.XLOOKUP(H94,sellers_2026!A:A,sellers_2026!B:B,,0,)</f>
        <v>homeandaways</v>
      </c>
      <c r="L94" s="10" t="s">
        <v>215</v>
      </c>
      <c r="M94">
        <v>189.20000000000002</v>
      </c>
      <c r="O94" s="10" t="s">
        <v>631</v>
      </c>
      <c r="P94">
        <v>4</v>
      </c>
      <c r="R94" s="10" t="s">
        <v>1049</v>
      </c>
      <c r="S94">
        <v>180.57999999999998</v>
      </c>
      <c r="U94" s="10" t="s">
        <v>1022</v>
      </c>
      <c r="V94">
        <v>6</v>
      </c>
    </row>
    <row r="95" spans="1:22" ht="14.25" customHeight="1" x14ac:dyDescent="0.3">
      <c r="A95" s="2" t="s">
        <v>2693</v>
      </c>
      <c r="B95" s="2" t="s">
        <v>691</v>
      </c>
      <c r="C95" s="2">
        <v>1</v>
      </c>
      <c r="D95" t="str">
        <f>_xlfn.XLOOKUP(order_items!B95,products_2026!A:A,products_2026!C:C,,0,)</f>
        <v>Electronics</v>
      </c>
      <c r="E95">
        <f>_xlfn.XLOOKUP(B95,products_2026!A:A,products_2026!D:D,,0,)</f>
        <v>115.55</v>
      </c>
      <c r="F95">
        <f t="shared" si="1"/>
        <v>115.55</v>
      </c>
      <c r="G95" t="str">
        <f>_xlfn.XLOOKUP(B95,products_2026!A:A,products_2026!B:B,,0,)</f>
        <v>Smart LED Light Bulb</v>
      </c>
      <c r="H95" t="str">
        <f>_xlfn.XLOOKUP(B95,products_2026!A:A,products_2026!E:E,,0,)</f>
        <v>SELL0087</v>
      </c>
      <c r="I95" t="str">
        <f>IFERROR(_xlfn.XLOOKUP(H95,sellers_2026!A:A,sellers_2026!G:G,,0,), "unknown/inactive")</f>
        <v>TAS</v>
      </c>
      <c r="J95" t="str">
        <f>_xlfn.XLOOKUP(H95,sellers_2026!A:A,sellers_2026!B:B,,0,)</f>
        <v>electrowave</v>
      </c>
      <c r="L95" s="10" t="s">
        <v>959</v>
      </c>
      <c r="M95">
        <v>188.16000000000003</v>
      </c>
      <c r="O95" s="10" t="s">
        <v>549</v>
      </c>
      <c r="P95">
        <v>4</v>
      </c>
      <c r="R95" s="10" t="s">
        <v>1048</v>
      </c>
      <c r="S95">
        <v>180.26000000000002</v>
      </c>
      <c r="U95" s="10" t="s">
        <v>1056</v>
      </c>
      <c r="V95">
        <v>5</v>
      </c>
    </row>
    <row r="96" spans="1:22" ht="14.25" customHeight="1" x14ac:dyDescent="0.3">
      <c r="A96" s="2" t="s">
        <v>2694</v>
      </c>
      <c r="B96" s="2" t="s">
        <v>376</v>
      </c>
      <c r="C96" s="2">
        <v>1</v>
      </c>
      <c r="D96" t="str">
        <f>_xlfn.XLOOKUP(order_items!B96,products_2026!A:A,products_2026!C:C,,0,)</f>
        <v>Electronics</v>
      </c>
      <c r="E96">
        <f>_xlfn.XLOOKUP(B96,products_2026!A:A,products_2026!D:D,,0,)</f>
        <v>88.29</v>
      </c>
      <c r="F96">
        <f t="shared" si="1"/>
        <v>88.29</v>
      </c>
      <c r="G96" t="str">
        <f>_xlfn.XLOOKUP(B96,products_2026!A:A,products_2026!B:B,,0,)</f>
        <v>LED Light Bulb Reusable</v>
      </c>
      <c r="H96" t="str">
        <f>_xlfn.XLOOKUP(B96,products_2026!A:A,products_2026!E:E,,0,)</f>
        <v>SELL0057</v>
      </c>
      <c r="I96" t="str">
        <f>IFERROR(_xlfn.XLOOKUP(H96,sellers_2026!A:A,sellers_2026!G:G,,0,), "unknown/inactive")</f>
        <v>TAS</v>
      </c>
      <c r="J96" t="str">
        <f>_xlfn.XLOOKUP(H96,sellers_2026!A:A,sellers_2026!B:B,,0,)</f>
        <v>buildmydream</v>
      </c>
      <c r="L96" s="10" t="s">
        <v>307</v>
      </c>
      <c r="M96">
        <v>186.70000000000002</v>
      </c>
      <c r="O96" s="10" t="s">
        <v>52</v>
      </c>
      <c r="P96">
        <v>4</v>
      </c>
      <c r="R96" s="10" t="s">
        <v>1036</v>
      </c>
      <c r="S96">
        <v>175.85000000000002</v>
      </c>
      <c r="U96" s="10" t="s">
        <v>1073</v>
      </c>
      <c r="V96">
        <v>5</v>
      </c>
    </row>
    <row r="97" spans="1:22" ht="14.25" customHeight="1" x14ac:dyDescent="0.3">
      <c r="A97" s="2" t="s">
        <v>2695</v>
      </c>
      <c r="B97" s="2" t="s">
        <v>51</v>
      </c>
      <c r="C97" s="2">
        <v>1</v>
      </c>
      <c r="D97" t="str">
        <f>_xlfn.XLOOKUP(order_items!B97,products_2026!A:A,products_2026!C:C,,0,)</f>
        <v>Outdoor</v>
      </c>
      <c r="E97">
        <f>_xlfn.XLOOKUP(B97,products_2026!A:A,products_2026!D:D,,0,)</f>
        <v>48.06</v>
      </c>
      <c r="F97">
        <f t="shared" si="1"/>
        <v>48.06</v>
      </c>
      <c r="G97" t="str">
        <f>_xlfn.XLOOKUP(B97,products_2026!A:A,products_2026!B:B,,0,)</f>
        <v>Garden Lights 4 pack Solar Power</v>
      </c>
      <c r="H97" t="str">
        <f>_xlfn.XLOOKUP(B97,products_2026!A:A,products_2026!E:E,,0,)</f>
        <v>SELL0014</v>
      </c>
      <c r="I97" t="str">
        <f>IFERROR(_xlfn.XLOOKUP(H97,sellers_2026!A:A,sellers_2026!G:G,,0,), "unknown/inactive")</f>
        <v>ACT</v>
      </c>
      <c r="J97" t="str">
        <f>_xlfn.XLOOKUP(H97,sellers_2026!A:A,sellers_2026!B:B,,0,)</f>
        <v>gardenandco</v>
      </c>
      <c r="L97" s="10" t="s">
        <v>964</v>
      </c>
      <c r="M97">
        <v>184.95000000000002</v>
      </c>
      <c r="O97" s="10" t="s">
        <v>325</v>
      </c>
      <c r="P97">
        <v>4</v>
      </c>
      <c r="R97" s="10" t="s">
        <v>1006</v>
      </c>
      <c r="S97">
        <v>146.81</v>
      </c>
      <c r="U97" s="10" t="s">
        <v>1076</v>
      </c>
      <c r="V97">
        <v>5</v>
      </c>
    </row>
    <row r="98" spans="1:22" ht="14.25" customHeight="1" x14ac:dyDescent="0.3">
      <c r="A98" s="2" t="s">
        <v>2695</v>
      </c>
      <c r="B98" s="2" t="s">
        <v>616</v>
      </c>
      <c r="C98" s="2">
        <v>2</v>
      </c>
      <c r="D98" t="str">
        <f>_xlfn.XLOOKUP(order_items!B98,products_2026!A:A,products_2026!C:C,,0,)</f>
        <v>Beauty</v>
      </c>
      <c r="E98">
        <f>_xlfn.XLOOKUP(B98,products_2026!A:A,products_2026!D:D,,0,)</f>
        <v>22.24</v>
      </c>
      <c r="F98">
        <f t="shared" si="1"/>
        <v>44.48</v>
      </c>
      <c r="G98" t="str">
        <f>_xlfn.XLOOKUP(B98,products_2026!A:A,products_2026!B:B,,0,)</f>
        <v>Vitamin C Serum 30ml</v>
      </c>
      <c r="H98" t="str">
        <f>_xlfn.XLOOKUP(B98,products_2026!A:A,products_2026!E:E,,0,)</f>
        <v>SELL0084</v>
      </c>
      <c r="I98" t="str">
        <f>IFERROR(_xlfn.XLOOKUP(H98,sellers_2026!A:A,sellers_2026!G:G,,0,), "unknown/inactive")</f>
        <v>NSW</v>
      </c>
      <c r="J98" t="str">
        <f>_xlfn.XLOOKUP(H98,sellers_2026!A:A,sellers_2026!B:B,,0,)</f>
        <v>lfmk805jw2</v>
      </c>
      <c r="L98" s="10" t="s">
        <v>765</v>
      </c>
      <c r="M98">
        <v>182.57999999999998</v>
      </c>
      <c r="O98" s="10" t="s">
        <v>139</v>
      </c>
      <c r="P98">
        <v>4</v>
      </c>
      <c r="R98" s="10" t="s">
        <v>1017</v>
      </c>
      <c r="S98">
        <v>135.96</v>
      </c>
      <c r="U98" s="10" t="s">
        <v>1021</v>
      </c>
      <c r="V98">
        <v>5</v>
      </c>
    </row>
    <row r="99" spans="1:22" ht="14.25" customHeight="1" x14ac:dyDescent="0.3">
      <c r="A99" s="2" t="s">
        <v>2696</v>
      </c>
      <c r="B99" s="2" t="s">
        <v>722</v>
      </c>
      <c r="C99" s="2">
        <v>1</v>
      </c>
      <c r="D99" t="str">
        <f>_xlfn.XLOOKUP(order_items!B99,products_2026!A:A,products_2026!C:C,,0,)</f>
        <v>Gift_Sets</v>
      </c>
      <c r="E99">
        <f>_xlfn.XLOOKUP(B99,products_2026!A:A,products_2026!D:D,,0,)</f>
        <v>32.33</v>
      </c>
      <c r="F99">
        <f t="shared" si="1"/>
        <v>32.33</v>
      </c>
      <c r="G99" t="str">
        <f>_xlfn.XLOOKUP(B99,products_2026!A:A,products_2026!B:B,,0,)</f>
        <v>Tea Lovers Hamper Darjelling</v>
      </c>
      <c r="H99" t="str">
        <f>_xlfn.XLOOKUP(B99,products_2026!A:A,products_2026!E:E,,0,)</f>
        <v>SELL0088</v>
      </c>
      <c r="I99" t="str">
        <f>IFERROR(_xlfn.XLOOKUP(H99,sellers_2026!A:A,sellers_2026!G:G,,0,), "unknown/inactive")</f>
        <v>TAS</v>
      </c>
      <c r="J99" t="str">
        <f>_xlfn.XLOOKUP(H99,sellers_2026!A:A,sellers_2026!B:B,,0,)</f>
        <v>7ti9lfa6h5</v>
      </c>
      <c r="L99" s="10" t="s">
        <v>106</v>
      </c>
      <c r="M99">
        <v>181.84</v>
      </c>
      <c r="O99" s="10" t="s">
        <v>91</v>
      </c>
      <c r="P99">
        <v>4</v>
      </c>
      <c r="R99" s="10" t="s">
        <v>1018</v>
      </c>
      <c r="S99">
        <v>135.45000000000002</v>
      </c>
      <c r="U99" s="10" t="s">
        <v>1004</v>
      </c>
      <c r="V99">
        <v>5</v>
      </c>
    </row>
    <row r="100" spans="1:22" ht="14.25" customHeight="1" x14ac:dyDescent="0.3">
      <c r="A100" s="2" t="s">
        <v>2697</v>
      </c>
      <c r="B100" s="2" t="s">
        <v>140</v>
      </c>
      <c r="C100" s="2">
        <v>1</v>
      </c>
      <c r="D100" t="str">
        <f>_xlfn.XLOOKUP(order_items!B100,products_2026!A:A,products_2026!C:C,,0,)</f>
        <v>Electronics</v>
      </c>
      <c r="E100">
        <f>_xlfn.XLOOKUP(B100,products_2026!A:A,products_2026!D:D,,0,)</f>
        <v>27.42</v>
      </c>
      <c r="F100">
        <f t="shared" si="1"/>
        <v>27.42</v>
      </c>
      <c r="G100" t="str">
        <f>_xlfn.XLOOKUP(B100,products_2026!A:A,products_2026!B:B,,0,)</f>
        <v>Bluetooth Speaker Portable 200W</v>
      </c>
      <c r="H100" t="str">
        <f>_xlfn.XLOOKUP(B100,products_2026!A:A,products_2026!E:E,,0,)</f>
        <v>SELL0029</v>
      </c>
      <c r="I100" t="str">
        <f>IFERROR(_xlfn.XLOOKUP(H100,sellers_2026!A:A,sellers_2026!G:G,,0,), "unknown/inactive")</f>
        <v>SA</v>
      </c>
      <c r="J100" t="str">
        <f>_xlfn.XLOOKUP(H100,sellers_2026!A:A,sellers_2026!B:B,,0,)</f>
        <v>general-goods</v>
      </c>
      <c r="L100" s="10" t="s">
        <v>954</v>
      </c>
      <c r="M100">
        <v>181.8</v>
      </c>
      <c r="O100" s="10" t="s">
        <v>584</v>
      </c>
      <c r="P100">
        <v>4</v>
      </c>
      <c r="R100" s="10" t="s">
        <v>1067</v>
      </c>
      <c r="S100">
        <v>134.41000000000003</v>
      </c>
      <c r="U100" s="10" t="s">
        <v>1048</v>
      </c>
      <c r="V100">
        <v>5</v>
      </c>
    </row>
    <row r="101" spans="1:22" ht="14.25" customHeight="1" x14ac:dyDescent="0.3">
      <c r="A101" s="2" t="s">
        <v>2698</v>
      </c>
      <c r="B101" s="2" t="s">
        <v>138</v>
      </c>
      <c r="C101" s="2">
        <v>1</v>
      </c>
      <c r="D101" t="str">
        <f>_xlfn.XLOOKUP(order_items!B101,products_2026!A:A,products_2026!C:C,,0,)</f>
        <v>Stationery</v>
      </c>
      <c r="E101">
        <f>_xlfn.XLOOKUP(B101,products_2026!A:A,products_2026!D:D,,0,)</f>
        <v>7.72</v>
      </c>
      <c r="F101">
        <f t="shared" si="1"/>
        <v>7.72</v>
      </c>
      <c r="G101" t="str">
        <f>_xlfn.XLOOKUP(B101,products_2026!A:A,products_2026!B:B,,0,)</f>
        <v>Glitter Gel Pens 4 pack</v>
      </c>
      <c r="H101" t="str">
        <f>_xlfn.XLOOKUP(B101,products_2026!A:A,products_2026!E:E,,0,)</f>
        <v>SELL0028</v>
      </c>
      <c r="I101" t="str">
        <f>IFERROR(_xlfn.XLOOKUP(H101,sellers_2026!A:A,sellers_2026!G:G,,0,), "unknown/inactive")</f>
        <v>NT</v>
      </c>
      <c r="J101" t="str">
        <f>_xlfn.XLOOKUP(H101,sellers_2026!A:A,sellers_2026!B:B,,0,)</f>
        <v>goodsahoy</v>
      </c>
      <c r="L101" s="10" t="s">
        <v>186</v>
      </c>
      <c r="M101">
        <v>181.2</v>
      </c>
      <c r="O101" s="10" t="s">
        <v>265</v>
      </c>
      <c r="P101">
        <v>4</v>
      </c>
      <c r="R101" s="10" t="s">
        <v>1010</v>
      </c>
      <c r="S101">
        <v>133.01999999999998</v>
      </c>
      <c r="U101" s="10" t="s">
        <v>1029</v>
      </c>
      <c r="V101">
        <v>4</v>
      </c>
    </row>
    <row r="102" spans="1:22" ht="14.25" customHeight="1" x14ac:dyDescent="0.3">
      <c r="A102" s="2" t="s">
        <v>2698</v>
      </c>
      <c r="B102" s="2" t="s">
        <v>333</v>
      </c>
      <c r="C102" s="2">
        <v>1</v>
      </c>
      <c r="D102" t="str">
        <f>_xlfn.XLOOKUP(order_items!B102,products_2026!A:A,products_2026!C:C,,0,)</f>
        <v>Electronics</v>
      </c>
      <c r="E102">
        <f>_xlfn.XLOOKUP(B102,products_2026!A:A,products_2026!D:D,,0,)</f>
        <v>81.81</v>
      </c>
      <c r="F102">
        <f t="shared" si="1"/>
        <v>81.81</v>
      </c>
      <c r="G102" t="str">
        <f>_xlfn.XLOOKUP(B102,products_2026!A:A,products_2026!B:B,,0,)</f>
        <v>Wireless Bluetooth Earbuds</v>
      </c>
      <c r="H102" t="str">
        <f>_xlfn.XLOOKUP(B102,products_2026!A:A,products_2026!E:E,,0,)</f>
        <v>SELL0049</v>
      </c>
      <c r="I102" t="str">
        <f>IFERROR(_xlfn.XLOOKUP(H102,sellers_2026!A:A,sellers_2026!G:G,,0,), "unknown/inactive")</f>
        <v>VIC</v>
      </c>
      <c r="J102" t="str">
        <f>_xlfn.XLOOKUP(H102,sellers_2026!A:A,sellers_2026!B:B,,0,)</f>
        <v>beautifullife472</v>
      </c>
      <c r="L102" s="10" t="s">
        <v>91</v>
      </c>
      <c r="M102">
        <v>173.08</v>
      </c>
      <c r="O102" s="10" t="s">
        <v>377</v>
      </c>
      <c r="P102">
        <v>4</v>
      </c>
      <c r="R102" s="10" t="s">
        <v>1040</v>
      </c>
      <c r="S102">
        <v>127.36</v>
      </c>
      <c r="U102" s="10" t="s">
        <v>1087</v>
      </c>
      <c r="V102">
        <v>4</v>
      </c>
    </row>
    <row r="103" spans="1:22" ht="14.25" customHeight="1" x14ac:dyDescent="0.3">
      <c r="A103" s="2" t="s">
        <v>2699</v>
      </c>
      <c r="B103" s="2" t="s">
        <v>465</v>
      </c>
      <c r="C103" s="2">
        <v>1</v>
      </c>
      <c r="D103" t="str">
        <f>_xlfn.XLOOKUP(order_items!B103,products_2026!A:A,products_2026!C:C,,0,)</f>
        <v>Toys</v>
      </c>
      <c r="E103">
        <f>_xlfn.XLOOKUP(B103,products_2026!A:A,products_2026!D:D,,0,)</f>
        <v>24.19</v>
      </c>
      <c r="F103">
        <f t="shared" si="1"/>
        <v>24.19</v>
      </c>
      <c r="G103" t="str">
        <f>_xlfn.XLOOKUP(B103,products_2026!A:A,products_2026!B:B,,0,)</f>
        <v>Light up lawnmower AI powered</v>
      </c>
      <c r="H103" t="str">
        <f>_xlfn.XLOOKUP(B103,products_2026!A:A,products_2026!E:E,,0,)</f>
        <v>SELL0067</v>
      </c>
      <c r="I103" t="str">
        <f>IFERROR(_xlfn.XLOOKUP(H103,sellers_2026!A:A,sellers_2026!G:G,,0,), "unknown/inactive")</f>
        <v>WA</v>
      </c>
      <c r="J103" t="str">
        <f>_xlfn.XLOOKUP(H103,sellers_2026!A:A,sellers_2026!B:B,,0,)</f>
        <v>w71bv3mee1</v>
      </c>
      <c r="L103" s="10" t="s">
        <v>104</v>
      </c>
      <c r="M103">
        <v>169.54</v>
      </c>
      <c r="O103" s="10" t="s">
        <v>886</v>
      </c>
      <c r="P103">
        <v>4</v>
      </c>
      <c r="R103" s="10" t="s">
        <v>1021</v>
      </c>
      <c r="S103">
        <v>119.49999999999999</v>
      </c>
      <c r="U103" s="10" t="s">
        <v>1006</v>
      </c>
      <c r="V103">
        <v>4</v>
      </c>
    </row>
    <row r="104" spans="1:22" ht="14.25" customHeight="1" x14ac:dyDescent="0.3">
      <c r="A104" s="2" t="s">
        <v>2700</v>
      </c>
      <c r="B104" s="2" t="s">
        <v>83</v>
      </c>
      <c r="C104" s="2">
        <v>1</v>
      </c>
      <c r="D104" t="str">
        <f>_xlfn.XLOOKUP(order_items!B104,products_2026!A:A,products_2026!C:C,,0,)</f>
        <v>Stationery</v>
      </c>
      <c r="E104">
        <f>_xlfn.XLOOKUP(B104,products_2026!A:A,products_2026!D:D,,0,)</f>
        <v>8.39</v>
      </c>
      <c r="F104">
        <f t="shared" si="1"/>
        <v>8.39</v>
      </c>
      <c r="G104" t="str">
        <f>_xlfn.XLOOKUP(B104,products_2026!A:A,products_2026!B:B,,0,)</f>
        <v>Permanent markers 6 pack black</v>
      </c>
      <c r="H104" t="str">
        <f>_xlfn.XLOOKUP(B104,products_2026!A:A,products_2026!E:E,,0,)</f>
        <v>SELL0019</v>
      </c>
      <c r="I104" t="str">
        <f>IFERROR(_xlfn.XLOOKUP(H104,sellers_2026!A:A,sellers_2026!G:G,,0,), "unknown/inactive")</f>
        <v>QLD</v>
      </c>
      <c r="J104" t="str">
        <f>_xlfn.XLOOKUP(H104,sellers_2026!A:A,sellers_2026!B:B,,0,)</f>
        <v>buyingtime</v>
      </c>
      <c r="L104" s="10" t="s">
        <v>938</v>
      </c>
      <c r="M104">
        <v>167.97</v>
      </c>
      <c r="O104" s="10" t="s">
        <v>852</v>
      </c>
      <c r="P104">
        <v>4</v>
      </c>
      <c r="R104" s="10" t="s">
        <v>1060</v>
      </c>
      <c r="S104">
        <v>116.46</v>
      </c>
      <c r="U104" s="10" t="s">
        <v>1015</v>
      </c>
      <c r="V104">
        <v>4</v>
      </c>
    </row>
    <row r="105" spans="1:22" ht="14.25" customHeight="1" x14ac:dyDescent="0.3">
      <c r="A105" s="2" t="s">
        <v>2700</v>
      </c>
      <c r="B105" s="2" t="s">
        <v>151</v>
      </c>
      <c r="C105" s="2">
        <v>1</v>
      </c>
      <c r="D105" t="str">
        <f>_xlfn.XLOOKUP(order_items!B105,products_2026!A:A,products_2026!C:C,,0,)</f>
        <v>Electronics</v>
      </c>
      <c r="E105">
        <f>_xlfn.XLOOKUP(B105,products_2026!A:A,products_2026!D:D,,0,)</f>
        <v>26.58</v>
      </c>
      <c r="F105">
        <f t="shared" si="1"/>
        <v>26.58</v>
      </c>
      <c r="G105" t="str">
        <f>_xlfn.XLOOKUP(B105,products_2026!A:A,products_2026!B:B,,0,)</f>
        <v>Gaming Mouse</v>
      </c>
      <c r="H105" t="str">
        <f>_xlfn.XLOOKUP(B105,products_2026!A:A,products_2026!E:E,,0,)</f>
        <v>SELL0032</v>
      </c>
      <c r="I105" t="str">
        <f>IFERROR(_xlfn.XLOOKUP(H105,sellers_2026!A:A,sellers_2026!G:G,,0,), "unknown/inactive")</f>
        <v>VIC</v>
      </c>
      <c r="J105" t="str">
        <f>_xlfn.XLOOKUP(H105,sellers_2026!A:A,sellers_2026!B:B,,0,)</f>
        <v>buydongxi25</v>
      </c>
      <c r="L105" s="10" t="s">
        <v>167</v>
      </c>
      <c r="M105">
        <v>166.05</v>
      </c>
      <c r="O105" s="10" t="s">
        <v>613</v>
      </c>
      <c r="P105">
        <v>4</v>
      </c>
      <c r="R105" s="10" t="s">
        <v>1085</v>
      </c>
      <c r="S105">
        <v>114.75</v>
      </c>
      <c r="U105" s="10" t="s">
        <v>1044</v>
      </c>
      <c r="V105">
        <v>4</v>
      </c>
    </row>
    <row r="106" spans="1:22" ht="14.25" customHeight="1" x14ac:dyDescent="0.3">
      <c r="A106" s="2" t="s">
        <v>2700</v>
      </c>
      <c r="B106" s="2" t="s">
        <v>931</v>
      </c>
      <c r="C106" s="2">
        <v>1</v>
      </c>
      <c r="D106" t="str">
        <f>_xlfn.XLOOKUP(order_items!B106,products_2026!A:A,products_2026!C:C,,0,)</f>
        <v>Outdoor</v>
      </c>
      <c r="E106">
        <f>_xlfn.XLOOKUP(B106,products_2026!A:A,products_2026!D:D,,0,)</f>
        <v>114.11</v>
      </c>
      <c r="F106">
        <f t="shared" si="1"/>
        <v>114.11</v>
      </c>
      <c r="G106" t="str">
        <f>_xlfn.XLOOKUP(B106,products_2026!A:A,products_2026!B:B,,0,)</f>
        <v>Compact Hiking Backpack 20L (Blue)</v>
      </c>
      <c r="H106" t="str">
        <f>_xlfn.XLOOKUP(B106,products_2026!A:A,products_2026!E:E,,0,)</f>
        <v>SELL0093</v>
      </c>
      <c r="I106" t="str">
        <f>IFERROR(_xlfn.XLOOKUP(H106,sellers_2026!A:A,sellers_2026!G:G,,0,), "unknown/inactive")</f>
        <v>NT</v>
      </c>
      <c r="J106" t="str">
        <f>_xlfn.XLOOKUP(H106,sellers_2026!A:A,sellers_2026!B:B,,0,)</f>
        <v>millies-outdoor-shop</v>
      </c>
      <c r="L106" s="10" t="s">
        <v>334</v>
      </c>
      <c r="M106">
        <v>163.62</v>
      </c>
      <c r="O106" s="10" t="s">
        <v>106</v>
      </c>
      <c r="P106">
        <v>4</v>
      </c>
      <c r="R106" s="10" t="s">
        <v>1076</v>
      </c>
      <c r="S106">
        <v>113.4</v>
      </c>
      <c r="U106" s="10" t="s">
        <v>1036</v>
      </c>
      <c r="V106">
        <v>4</v>
      </c>
    </row>
    <row r="107" spans="1:22" ht="14.25" customHeight="1" x14ac:dyDescent="0.3">
      <c r="A107" s="2" t="s">
        <v>2701</v>
      </c>
      <c r="B107" s="2" t="s">
        <v>378</v>
      </c>
      <c r="C107" s="2">
        <v>1</v>
      </c>
      <c r="D107" t="str">
        <f>_xlfn.XLOOKUP(order_items!B107,products_2026!A:A,products_2026!C:C,,0,)</f>
        <v>Toys</v>
      </c>
      <c r="E107">
        <f>_xlfn.XLOOKUP(B107,products_2026!A:A,products_2026!D:D,,0,)</f>
        <v>13.7</v>
      </c>
      <c r="F107">
        <f t="shared" si="1"/>
        <v>13.7</v>
      </c>
      <c r="G107" t="str">
        <f>_xlfn.XLOOKUP(B107,products_2026!A:A,products_2026!B:B,,0,)</f>
        <v>Kids Paint Kit (Blue)</v>
      </c>
      <c r="H107" t="str">
        <f>_xlfn.XLOOKUP(B107,products_2026!A:A,products_2026!E:E,,0,)</f>
        <v>SELL0047</v>
      </c>
      <c r="I107" t="str">
        <f>IFERROR(_xlfn.XLOOKUP(H107,sellers_2026!A:A,sellers_2026!G:G,,0,), "unknown/inactive")</f>
        <v>NT</v>
      </c>
      <c r="J107" t="str">
        <f>_xlfn.XLOOKUP(H107,sellers_2026!A:A,sellers_2026!B:B,,0,)</f>
        <v>toymajoy</v>
      </c>
      <c r="L107" s="10" t="s">
        <v>667</v>
      </c>
      <c r="M107">
        <v>159.51</v>
      </c>
      <c r="O107" s="10" t="s">
        <v>197</v>
      </c>
      <c r="P107">
        <v>3</v>
      </c>
      <c r="R107" s="10" t="s">
        <v>1065</v>
      </c>
      <c r="S107">
        <v>112.54999999999998</v>
      </c>
      <c r="U107" s="10" t="s">
        <v>1040</v>
      </c>
      <c r="V107">
        <v>4</v>
      </c>
    </row>
    <row r="108" spans="1:22" ht="14.25" customHeight="1" x14ac:dyDescent="0.3">
      <c r="A108" s="2" t="s">
        <v>2702</v>
      </c>
      <c r="B108" s="2" t="s">
        <v>148</v>
      </c>
      <c r="C108" s="2">
        <v>1</v>
      </c>
      <c r="D108" t="str">
        <f>_xlfn.XLOOKUP(order_items!B108,products_2026!A:A,products_2026!C:C,,0,)</f>
        <v>Health</v>
      </c>
      <c r="E108">
        <f>_xlfn.XLOOKUP(B108,products_2026!A:A,products_2026!D:D,,0,)</f>
        <v>58.23</v>
      </c>
      <c r="F108">
        <f t="shared" si="1"/>
        <v>58.23</v>
      </c>
      <c r="G108" t="str">
        <f>_xlfn.XLOOKUP(B108,products_2026!A:A,products_2026!B:B,,0,)</f>
        <v>Yoga Mat 10mm</v>
      </c>
      <c r="H108" t="str">
        <f>_xlfn.XLOOKUP(B108,products_2026!A:A,products_2026!E:E,,0,)</f>
        <v>SELL0031</v>
      </c>
      <c r="I108" t="str">
        <f>IFERROR(_xlfn.XLOOKUP(H108,sellers_2026!A:A,sellers_2026!G:G,,0,), "unknown/inactive")</f>
        <v>VIC</v>
      </c>
      <c r="J108" t="str">
        <f>_xlfn.XLOOKUP(H108,sellers_2026!A:A,sellers_2026!B:B,,0,)</f>
        <v>keepwells</v>
      </c>
      <c r="L108" s="10" t="s">
        <v>756</v>
      </c>
      <c r="M108">
        <v>155.12</v>
      </c>
      <c r="O108" s="10" t="s">
        <v>213</v>
      </c>
      <c r="P108">
        <v>3</v>
      </c>
      <c r="R108" s="10" t="s">
        <v>1015</v>
      </c>
      <c r="S108">
        <v>111.68</v>
      </c>
      <c r="U108" s="10" t="s">
        <v>1071</v>
      </c>
      <c r="V108">
        <v>3</v>
      </c>
    </row>
    <row r="109" spans="1:22" ht="14.25" customHeight="1" x14ac:dyDescent="0.3">
      <c r="A109" s="2" t="s">
        <v>2702</v>
      </c>
      <c r="B109" s="2" t="s">
        <v>624</v>
      </c>
      <c r="C109" s="2">
        <v>1</v>
      </c>
      <c r="D109" t="str">
        <f>_xlfn.XLOOKUP(order_items!B109,products_2026!A:A,products_2026!C:C,,0,)</f>
        <v>Beauty</v>
      </c>
      <c r="E109">
        <f>_xlfn.XLOOKUP(B109,products_2026!A:A,products_2026!D:D,,0,)</f>
        <v>26.2</v>
      </c>
      <c r="F109">
        <f t="shared" si="1"/>
        <v>26.2</v>
      </c>
      <c r="G109" t="str">
        <f>_xlfn.XLOOKUP(B109,products_2026!A:A,products_2026!B:B,,0,)</f>
        <v>Vitamin C Serum 50ml</v>
      </c>
      <c r="H109" t="str">
        <f>_xlfn.XLOOKUP(B109,products_2026!A:A,products_2026!E:E,,0,)</f>
        <v>SELL0001</v>
      </c>
      <c r="I109" t="str">
        <f>IFERROR(_xlfn.XLOOKUP(H109,sellers_2026!A:A,sellers_2026!G:G,,0,), "unknown/inactive")</f>
        <v>VIC</v>
      </c>
      <c r="J109" t="str">
        <f>_xlfn.XLOOKUP(H109,sellers_2026!A:A,sellers_2026!B:B,,0,)</f>
        <v>beauty4everyone</v>
      </c>
      <c r="L109" s="10" t="s">
        <v>749</v>
      </c>
      <c r="M109">
        <v>150.1</v>
      </c>
      <c r="O109" s="10" t="s">
        <v>475</v>
      </c>
      <c r="P109">
        <v>3</v>
      </c>
      <c r="R109" s="10" t="s">
        <v>1026</v>
      </c>
      <c r="S109">
        <v>108.34</v>
      </c>
      <c r="U109" s="10" t="s">
        <v>1085</v>
      </c>
      <c r="V109">
        <v>3</v>
      </c>
    </row>
    <row r="110" spans="1:22" ht="14.25" customHeight="1" x14ac:dyDescent="0.3">
      <c r="A110" s="2" t="s">
        <v>2702</v>
      </c>
      <c r="B110" s="2" t="s">
        <v>658</v>
      </c>
      <c r="C110" s="2">
        <v>2</v>
      </c>
      <c r="D110" t="str">
        <f>_xlfn.XLOOKUP(order_items!B110,products_2026!A:A,products_2026!C:C,,0,)</f>
        <v>Clothes</v>
      </c>
      <c r="E110">
        <f>_xlfn.XLOOKUP(B110,products_2026!A:A,products_2026!D:D,,0,)</f>
        <v>54.51</v>
      </c>
      <c r="F110">
        <f t="shared" si="1"/>
        <v>109.02</v>
      </c>
      <c r="G110" t="str">
        <f>_xlfn.XLOOKUP(B110,products_2026!A:A,products_2026!B:B,,0,)</f>
        <v>Women’s Active Leggings (Yellow)</v>
      </c>
      <c r="H110" t="str">
        <f>_xlfn.XLOOKUP(B110,products_2026!A:A,products_2026!E:E,,0,)</f>
        <v>SELL0086</v>
      </c>
      <c r="I110" t="str">
        <f>IFERROR(_xlfn.XLOOKUP(H110,sellers_2026!A:A,sellers_2026!G:G,,0,), "unknown/inactive")</f>
        <v>VIC</v>
      </c>
      <c r="J110" t="str">
        <f>_xlfn.XLOOKUP(H110,sellers_2026!A:A,sellers_2026!B:B,,0,)</f>
        <v>clothesforlife</v>
      </c>
      <c r="L110" s="10" t="s">
        <v>172</v>
      </c>
      <c r="M110">
        <v>149.59</v>
      </c>
      <c r="O110" s="10" t="s">
        <v>782</v>
      </c>
      <c r="P110">
        <v>3</v>
      </c>
      <c r="R110" s="10" t="s">
        <v>1011</v>
      </c>
      <c r="S110">
        <v>82.710000000000008</v>
      </c>
      <c r="U110" s="10" t="s">
        <v>1010</v>
      </c>
      <c r="V110">
        <v>3</v>
      </c>
    </row>
    <row r="111" spans="1:22" ht="14.25" customHeight="1" x14ac:dyDescent="0.3">
      <c r="A111" s="2" t="s">
        <v>2703</v>
      </c>
      <c r="B111" s="2" t="s">
        <v>612</v>
      </c>
      <c r="C111" s="2">
        <v>1</v>
      </c>
      <c r="D111" t="str">
        <f>_xlfn.XLOOKUP(order_items!B111,products_2026!A:A,products_2026!C:C,,0,)</f>
        <v>Home</v>
      </c>
      <c r="E111">
        <f>_xlfn.XLOOKUP(B111,products_2026!A:A,products_2026!D:D,,0,)</f>
        <v>119.3</v>
      </c>
      <c r="F111">
        <f t="shared" si="1"/>
        <v>119.3</v>
      </c>
      <c r="G111" t="str">
        <f>_xlfn.XLOOKUP(B111,products_2026!A:A,products_2026!B:B,,0,)</f>
        <v>Memory Foam Pillow Medium Firm x 2</v>
      </c>
      <c r="H111" t="str">
        <f>_xlfn.XLOOKUP(B111,products_2026!A:A,products_2026!E:E,,0,)</f>
        <v>SELL0078</v>
      </c>
      <c r="I111" t="str">
        <f>IFERROR(_xlfn.XLOOKUP(H111,sellers_2026!A:A,sellers_2026!G:G,,0,), "unknown/inactive")</f>
        <v>TAS</v>
      </c>
      <c r="J111" t="str">
        <f>_xlfn.XLOOKUP(H111,sellers_2026!A:A,sellers_2026!B:B,,0,)</f>
        <v>r6vd2aojq8</v>
      </c>
      <c r="L111" s="10" t="s">
        <v>892</v>
      </c>
      <c r="M111">
        <v>146.80000000000001</v>
      </c>
      <c r="O111" s="10" t="s">
        <v>24</v>
      </c>
      <c r="P111">
        <v>3</v>
      </c>
      <c r="R111" s="10" t="s">
        <v>1038</v>
      </c>
      <c r="S111">
        <v>75.98</v>
      </c>
      <c r="U111" s="10" t="s">
        <v>1052</v>
      </c>
      <c r="V111">
        <v>3</v>
      </c>
    </row>
    <row r="112" spans="1:22" ht="14.25" customHeight="1" x14ac:dyDescent="0.3">
      <c r="A112" s="2" t="s">
        <v>2704</v>
      </c>
      <c r="B112" s="2" t="s">
        <v>796</v>
      </c>
      <c r="C112" s="2">
        <v>1</v>
      </c>
      <c r="D112" t="str">
        <f>_xlfn.XLOOKUP(order_items!B112,products_2026!A:A,products_2026!C:C,,0,)</f>
        <v>Health</v>
      </c>
      <c r="E112">
        <f>_xlfn.XLOOKUP(B112,products_2026!A:A,products_2026!D:D,,0,)</f>
        <v>29.59</v>
      </c>
      <c r="F112">
        <f t="shared" si="1"/>
        <v>29.59</v>
      </c>
      <c r="G112" t="str">
        <f>_xlfn.XLOOKUP(B112,products_2026!A:A,products_2026!B:B,,0,)</f>
        <v>Reusable Ice Pack (2 pack) (Grey)</v>
      </c>
      <c r="H112" t="str">
        <f>_xlfn.XLOOKUP(B112,products_2026!A:A,products_2026!E:E,,0,)</f>
        <v>SELL0090</v>
      </c>
      <c r="I112" t="str">
        <f>IFERROR(_xlfn.XLOOKUP(H112,sellers_2026!A:A,sellers_2026!G:G,,0,), "unknown/inactive")</f>
        <v>TAS</v>
      </c>
      <c r="J112" t="str">
        <f>_xlfn.XLOOKUP(H112,sellers_2026!A:A,sellers_2026!B:B,,0,)</f>
        <v>housenice</v>
      </c>
      <c r="L112" s="10" t="s">
        <v>211</v>
      </c>
      <c r="M112">
        <v>139.64999999999998</v>
      </c>
      <c r="O112" s="10" t="s">
        <v>270</v>
      </c>
      <c r="P112">
        <v>3</v>
      </c>
      <c r="R112" s="10" t="s">
        <v>1033</v>
      </c>
      <c r="S112">
        <v>74.8</v>
      </c>
      <c r="U112" s="10" t="s">
        <v>1070</v>
      </c>
      <c r="V112">
        <v>3</v>
      </c>
    </row>
    <row r="113" spans="1:22" ht="14.25" customHeight="1" x14ac:dyDescent="0.3">
      <c r="A113" s="2" t="s">
        <v>2704</v>
      </c>
      <c r="B113" s="2" t="s">
        <v>907</v>
      </c>
      <c r="C113" s="2">
        <v>2</v>
      </c>
      <c r="D113" t="str">
        <f>_xlfn.XLOOKUP(order_items!B113,products_2026!A:A,products_2026!C:C,,0,)</f>
        <v>Outdoor</v>
      </c>
      <c r="E113">
        <f>_xlfn.XLOOKUP(B113,products_2026!A:A,products_2026!D:D,,0,)</f>
        <v>63.89</v>
      </c>
      <c r="F113">
        <f t="shared" si="1"/>
        <v>127.78</v>
      </c>
      <c r="G113" t="str">
        <f>_xlfn.XLOOKUP(B113,products_2026!A:A,products_2026!B:B,,0,)</f>
        <v>Camping Kettle 5L Navy</v>
      </c>
      <c r="H113" t="str">
        <f>_xlfn.XLOOKUP(B113,products_2026!A:A,products_2026!E:E,,0,)</f>
        <v>SELL0093</v>
      </c>
      <c r="I113" t="str">
        <f>IFERROR(_xlfn.XLOOKUP(H113,sellers_2026!A:A,sellers_2026!G:G,,0,), "unknown/inactive")</f>
        <v>NT</v>
      </c>
      <c r="J113" t="str">
        <f>_xlfn.XLOOKUP(H113,sellers_2026!A:A,sellers_2026!B:B,,0,)</f>
        <v>millies-outdoor-shop</v>
      </c>
      <c r="L113" s="10" t="s">
        <v>729</v>
      </c>
      <c r="M113">
        <v>135.56</v>
      </c>
      <c r="O113" s="10" t="s">
        <v>99</v>
      </c>
      <c r="P113">
        <v>3</v>
      </c>
      <c r="R113" s="10" t="s">
        <v>1023</v>
      </c>
      <c r="S113">
        <v>70.17</v>
      </c>
      <c r="U113" s="10" t="s">
        <v>1060</v>
      </c>
      <c r="V113">
        <v>2</v>
      </c>
    </row>
    <row r="114" spans="1:22" ht="14.25" customHeight="1" x14ac:dyDescent="0.3">
      <c r="A114" s="2" t="s">
        <v>2705</v>
      </c>
      <c r="B114" s="2" t="s">
        <v>370</v>
      </c>
      <c r="C114" s="2">
        <v>1</v>
      </c>
      <c r="D114" t="str">
        <f>_xlfn.XLOOKUP(order_items!B114,products_2026!A:A,products_2026!C:C,,0,)</f>
        <v>Clothes</v>
      </c>
      <c r="E114">
        <f>_xlfn.XLOOKUP(B114,products_2026!A:A,products_2026!D:D,,0,)</f>
        <v>37.99</v>
      </c>
      <c r="F114">
        <f t="shared" si="1"/>
        <v>37.99</v>
      </c>
      <c r="G114" t="str">
        <f>_xlfn.XLOOKUP(B114,products_2026!A:A,products_2026!B:B,,0,)</f>
        <v>Cotton T‑Shirt Black M</v>
      </c>
      <c r="H114" t="str">
        <f>_xlfn.XLOOKUP(B114,products_2026!A:A,products_2026!E:E,,0,)</f>
        <v>SELL0056</v>
      </c>
      <c r="I114" t="str">
        <f>IFERROR(_xlfn.XLOOKUP(H114,sellers_2026!A:A,sellers_2026!G:G,,0,), "unknown/inactive")</f>
        <v>WA</v>
      </c>
      <c r="J114" t="str">
        <f>_xlfn.XLOOKUP(H114,sellers_2026!A:A,sellers_2026!B:B,,0,)</f>
        <v>feelgood_attire</v>
      </c>
      <c r="L114" s="10" t="s">
        <v>65</v>
      </c>
      <c r="M114">
        <v>135.45000000000002</v>
      </c>
      <c r="O114" s="10" t="s">
        <v>814</v>
      </c>
      <c r="P114">
        <v>3</v>
      </c>
      <c r="R114" s="10" t="s">
        <v>1072</v>
      </c>
      <c r="S114">
        <v>61.42</v>
      </c>
      <c r="U114" s="10" t="s">
        <v>1072</v>
      </c>
      <c r="V114">
        <v>2</v>
      </c>
    </row>
    <row r="115" spans="1:22" ht="14.25" customHeight="1" x14ac:dyDescent="0.3">
      <c r="A115" s="2" t="s">
        <v>2706</v>
      </c>
      <c r="B115" s="2" t="s">
        <v>196</v>
      </c>
      <c r="C115" s="2">
        <v>2</v>
      </c>
      <c r="D115" t="str">
        <f>_xlfn.XLOOKUP(order_items!B115,products_2026!A:A,products_2026!C:C,,0,)</f>
        <v>Home</v>
      </c>
      <c r="E115">
        <f>_xlfn.XLOOKUP(B115,products_2026!A:A,products_2026!D:D,,0,)</f>
        <v>26.76</v>
      </c>
      <c r="F115">
        <f t="shared" si="1"/>
        <v>53.52</v>
      </c>
      <c r="G115" t="str">
        <f>_xlfn.XLOOKUP(B115,products_2026!A:A,products_2026!B:B,,0,)</f>
        <v>Scented Drawer Sachets Jasmine</v>
      </c>
      <c r="H115" t="str">
        <f>_xlfn.XLOOKUP(B115,products_2026!A:A,products_2026!E:E,,0,)</f>
        <v>SELL0036</v>
      </c>
      <c r="I115" t="str">
        <f>IFERROR(_xlfn.XLOOKUP(H115,sellers_2026!A:A,sellers_2026!G:G,,0,), "unknown/inactive")</f>
        <v>NT</v>
      </c>
      <c r="J115" t="str">
        <f>_xlfn.XLOOKUP(H115,sellers_2026!A:A,sellers_2026!B:B,,0,)</f>
        <v>goodqualityemporium</v>
      </c>
      <c r="L115" s="10" t="s">
        <v>254</v>
      </c>
      <c r="M115">
        <v>133.26</v>
      </c>
      <c r="O115" s="10" t="s">
        <v>954</v>
      </c>
      <c r="P115">
        <v>3</v>
      </c>
      <c r="R115" s="10" t="s">
        <v>1047</v>
      </c>
      <c r="S115">
        <v>58</v>
      </c>
      <c r="U115" s="10" t="s">
        <v>1011</v>
      </c>
      <c r="V115">
        <v>2</v>
      </c>
    </row>
    <row r="116" spans="1:22" ht="14.25" customHeight="1" x14ac:dyDescent="0.3">
      <c r="A116" s="2" t="s">
        <v>2706</v>
      </c>
      <c r="B116" s="2" t="s">
        <v>825</v>
      </c>
      <c r="C116" s="2">
        <v>1</v>
      </c>
      <c r="D116" t="str">
        <f>_xlfn.XLOOKUP(order_items!B116,products_2026!A:A,products_2026!C:C,,0,)</f>
        <v>Home</v>
      </c>
      <c r="E116">
        <f>_xlfn.XLOOKUP(B116,products_2026!A:A,products_2026!D:D,,0,)</f>
        <v>115.35</v>
      </c>
      <c r="F116">
        <f t="shared" si="1"/>
        <v>115.35</v>
      </c>
      <c r="G116" t="str">
        <f>_xlfn.XLOOKUP(B116,products_2026!A:A,products_2026!B:B,,0,)</f>
        <v>Rug 100cm x 250cm</v>
      </c>
      <c r="H116" t="str">
        <f>_xlfn.XLOOKUP(B116,products_2026!A:A,products_2026!E:E,,0,)</f>
        <v>SELL0027</v>
      </c>
      <c r="I116" t="str">
        <f>IFERROR(_xlfn.XLOOKUP(H116,sellers_2026!A:A,sellers_2026!G:G,,0,), "unknown/inactive")</f>
        <v>QLD</v>
      </c>
      <c r="J116" t="str">
        <f>_xlfn.XLOOKUP(H116,sellers_2026!A:A,sellers_2026!B:B,,0,)</f>
        <v>home458</v>
      </c>
      <c r="L116" s="10" t="s">
        <v>848</v>
      </c>
      <c r="M116">
        <v>130.91999999999999</v>
      </c>
      <c r="O116" s="10" t="s">
        <v>922</v>
      </c>
      <c r="P116">
        <v>3</v>
      </c>
      <c r="R116" s="10" t="s">
        <v>1052</v>
      </c>
      <c r="S116">
        <v>56.12</v>
      </c>
      <c r="U116" s="10" t="s">
        <v>1033</v>
      </c>
      <c r="V116">
        <v>2</v>
      </c>
    </row>
    <row r="117" spans="1:22" ht="14.25" customHeight="1" x14ac:dyDescent="0.3">
      <c r="A117" s="2" t="s">
        <v>2707</v>
      </c>
      <c r="B117" s="2" t="s">
        <v>457</v>
      </c>
      <c r="C117" s="2">
        <v>1</v>
      </c>
      <c r="D117" t="str">
        <f>_xlfn.XLOOKUP(order_items!B117,products_2026!A:A,products_2026!C:C,,0,)</f>
        <v>Beauty</v>
      </c>
      <c r="E117">
        <f>_xlfn.XLOOKUP(B117,products_2026!A:A,products_2026!D:D,,0,)</f>
        <v>25.78</v>
      </c>
      <c r="F117">
        <f t="shared" si="1"/>
        <v>25.78</v>
      </c>
      <c r="G117" t="str">
        <f>_xlfn.XLOOKUP(B117,products_2026!A:A,products_2026!B:B,,0,)</f>
        <v>Rose Water Toner</v>
      </c>
      <c r="H117" t="str">
        <f>_xlfn.XLOOKUP(B117,products_2026!A:A,products_2026!E:E,,0,)</f>
        <v>SELL0065</v>
      </c>
      <c r="I117" t="str">
        <f>IFERROR(_xlfn.XLOOKUP(H117,sellers_2026!A:A,sellers_2026!G:G,,0,), "unknown/inactive")</f>
        <v>ACT</v>
      </c>
      <c r="J117" t="str">
        <f>_xlfn.XLOOKUP(H117,sellers_2026!A:A,sellers_2026!B:B,,0,)</f>
        <v>fq9rb8o3qr</v>
      </c>
      <c r="L117" s="10" t="s">
        <v>223</v>
      </c>
      <c r="M117">
        <v>130.26</v>
      </c>
      <c r="O117" s="10" t="s">
        <v>617</v>
      </c>
      <c r="P117">
        <v>3</v>
      </c>
      <c r="R117" s="10" t="s">
        <v>1090</v>
      </c>
      <c r="S117">
        <v>52.53</v>
      </c>
      <c r="U117" s="10" t="s">
        <v>1038</v>
      </c>
      <c r="V117">
        <v>2</v>
      </c>
    </row>
    <row r="118" spans="1:22" ht="14.25" customHeight="1" x14ac:dyDescent="0.3">
      <c r="A118" s="2" t="s">
        <v>2708</v>
      </c>
      <c r="B118" s="2" t="s">
        <v>57</v>
      </c>
      <c r="C118" s="2">
        <v>3</v>
      </c>
      <c r="D118" t="str">
        <f>_xlfn.XLOOKUP(order_items!B118,products_2026!A:A,products_2026!C:C,,0,)</f>
        <v>Outdoor</v>
      </c>
      <c r="E118">
        <f>_xlfn.XLOOKUP(B118,products_2026!A:A,products_2026!D:D,,0,)</f>
        <v>13.71</v>
      </c>
      <c r="F118">
        <f t="shared" si="1"/>
        <v>41.13</v>
      </c>
      <c r="G118" t="str">
        <f>_xlfn.XLOOKUP(B118,products_2026!A:A,products_2026!B:B,,0,)</f>
        <v>BBQ Skewers - 12 pack (Bamboo)</v>
      </c>
      <c r="H118" t="str">
        <f>_xlfn.XLOOKUP(B118,products_2026!A:A,products_2026!E:E,,0,)</f>
        <v>SELL0016</v>
      </c>
      <c r="I118" t="str">
        <f>IFERROR(_xlfn.XLOOKUP(H118,sellers_2026!A:A,sellers_2026!G:G,,0,), "unknown/inactive")</f>
        <v>TAS</v>
      </c>
      <c r="J118" t="str">
        <f>_xlfn.XLOOKUP(H118,sellers_2026!A:A,sellers_2026!B:B,,0,)</f>
        <v>abracadabra_002</v>
      </c>
      <c r="L118" s="10" t="s">
        <v>683</v>
      </c>
      <c r="M118">
        <v>127.1</v>
      </c>
      <c r="O118" s="10" t="s">
        <v>466</v>
      </c>
      <c r="P118">
        <v>3</v>
      </c>
      <c r="R118" s="10" t="s">
        <v>1061</v>
      </c>
      <c r="S118">
        <v>39.99</v>
      </c>
      <c r="U118" s="10" t="s">
        <v>1026</v>
      </c>
      <c r="V118">
        <v>2</v>
      </c>
    </row>
    <row r="119" spans="1:22" ht="14.25" customHeight="1" x14ac:dyDescent="0.3">
      <c r="A119" s="2" t="s">
        <v>2708</v>
      </c>
      <c r="B119" s="2" t="s">
        <v>118</v>
      </c>
      <c r="C119" s="2">
        <v>1</v>
      </c>
      <c r="D119" t="str">
        <f>_xlfn.XLOOKUP(order_items!B119,products_2026!A:A,products_2026!C:C,,0,)</f>
        <v>Clothes</v>
      </c>
      <c r="E119">
        <f>_xlfn.XLOOKUP(B119,products_2026!A:A,products_2026!D:D,,0,)</f>
        <v>54.17</v>
      </c>
      <c r="F119">
        <f t="shared" si="1"/>
        <v>54.17</v>
      </c>
      <c r="G119" t="str">
        <f>_xlfn.XLOOKUP(B119,products_2026!A:A,products_2026!B:B,,0,)</f>
        <v>Unisex Hoodie - Blue XXXL</v>
      </c>
      <c r="H119" t="str">
        <f>_xlfn.XLOOKUP(B119,products_2026!A:A,products_2026!E:E,,0,)</f>
        <v>SELL0023</v>
      </c>
      <c r="I119" t="str">
        <f>IFERROR(_xlfn.XLOOKUP(H119,sellers_2026!A:A,sellers_2026!G:G,,0,), "unknown/inactive")</f>
        <v>VIC</v>
      </c>
      <c r="J119" t="str">
        <f>_xlfn.XLOOKUP(H119,sellers_2026!A:A,sellers_2026!B:B,,0,)</f>
        <v>cleaning_out_my_shed</v>
      </c>
      <c r="L119" s="10" t="s">
        <v>80</v>
      </c>
      <c r="M119">
        <v>126.84</v>
      </c>
      <c r="O119" s="10" t="s">
        <v>833</v>
      </c>
      <c r="P119">
        <v>3</v>
      </c>
      <c r="R119" s="10" t="s">
        <v>1053</v>
      </c>
      <c r="S119">
        <v>38.789999999999992</v>
      </c>
      <c r="U119" s="10" t="s">
        <v>1047</v>
      </c>
      <c r="V119">
        <v>2</v>
      </c>
    </row>
    <row r="120" spans="1:22" ht="14.25" customHeight="1" x14ac:dyDescent="0.3">
      <c r="A120" s="2" t="s">
        <v>2709</v>
      </c>
      <c r="B120" s="2" t="s">
        <v>92</v>
      </c>
      <c r="C120" s="2">
        <v>1</v>
      </c>
      <c r="D120" t="str">
        <f>_xlfn.XLOOKUP(order_items!B120,products_2026!A:A,products_2026!C:C,,0,)</f>
        <v>Outdoor</v>
      </c>
      <c r="E120">
        <f>_xlfn.XLOOKUP(B120,products_2026!A:A,products_2026!D:D,,0,)</f>
        <v>115.39</v>
      </c>
      <c r="F120">
        <f t="shared" si="1"/>
        <v>115.39</v>
      </c>
      <c r="G120" t="str">
        <f>_xlfn.XLOOKUP(B120,products_2026!A:A,products_2026!B:B,,0,)</f>
        <v>Solar Garden Light Set (8 pack)</v>
      </c>
      <c r="H120" t="str">
        <f>_xlfn.XLOOKUP(B120,products_2026!A:A,products_2026!E:E,,0,)</f>
        <v>SELL0021</v>
      </c>
      <c r="I120" t="str">
        <f>IFERROR(_xlfn.XLOOKUP(H120,sellers_2026!A:A,sellers_2026!G:G,,0,), "unknown/inactive")</f>
        <v>VIC</v>
      </c>
      <c r="J120" t="str">
        <f>_xlfn.XLOOKUP(H120,sellers_2026!A:A,sellers_2026!B:B,,0,)</f>
        <v>stuff-on-sale</v>
      </c>
      <c r="L120" s="10" t="s">
        <v>225</v>
      </c>
      <c r="M120">
        <v>126.72</v>
      </c>
      <c r="O120" s="10" t="s">
        <v>536</v>
      </c>
      <c r="P120">
        <v>3</v>
      </c>
      <c r="R120" s="10" t="s">
        <v>1063</v>
      </c>
      <c r="S120">
        <v>30.74</v>
      </c>
      <c r="U120" s="10" t="s">
        <v>1061</v>
      </c>
      <c r="V120">
        <v>1</v>
      </c>
    </row>
    <row r="121" spans="1:22" ht="14.25" customHeight="1" x14ac:dyDescent="0.3">
      <c r="A121" s="2" t="s">
        <v>2709</v>
      </c>
      <c r="B121" s="2" t="s">
        <v>523</v>
      </c>
      <c r="C121" s="2">
        <v>1</v>
      </c>
      <c r="D121" t="str">
        <f>_xlfn.XLOOKUP(order_items!B121,products_2026!A:A,products_2026!C:C,,0,)</f>
        <v>Outdoor</v>
      </c>
      <c r="E121">
        <f>_xlfn.XLOOKUP(B121,products_2026!A:A,products_2026!D:D,,0,)</f>
        <v>26.98</v>
      </c>
      <c r="F121">
        <f t="shared" si="1"/>
        <v>26.98</v>
      </c>
      <c r="G121" t="str">
        <f>_xlfn.XLOOKUP(B121,products_2026!A:A,products_2026!B:B,,0,)</f>
        <v>Stainless Steel BBQ Tools Set</v>
      </c>
      <c r="H121" t="str">
        <f>_xlfn.XLOOKUP(B121,products_2026!A:A,products_2026!E:E,,0,)</f>
        <v>SELL0073</v>
      </c>
      <c r="I121" t="str">
        <f>IFERROR(_xlfn.XLOOKUP(H121,sellers_2026!A:A,sellers_2026!G:G,,0,), "unknown/inactive")</f>
        <v>NSW</v>
      </c>
      <c r="J121" t="str">
        <f>_xlfn.XLOOKUP(H121,sellers_2026!A:A,sellers_2026!B:B,,0,)</f>
        <v>new-south-sales</v>
      </c>
      <c r="L121" s="10" t="s">
        <v>74</v>
      </c>
      <c r="M121">
        <v>119.94999999999999</v>
      </c>
      <c r="O121" s="10" t="s">
        <v>693</v>
      </c>
      <c r="P121">
        <v>3</v>
      </c>
      <c r="R121" s="10" t="s">
        <v>1041</v>
      </c>
      <c r="S121">
        <v>29.09</v>
      </c>
      <c r="U121" s="10" t="s">
        <v>1063</v>
      </c>
      <c r="V121">
        <v>1</v>
      </c>
    </row>
    <row r="122" spans="1:22" ht="14.25" customHeight="1" x14ac:dyDescent="0.3">
      <c r="A122" s="2" t="s">
        <v>2709</v>
      </c>
      <c r="B122" s="2" t="s">
        <v>923</v>
      </c>
      <c r="C122" s="2">
        <v>1</v>
      </c>
      <c r="D122" t="str">
        <f>_xlfn.XLOOKUP(order_items!B122,products_2026!A:A,products_2026!C:C,,0,)</f>
        <v>Outdoor</v>
      </c>
      <c r="E122">
        <f>_xlfn.XLOOKUP(B122,products_2026!A:A,products_2026!D:D,,0,)</f>
        <v>25.41</v>
      </c>
      <c r="F122">
        <f t="shared" si="1"/>
        <v>25.41</v>
      </c>
      <c r="G122" t="str">
        <f>_xlfn.XLOOKUP(B122,products_2026!A:A,products_2026!B:B,,0,)</f>
        <v>Stainless Steel BBQ Tools Set (Navy)</v>
      </c>
      <c r="H122" t="str">
        <f>_xlfn.XLOOKUP(B122,products_2026!A:A,products_2026!E:E,,0,)</f>
        <v>SELL0093</v>
      </c>
      <c r="I122" t="str">
        <f>IFERROR(_xlfn.XLOOKUP(H122,sellers_2026!A:A,sellers_2026!G:G,,0,), "unknown/inactive")</f>
        <v>NT</v>
      </c>
      <c r="J122" t="str">
        <f>_xlfn.XLOOKUP(H122,sellers_2026!A:A,sellers_2026!B:B,,0,)</f>
        <v>millies-outdoor-shop</v>
      </c>
      <c r="L122" s="10" t="s">
        <v>504</v>
      </c>
      <c r="M122">
        <v>119.93999999999998</v>
      </c>
      <c r="O122" s="10" t="s">
        <v>496</v>
      </c>
      <c r="P122">
        <v>3</v>
      </c>
      <c r="R122" s="10" t="s">
        <v>1045</v>
      </c>
      <c r="S122">
        <v>27.42</v>
      </c>
      <c r="U122" s="10" t="s">
        <v>1041</v>
      </c>
      <c r="V122">
        <v>1</v>
      </c>
    </row>
    <row r="123" spans="1:22" ht="14.25" customHeight="1" x14ac:dyDescent="0.3">
      <c r="A123" s="2" t="s">
        <v>2710</v>
      </c>
      <c r="B123" s="2" t="s">
        <v>161</v>
      </c>
      <c r="C123" s="2">
        <v>2</v>
      </c>
      <c r="D123" t="str">
        <f>_xlfn.XLOOKUP(order_items!B123,products_2026!A:A,products_2026!C:C,,0,)</f>
        <v>Home</v>
      </c>
      <c r="E123">
        <f>_xlfn.XLOOKUP(B123,products_2026!A:A,products_2026!D:D,,0,)</f>
        <v>53.38</v>
      </c>
      <c r="F123">
        <f t="shared" si="1"/>
        <v>106.76</v>
      </c>
      <c r="G123" t="str">
        <f>_xlfn.XLOOKUP(B123,products_2026!A:A,products_2026!B:B,,0,)</f>
        <v>Cushion Fringe Red 60 x 40</v>
      </c>
      <c r="H123" t="str">
        <f>_xlfn.XLOOKUP(B123,products_2026!A:A,products_2026!E:E,,0,)</f>
        <v>SELL0033</v>
      </c>
      <c r="I123" t="str">
        <f>IFERROR(_xlfn.XLOOKUP(H123,sellers_2026!A:A,sellers_2026!G:G,,0,), "unknown/inactive")</f>
        <v>NSW</v>
      </c>
      <c r="J123" t="str">
        <f>_xlfn.XLOOKUP(H123,sellers_2026!A:A,sellers_2026!B:B,,0,)</f>
        <v>1bt8plshsf</v>
      </c>
      <c r="L123" s="10" t="s">
        <v>824</v>
      </c>
      <c r="M123">
        <v>119.75</v>
      </c>
      <c r="O123" s="10" t="s">
        <v>570</v>
      </c>
      <c r="P123">
        <v>3</v>
      </c>
      <c r="R123" s="10" t="s">
        <v>1029</v>
      </c>
      <c r="S123">
        <v>24.72</v>
      </c>
      <c r="U123" s="10" t="s">
        <v>1045</v>
      </c>
      <c r="V123">
        <v>1</v>
      </c>
    </row>
    <row r="124" spans="1:22" ht="14.25" customHeight="1" x14ac:dyDescent="0.3">
      <c r="A124" s="2" t="s">
        <v>2710</v>
      </c>
      <c r="B124" s="2" t="s">
        <v>171</v>
      </c>
      <c r="C124" s="2">
        <v>1</v>
      </c>
      <c r="D124" t="str">
        <f>_xlfn.XLOOKUP(order_items!B124,products_2026!A:A,products_2026!C:C,,0,)</f>
        <v>Outdoor</v>
      </c>
      <c r="E124">
        <f>_xlfn.XLOOKUP(B124,products_2026!A:A,products_2026!D:D,,0,)</f>
        <v>21.37</v>
      </c>
      <c r="F124">
        <f t="shared" si="1"/>
        <v>21.37</v>
      </c>
      <c r="G124" t="str">
        <f>_xlfn.XLOOKUP(B124,products_2026!A:A,products_2026!B:B,,0,)</f>
        <v>BBQ Meat Thermometer Battery Powered</v>
      </c>
      <c r="H124" t="str">
        <f>_xlfn.XLOOKUP(B124,products_2026!A:A,products_2026!E:E,,0,)</f>
        <v>SELL0034</v>
      </c>
      <c r="I124" t="str">
        <f>IFERROR(_xlfn.XLOOKUP(H124,sellers_2026!A:A,sellers_2026!G:G,,0,), "unknown/inactive")</f>
        <v>NT</v>
      </c>
      <c r="J124" t="str">
        <f>_xlfn.XLOOKUP(H124,sellers_2026!A:A,sellers_2026!B:B,,0,)</f>
        <v>outer40</v>
      </c>
      <c r="L124" s="10" t="s">
        <v>859</v>
      </c>
      <c r="M124">
        <v>119.22</v>
      </c>
      <c r="O124" s="10" t="s">
        <v>301</v>
      </c>
      <c r="P124">
        <v>3</v>
      </c>
      <c r="R124" s="10" t="s">
        <v>1086</v>
      </c>
      <c r="S124">
        <v>22.23</v>
      </c>
      <c r="U124" s="10" t="s">
        <v>1090</v>
      </c>
      <c r="V124">
        <v>1</v>
      </c>
    </row>
    <row r="125" spans="1:22" ht="14.25" customHeight="1" x14ac:dyDescent="0.3">
      <c r="A125" s="2" t="s">
        <v>2710</v>
      </c>
      <c r="B125" s="2" t="s">
        <v>322</v>
      </c>
      <c r="C125" s="2">
        <v>1</v>
      </c>
      <c r="D125" t="str">
        <f>_xlfn.XLOOKUP(order_items!B125,products_2026!A:A,products_2026!C:C,,0,)</f>
        <v>Outdoor</v>
      </c>
      <c r="E125">
        <f>_xlfn.XLOOKUP(B125,products_2026!A:A,products_2026!D:D,,0,)</f>
        <v>48.81</v>
      </c>
      <c r="F125">
        <f t="shared" si="1"/>
        <v>48.81</v>
      </c>
      <c r="G125" t="str">
        <f>_xlfn.XLOOKUP(B125,products_2026!A:A,products_2026!B:B,,0,)</f>
        <v>Garden Light Sun Powered No Recharge</v>
      </c>
      <c r="H125" t="str">
        <f>_xlfn.XLOOKUP(B125,products_2026!A:A,products_2026!E:E,,0,)</f>
        <v>SELL0048</v>
      </c>
      <c r="I125" t="str">
        <f>IFERROR(_xlfn.XLOOKUP(H125,sellers_2026!A:A,sellers_2026!G:G,,0,), "unknown/inactive")</f>
        <v>VIC</v>
      </c>
      <c r="J125" t="str">
        <f>_xlfn.XLOOKUP(H125,sellers_2026!A:A,sellers_2026!B:B,,0,)</f>
        <v>jy9binq4v9</v>
      </c>
      <c r="L125" s="10" t="s">
        <v>541</v>
      </c>
      <c r="M125">
        <v>118.8</v>
      </c>
      <c r="O125" s="10" t="s">
        <v>765</v>
      </c>
      <c r="P125">
        <v>3</v>
      </c>
      <c r="R125" s="10" t="s">
        <v>1005</v>
      </c>
      <c r="S125">
        <v>16.11</v>
      </c>
      <c r="U125" s="10" t="s">
        <v>1086</v>
      </c>
      <c r="V125">
        <v>1</v>
      </c>
    </row>
    <row r="126" spans="1:22" ht="14.25" customHeight="1" x14ac:dyDescent="0.3">
      <c r="A126" s="2" t="s">
        <v>2710</v>
      </c>
      <c r="B126" s="2" t="s">
        <v>875</v>
      </c>
      <c r="C126" s="2">
        <v>1</v>
      </c>
      <c r="D126" t="str">
        <f>_xlfn.XLOOKUP(order_items!B126,products_2026!A:A,products_2026!C:C,,0,)</f>
        <v>Jewellery</v>
      </c>
      <c r="E126">
        <f>_xlfn.XLOOKUP(B126,products_2026!A:A,products_2026!D:D,,0,)</f>
        <v>41.73</v>
      </c>
      <c r="F126">
        <f t="shared" si="1"/>
        <v>41.73</v>
      </c>
      <c r="G126" t="str">
        <f>_xlfn.XLOOKUP(B126,products_2026!A:A,products_2026!B:B,,0,)</f>
        <v>Gold-plated Hoop Earrings 4mm</v>
      </c>
      <c r="H126" t="str">
        <f>_xlfn.XLOOKUP(B126,products_2026!A:A,products_2026!E:E,,0,)</f>
        <v>SELL0092</v>
      </c>
      <c r="I126" t="str">
        <f>IFERROR(_xlfn.XLOOKUP(H126,sellers_2026!A:A,sellers_2026!G:G,,0,), "unknown/inactive")</f>
        <v>VIC</v>
      </c>
      <c r="J126" t="str">
        <f>_xlfn.XLOOKUP(H126,sellers_2026!A:A,sellers_2026!B:B,,0,)</f>
        <v>dress4beauty</v>
      </c>
      <c r="L126" s="10" t="s">
        <v>203</v>
      </c>
      <c r="M126">
        <v>118.08</v>
      </c>
      <c r="O126" s="10" t="s">
        <v>747</v>
      </c>
      <c r="P126">
        <v>3</v>
      </c>
      <c r="R126" s="10" t="s">
        <v>1071</v>
      </c>
      <c r="S126">
        <v>13.41</v>
      </c>
      <c r="U126" s="10" t="s">
        <v>1079</v>
      </c>
      <c r="V126">
        <v>1</v>
      </c>
    </row>
    <row r="127" spans="1:22" ht="14.25" customHeight="1" x14ac:dyDescent="0.3">
      <c r="A127" s="2" t="s">
        <v>2711</v>
      </c>
      <c r="B127" s="2" t="s">
        <v>114</v>
      </c>
      <c r="C127" s="2">
        <v>2</v>
      </c>
      <c r="D127" t="str">
        <f>_xlfn.XLOOKUP(order_items!B127,products_2026!A:A,products_2026!C:C,,0,)</f>
        <v>Outdoor</v>
      </c>
      <c r="E127">
        <f>_xlfn.XLOOKUP(B127,products_2026!A:A,products_2026!D:D,,0,)</f>
        <v>38.39</v>
      </c>
      <c r="F127">
        <f t="shared" si="1"/>
        <v>76.78</v>
      </c>
      <c r="G127" t="str">
        <f>_xlfn.XLOOKUP(B127,products_2026!A:A,products_2026!B:B,,0,)</f>
        <v>Fairy Lights Outdoor Garden String 100</v>
      </c>
      <c r="H127" t="str">
        <f>_xlfn.XLOOKUP(B127,products_2026!A:A,products_2026!E:E,,0,)</f>
        <v>SELL0023</v>
      </c>
      <c r="I127" t="str">
        <f>IFERROR(_xlfn.XLOOKUP(H127,sellers_2026!A:A,sellers_2026!G:G,,0,), "unknown/inactive")</f>
        <v>VIC</v>
      </c>
      <c r="J127" t="str">
        <f>_xlfn.XLOOKUP(H127,sellers_2026!A:A,sellers_2026!B:B,,0,)</f>
        <v>cleaning_out_my_shed</v>
      </c>
      <c r="L127" s="10" t="s">
        <v>246</v>
      </c>
      <c r="M127">
        <v>116.9</v>
      </c>
      <c r="O127" s="10" t="s">
        <v>558</v>
      </c>
      <c r="P127">
        <v>3</v>
      </c>
      <c r="R127" s="10" t="s">
        <v>1079</v>
      </c>
      <c r="S127">
        <v>10.39</v>
      </c>
      <c r="U127" s="10" t="s">
        <v>1005</v>
      </c>
      <c r="V127">
        <v>1</v>
      </c>
    </row>
    <row r="128" spans="1:22" ht="14.25" customHeight="1" x14ac:dyDescent="0.3">
      <c r="A128" s="2" t="s">
        <v>2712</v>
      </c>
      <c r="B128" s="2" t="s">
        <v>73</v>
      </c>
      <c r="C128" s="2">
        <v>1</v>
      </c>
      <c r="D128" t="str">
        <f>_xlfn.XLOOKUP(order_items!B128,products_2026!A:A,products_2026!C:C,,0,)</f>
        <v>Outdoor</v>
      </c>
      <c r="E128">
        <f>_xlfn.XLOOKUP(B128,products_2026!A:A,products_2026!D:D,,0,)</f>
        <v>23.99</v>
      </c>
      <c r="F128">
        <f t="shared" si="1"/>
        <v>23.99</v>
      </c>
      <c r="G128" t="str">
        <f>_xlfn.XLOOKUP(B128,products_2026!A:A,products_2026!B:B,,0,)</f>
        <v>BBQ Skewers - 24 pack (Bamboo)</v>
      </c>
      <c r="H128" t="str">
        <f>_xlfn.XLOOKUP(B128,products_2026!A:A,products_2026!E:E,,0,)</f>
        <v>SELL0018</v>
      </c>
      <c r="I128" t="str">
        <f>IFERROR(_xlfn.XLOOKUP(H128,sellers_2026!A:A,sellers_2026!G:G,,0,), "unknown/inactive")</f>
        <v>NT</v>
      </c>
      <c r="J128" t="str">
        <f>_xlfn.XLOOKUP(H128,sellers_2026!A:A,sellers_2026!B:B,,0,)</f>
        <v>darwin_beauty</v>
      </c>
      <c r="L128" s="10" t="s">
        <v>761</v>
      </c>
      <c r="M128">
        <v>116.75</v>
      </c>
      <c r="O128" s="10" t="s">
        <v>591</v>
      </c>
      <c r="P128">
        <v>3</v>
      </c>
      <c r="R128" s="10" t="s">
        <v>1092</v>
      </c>
      <c r="U128" s="10" t="s">
        <v>1092</v>
      </c>
    </row>
    <row r="129" spans="1:22" ht="14.25" customHeight="1" x14ac:dyDescent="0.3">
      <c r="A129" s="2" t="s">
        <v>2713</v>
      </c>
      <c r="B129" s="2" t="s">
        <v>827</v>
      </c>
      <c r="C129" s="2">
        <v>1</v>
      </c>
      <c r="D129" t="str">
        <f>_xlfn.XLOOKUP(order_items!B129,products_2026!A:A,products_2026!C:C,,0,)</f>
        <v>Home</v>
      </c>
      <c r="E129">
        <f>_xlfn.XLOOKUP(B129,products_2026!A:A,products_2026!D:D,,0,)</f>
        <v>100.7</v>
      </c>
      <c r="F129">
        <f t="shared" si="1"/>
        <v>100.7</v>
      </c>
      <c r="G129" t="str">
        <f>_xlfn.XLOOKUP(B129,products_2026!A:A,products_2026!B:B,,0,)</f>
        <v>Portable Camping Chair (Yellow)</v>
      </c>
      <c r="H129" t="str">
        <f>_xlfn.XLOOKUP(B129,products_2026!A:A,products_2026!E:E,,0,)</f>
        <v>SELL0027</v>
      </c>
      <c r="I129" t="str">
        <f>IFERROR(_xlfn.XLOOKUP(H129,sellers_2026!A:A,sellers_2026!G:G,,0,), "unknown/inactive")</f>
        <v>QLD</v>
      </c>
      <c r="J129" t="str">
        <f>_xlfn.XLOOKUP(H129,sellers_2026!A:A,sellers_2026!B:B,,0,)</f>
        <v>home458</v>
      </c>
      <c r="L129" s="10" t="s">
        <v>888</v>
      </c>
      <c r="M129">
        <v>116.64999999999999</v>
      </c>
      <c r="O129" s="10" t="s">
        <v>498</v>
      </c>
      <c r="P129">
        <v>3</v>
      </c>
      <c r="R129" s="10" t="s">
        <v>1016</v>
      </c>
      <c r="S129">
        <v>39697.210000000006</v>
      </c>
      <c r="U129" s="10" t="s">
        <v>1016</v>
      </c>
      <c r="V129">
        <v>940</v>
      </c>
    </row>
    <row r="130" spans="1:22" ht="14.25" customHeight="1" x14ac:dyDescent="0.3">
      <c r="A130" s="2" t="s">
        <v>2713</v>
      </c>
      <c r="B130" s="2" t="s">
        <v>960</v>
      </c>
      <c r="C130" s="2">
        <v>1</v>
      </c>
      <c r="D130" t="str">
        <f>_xlfn.XLOOKUP(order_items!B130,products_2026!A:A,products_2026!C:C,,0,)</f>
        <v>Outdoor</v>
      </c>
      <c r="E130">
        <f>_xlfn.XLOOKUP(B130,products_2026!A:A,products_2026!D:D,,0,)</f>
        <v>44.92</v>
      </c>
      <c r="F130">
        <f t="shared" si="1"/>
        <v>44.92</v>
      </c>
      <c r="G130" t="str">
        <f>_xlfn.XLOOKUP(B130,products_2026!A:A,products_2026!B:B,,0,)</f>
        <v>Waterproof Picnic Mat</v>
      </c>
      <c r="H130" t="str">
        <f>_xlfn.XLOOKUP(B130,products_2026!A:A,products_2026!E:E,,0,)</f>
        <v>SELL0094</v>
      </c>
      <c r="I130" t="str">
        <f>IFERROR(_xlfn.XLOOKUP(H130,sellers_2026!A:A,sellers_2026!G:G,,0,), "unknown/inactive")</f>
        <v>WA</v>
      </c>
      <c r="J130" t="str">
        <f>_xlfn.XLOOKUP(H130,sellers_2026!A:A,sellers_2026!B:B,,0,)</f>
        <v>excelinall</v>
      </c>
      <c r="L130" s="10" t="s">
        <v>149</v>
      </c>
      <c r="M130">
        <v>116.46</v>
      </c>
      <c r="O130" s="10" t="s">
        <v>218</v>
      </c>
      <c r="P130">
        <v>3</v>
      </c>
    </row>
    <row r="131" spans="1:22" ht="14.25" customHeight="1" x14ac:dyDescent="0.3">
      <c r="A131" s="2" t="s">
        <v>2714</v>
      </c>
      <c r="B131" s="2" t="s">
        <v>744</v>
      </c>
      <c r="C131" s="2">
        <v>1</v>
      </c>
      <c r="D131" t="str">
        <f>_xlfn.XLOOKUP(order_items!B131,products_2026!A:A,products_2026!C:C,,0,)</f>
        <v>Gift_Sets</v>
      </c>
      <c r="E131">
        <f>_xlfn.XLOOKUP(B131,products_2026!A:A,products_2026!D:D,,0,)</f>
        <v>32.99</v>
      </c>
      <c r="F131">
        <f t="shared" ref="F131:F194" si="2">C131*E131</f>
        <v>32.99</v>
      </c>
      <c r="G131" t="str">
        <f>_xlfn.XLOOKUP(B131,products_2026!A:A,products_2026!B:B,,0,)</f>
        <v>Baby Shower Gift Bundle (Yellow)</v>
      </c>
      <c r="H131" t="str">
        <f>_xlfn.XLOOKUP(B131,products_2026!A:A,products_2026!E:E,,0,)</f>
        <v>SELL0088</v>
      </c>
      <c r="I131" t="str">
        <f>IFERROR(_xlfn.XLOOKUP(H131,sellers_2026!A:A,sellers_2026!G:G,,0,), "unknown/inactive")</f>
        <v>TAS</v>
      </c>
      <c r="J131" t="str">
        <f>_xlfn.XLOOKUP(H131,sellers_2026!A:A,sellers_2026!B:B,,0,)</f>
        <v>7ti9lfa6h5</v>
      </c>
      <c r="L131" s="10" t="s">
        <v>826</v>
      </c>
      <c r="M131">
        <v>115.35</v>
      </c>
      <c r="O131" s="10" t="s">
        <v>513</v>
      </c>
      <c r="P131">
        <v>3</v>
      </c>
    </row>
    <row r="132" spans="1:22" ht="14.25" customHeight="1" x14ac:dyDescent="0.3">
      <c r="A132" s="2" t="s">
        <v>2715</v>
      </c>
      <c r="B132" s="2" t="s">
        <v>105</v>
      </c>
      <c r="C132" s="2">
        <v>2</v>
      </c>
      <c r="D132" t="str">
        <f>_xlfn.XLOOKUP(order_items!B132,products_2026!A:A,products_2026!C:C,,0,)</f>
        <v>Outdoor</v>
      </c>
      <c r="E132">
        <f>_xlfn.XLOOKUP(B132,products_2026!A:A,products_2026!D:D,,0,)</f>
        <v>45.46</v>
      </c>
      <c r="F132">
        <f t="shared" si="2"/>
        <v>90.92</v>
      </c>
      <c r="G132" t="str">
        <f>_xlfn.XLOOKUP(B132,products_2026!A:A,products_2026!B:B,,0,)</f>
        <v>Outdoor Oven Gloves (Pink)</v>
      </c>
      <c r="H132" t="str">
        <f>_xlfn.XLOOKUP(B132,products_2026!A:A,products_2026!E:E,,0,)</f>
        <v>SELL0022</v>
      </c>
      <c r="I132" t="str">
        <f>IFERROR(_xlfn.XLOOKUP(H132,sellers_2026!A:A,sellers_2026!G:G,,0,), "unknown/inactive")</f>
        <v>WA</v>
      </c>
      <c r="J132" t="str">
        <f>_xlfn.XLOOKUP(H132,sellers_2026!A:A,sellers_2026!B:B,,0,)</f>
        <v>g5x9v55sct</v>
      </c>
      <c r="L132" s="10" t="s">
        <v>68</v>
      </c>
      <c r="M132">
        <v>113.99</v>
      </c>
      <c r="O132" s="10" t="s">
        <v>721</v>
      </c>
      <c r="P132">
        <v>3</v>
      </c>
    </row>
    <row r="133" spans="1:22" ht="14.25" customHeight="1" x14ac:dyDescent="0.3">
      <c r="A133" s="2" t="s">
        <v>2716</v>
      </c>
      <c r="B133" s="2" t="s">
        <v>542</v>
      </c>
      <c r="C133" s="2">
        <v>1</v>
      </c>
      <c r="D133" t="str">
        <f>_xlfn.XLOOKUP(order_items!B133,products_2026!A:A,products_2026!C:C,,0,)</f>
        <v>Outdoor</v>
      </c>
      <c r="E133">
        <f>_xlfn.XLOOKUP(B133,products_2026!A:A,products_2026!D:D,,0,)</f>
        <v>75.099999999999994</v>
      </c>
      <c r="F133">
        <f t="shared" si="2"/>
        <v>75.099999999999994</v>
      </c>
      <c r="G133" t="str">
        <f>_xlfn.XLOOKUP(B133,products_2026!A:A,products_2026!B:B,,0,)</f>
        <v>BBQ - Charcoal</v>
      </c>
      <c r="H133" t="str">
        <f>_xlfn.XLOOKUP(B133,products_2026!A:A,products_2026!E:E,,0,)</f>
        <v>SELL0075</v>
      </c>
      <c r="I133" t="str">
        <f>IFERROR(_xlfn.XLOOKUP(H133,sellers_2026!A:A,sellers_2026!G:G,,0,), "unknown/inactive")</f>
        <v>NSW</v>
      </c>
      <c r="J133" t="str">
        <f>_xlfn.XLOOKUP(H133,sellers_2026!A:A,sellers_2026!B:B,,0,)</f>
        <v>nhlay6j49a</v>
      </c>
      <c r="L133" s="10" t="s">
        <v>705</v>
      </c>
      <c r="M133">
        <v>113.45</v>
      </c>
      <c r="O133" s="10" t="s">
        <v>328</v>
      </c>
      <c r="P133">
        <v>3</v>
      </c>
    </row>
    <row r="134" spans="1:22" ht="14.25" customHeight="1" x14ac:dyDescent="0.3">
      <c r="A134" s="2" t="s">
        <v>2716</v>
      </c>
      <c r="B134" s="2" t="s">
        <v>963</v>
      </c>
      <c r="C134" s="2">
        <v>1</v>
      </c>
      <c r="D134" t="str">
        <f>_xlfn.XLOOKUP(order_items!B134,products_2026!A:A,products_2026!C:C,,0,)</f>
        <v>Outdoor</v>
      </c>
      <c r="E134">
        <f>_xlfn.XLOOKUP(B134,products_2026!A:A,products_2026!D:D,,0,)</f>
        <v>20.55</v>
      </c>
      <c r="F134">
        <f t="shared" si="2"/>
        <v>20.55</v>
      </c>
      <c r="G134" t="str">
        <f>_xlfn.XLOOKUP(B134,products_2026!A:A,products_2026!B:B,,0,)</f>
        <v>Stainless Steel Grill Basket</v>
      </c>
      <c r="H134" t="str">
        <f>_xlfn.XLOOKUP(B134,products_2026!A:A,products_2026!E:E,,0,)</f>
        <v>SELL0094</v>
      </c>
      <c r="I134" t="str">
        <f>IFERROR(_xlfn.XLOOKUP(H134,sellers_2026!A:A,sellers_2026!G:G,,0,), "unknown/inactive")</f>
        <v>WA</v>
      </c>
      <c r="J134" t="str">
        <f>_xlfn.XLOOKUP(H134,sellers_2026!A:A,sellers_2026!B:B,,0,)</f>
        <v>excelinall</v>
      </c>
      <c r="L134" s="10" t="s">
        <v>270</v>
      </c>
      <c r="M134">
        <v>113.37</v>
      </c>
      <c r="O134" s="10" t="s">
        <v>203</v>
      </c>
      <c r="P134">
        <v>3</v>
      </c>
    </row>
    <row r="135" spans="1:22" ht="14.25" customHeight="1" x14ac:dyDescent="0.3">
      <c r="A135" s="2" t="s">
        <v>2717</v>
      </c>
      <c r="B135" s="2" t="s">
        <v>963</v>
      </c>
      <c r="C135" s="2">
        <v>1</v>
      </c>
      <c r="D135" t="str">
        <f>_xlfn.XLOOKUP(order_items!B135,products_2026!A:A,products_2026!C:C,,0,)</f>
        <v>Outdoor</v>
      </c>
      <c r="E135">
        <f>_xlfn.XLOOKUP(B135,products_2026!A:A,products_2026!D:D,,0,)</f>
        <v>20.55</v>
      </c>
      <c r="F135">
        <f t="shared" si="2"/>
        <v>20.55</v>
      </c>
      <c r="G135" t="str">
        <f>_xlfn.XLOOKUP(B135,products_2026!A:A,products_2026!B:B,,0,)</f>
        <v>Stainless Steel Grill Basket</v>
      </c>
      <c r="H135" t="str">
        <f>_xlfn.XLOOKUP(B135,products_2026!A:A,products_2026!E:E,,0,)</f>
        <v>SELL0094</v>
      </c>
      <c r="I135" t="str">
        <f>IFERROR(_xlfn.XLOOKUP(H135,sellers_2026!A:A,sellers_2026!G:G,,0,), "unknown/inactive")</f>
        <v>WA</v>
      </c>
      <c r="J135" t="str">
        <f>_xlfn.XLOOKUP(H135,sellers_2026!A:A,sellers_2026!B:B,,0,)</f>
        <v>excelinall</v>
      </c>
      <c r="L135" s="10" t="s">
        <v>589</v>
      </c>
      <c r="M135">
        <v>113.34</v>
      </c>
      <c r="O135" s="10" t="s">
        <v>820</v>
      </c>
      <c r="P135">
        <v>3</v>
      </c>
    </row>
    <row r="136" spans="1:22" ht="14.25" customHeight="1" x14ac:dyDescent="0.3">
      <c r="A136" s="2" t="s">
        <v>2718</v>
      </c>
      <c r="B136" s="2" t="s">
        <v>827</v>
      </c>
      <c r="C136" s="2">
        <v>2</v>
      </c>
      <c r="D136" t="str">
        <f>_xlfn.XLOOKUP(order_items!B136,products_2026!A:A,products_2026!C:C,,0,)</f>
        <v>Home</v>
      </c>
      <c r="E136">
        <f>_xlfn.XLOOKUP(B136,products_2026!A:A,products_2026!D:D,,0,)</f>
        <v>100.7</v>
      </c>
      <c r="F136">
        <f t="shared" si="2"/>
        <v>201.4</v>
      </c>
      <c r="G136" t="str">
        <f>_xlfn.XLOOKUP(B136,products_2026!A:A,products_2026!B:B,,0,)</f>
        <v>Portable Camping Chair (Yellow)</v>
      </c>
      <c r="H136" t="str">
        <f>_xlfn.XLOOKUP(B136,products_2026!A:A,products_2026!E:E,,0,)</f>
        <v>SELL0027</v>
      </c>
      <c r="I136" t="str">
        <f>IFERROR(_xlfn.XLOOKUP(H136,sellers_2026!A:A,sellers_2026!G:G,,0,), "unknown/inactive")</f>
        <v>QLD</v>
      </c>
      <c r="J136" t="str">
        <f>_xlfn.XLOOKUP(H136,sellers_2026!A:A,sellers_2026!B:B,,0,)</f>
        <v>home458</v>
      </c>
      <c r="L136" s="10" t="s">
        <v>117</v>
      </c>
      <c r="M136">
        <v>111.78</v>
      </c>
      <c r="O136" s="10" t="s">
        <v>696</v>
      </c>
      <c r="P136">
        <v>3</v>
      </c>
    </row>
    <row r="137" spans="1:22" ht="14.25" customHeight="1" x14ac:dyDescent="0.3">
      <c r="A137" s="2" t="s">
        <v>2718</v>
      </c>
      <c r="B137" s="2" t="s">
        <v>883</v>
      </c>
      <c r="C137" s="2">
        <v>1</v>
      </c>
      <c r="D137" t="str">
        <f>_xlfn.XLOOKUP(order_items!B137,products_2026!A:A,products_2026!C:C,,0,)</f>
        <v>Outdoor</v>
      </c>
      <c r="E137">
        <f>_xlfn.XLOOKUP(B137,products_2026!A:A,products_2026!D:D,,0,)</f>
        <v>81.02</v>
      </c>
      <c r="F137">
        <f t="shared" si="2"/>
        <v>81.02</v>
      </c>
      <c r="G137" t="str">
        <f>_xlfn.XLOOKUP(B137,products_2026!A:A,products_2026!B:B,,0,)</f>
        <v>BBQ Meat Thermometer Bluetooth</v>
      </c>
      <c r="H137" t="str">
        <f>_xlfn.XLOOKUP(B137,products_2026!A:A,products_2026!E:E,,0,)</f>
        <v>SELL0092</v>
      </c>
      <c r="I137" t="str">
        <f>IFERROR(_xlfn.XLOOKUP(H137,sellers_2026!A:A,sellers_2026!G:G,,0,), "unknown/inactive")</f>
        <v>VIC</v>
      </c>
      <c r="J137" t="str">
        <f>_xlfn.XLOOKUP(H137,sellers_2026!A:A,sellers_2026!B:B,,0,)</f>
        <v>dress4beauty</v>
      </c>
      <c r="L137" s="10" t="s">
        <v>928</v>
      </c>
      <c r="M137">
        <v>109.28</v>
      </c>
      <c r="O137" s="10" t="s">
        <v>800</v>
      </c>
      <c r="P137">
        <v>3</v>
      </c>
    </row>
    <row r="138" spans="1:22" ht="14.25" customHeight="1" x14ac:dyDescent="0.3">
      <c r="A138" s="2" t="s">
        <v>2719</v>
      </c>
      <c r="B138" s="2" t="s">
        <v>112</v>
      </c>
      <c r="C138" s="2">
        <v>1</v>
      </c>
      <c r="D138" t="str">
        <f>_xlfn.XLOOKUP(order_items!B138,products_2026!A:A,products_2026!C:C,,0,)</f>
        <v>Beauty</v>
      </c>
      <c r="E138">
        <f>_xlfn.XLOOKUP(B138,products_2026!A:A,products_2026!D:D,,0,)</f>
        <v>14.11</v>
      </c>
      <c r="F138">
        <f t="shared" si="2"/>
        <v>14.11</v>
      </c>
      <c r="G138" t="str">
        <f>_xlfn.XLOOKUP(B138,products_2026!A:A,products_2026!B:B,,0,)</f>
        <v>Body Lotion - Shea Butter 500ml</v>
      </c>
      <c r="H138" t="str">
        <f>_xlfn.XLOOKUP(B138,products_2026!A:A,products_2026!E:E,,0,)</f>
        <v>SELL0023</v>
      </c>
      <c r="I138" t="str">
        <f>IFERROR(_xlfn.XLOOKUP(H138,sellers_2026!A:A,sellers_2026!G:G,,0,), "unknown/inactive")</f>
        <v>VIC</v>
      </c>
      <c r="J138" t="str">
        <f>_xlfn.XLOOKUP(H138,sellers_2026!A:A,sellers_2026!B:B,,0,)</f>
        <v>cleaning_out_my_shed</v>
      </c>
      <c r="L138" s="10" t="s">
        <v>727</v>
      </c>
      <c r="M138">
        <v>109.05</v>
      </c>
      <c r="O138" s="10" t="s">
        <v>735</v>
      </c>
      <c r="P138">
        <v>3</v>
      </c>
    </row>
    <row r="139" spans="1:22" ht="14.25" customHeight="1" x14ac:dyDescent="0.3">
      <c r="A139" s="2" t="s">
        <v>2719</v>
      </c>
      <c r="B139" s="2" t="s">
        <v>927</v>
      </c>
      <c r="C139" s="2">
        <v>1</v>
      </c>
      <c r="D139" t="str">
        <f>_xlfn.XLOOKUP(order_items!B139,products_2026!A:A,products_2026!C:C,,0,)</f>
        <v>Outdoor</v>
      </c>
      <c r="E139">
        <f>_xlfn.XLOOKUP(B139,products_2026!A:A,products_2026!D:D,,0,)</f>
        <v>27.32</v>
      </c>
      <c r="F139">
        <f t="shared" si="2"/>
        <v>27.32</v>
      </c>
      <c r="G139" t="str">
        <f>_xlfn.XLOOKUP(B139,products_2026!A:A,products_2026!B:B,,0,)</f>
        <v>Stainless Steel BBQ Tools Set (Green)</v>
      </c>
      <c r="H139" t="str">
        <f>_xlfn.XLOOKUP(B139,products_2026!A:A,products_2026!E:E,,0,)</f>
        <v>SELL0093</v>
      </c>
      <c r="I139" t="str">
        <f>IFERROR(_xlfn.XLOOKUP(H139,sellers_2026!A:A,sellers_2026!G:G,,0,), "unknown/inactive")</f>
        <v>NT</v>
      </c>
      <c r="J139" t="str">
        <f>_xlfn.XLOOKUP(H139,sellers_2026!A:A,sellers_2026!B:B,,0,)</f>
        <v>millies-outdoor-shop</v>
      </c>
      <c r="L139" s="10" t="s">
        <v>124</v>
      </c>
      <c r="M139">
        <v>108.34</v>
      </c>
      <c r="O139" s="10" t="s">
        <v>174</v>
      </c>
      <c r="P139">
        <v>3</v>
      </c>
    </row>
    <row r="140" spans="1:22" ht="14.25" customHeight="1" x14ac:dyDescent="0.3">
      <c r="A140" s="2" t="s">
        <v>2720</v>
      </c>
      <c r="B140" s="2" t="s">
        <v>474</v>
      </c>
      <c r="C140" s="2">
        <v>2</v>
      </c>
      <c r="D140" t="str">
        <f>_xlfn.XLOOKUP(order_items!B140,products_2026!A:A,products_2026!C:C,,0,)</f>
        <v>Beauty</v>
      </c>
      <c r="E140">
        <f>_xlfn.XLOOKUP(B140,products_2026!A:A,products_2026!D:D,,0,)</f>
        <v>27.55</v>
      </c>
      <c r="F140">
        <f t="shared" si="2"/>
        <v>55.1</v>
      </c>
      <c r="G140" t="str">
        <f>_xlfn.XLOOKUP(B140,products_2026!A:A,products_2026!B:B,,0,)</f>
        <v>Body Lotion Shea Butter 1L</v>
      </c>
      <c r="H140" t="str">
        <f>_xlfn.XLOOKUP(B140,products_2026!A:A,products_2026!E:E,,0,)</f>
        <v>SELL0067</v>
      </c>
      <c r="I140" t="str">
        <f>IFERROR(_xlfn.XLOOKUP(H140,sellers_2026!A:A,sellers_2026!G:G,,0,), "unknown/inactive")</f>
        <v>WA</v>
      </c>
      <c r="J140" t="str">
        <f>_xlfn.XLOOKUP(H140,sellers_2026!A:A,sellers_2026!B:B,,0,)</f>
        <v>w71bv3mee1</v>
      </c>
      <c r="L140" s="10" t="s">
        <v>119</v>
      </c>
      <c r="M140">
        <v>108.34</v>
      </c>
      <c r="O140" s="10" t="s">
        <v>188</v>
      </c>
      <c r="P140">
        <v>3</v>
      </c>
    </row>
    <row r="141" spans="1:22" ht="14.25" customHeight="1" x14ac:dyDescent="0.3">
      <c r="A141" s="2" t="s">
        <v>2720</v>
      </c>
      <c r="B141" s="2" t="s">
        <v>594</v>
      </c>
      <c r="C141" s="2">
        <v>1</v>
      </c>
      <c r="D141" t="str">
        <f>_xlfn.XLOOKUP(order_items!B141,products_2026!A:A,products_2026!C:C,,0,)</f>
        <v>Outdoor</v>
      </c>
      <c r="E141">
        <f>_xlfn.XLOOKUP(B141,products_2026!A:A,products_2026!D:D,,0,)</f>
        <v>31.66</v>
      </c>
      <c r="F141">
        <f t="shared" si="2"/>
        <v>31.66</v>
      </c>
      <c r="G141" t="str">
        <f>_xlfn.XLOOKUP(B141,products_2026!A:A,products_2026!B:B,,0,)</f>
        <v>Wood Chips - Hickory</v>
      </c>
      <c r="H141" t="str">
        <f>_xlfn.XLOOKUP(B141,products_2026!A:A,products_2026!E:E,,0,)</f>
        <v>SELL0081</v>
      </c>
      <c r="I141" t="str">
        <f>IFERROR(_xlfn.XLOOKUP(H141,sellers_2026!A:A,sellers_2026!G:G,,0,), "unknown/inactive")</f>
        <v>QLD</v>
      </c>
      <c r="J141" t="str">
        <f>_xlfn.XLOOKUP(H141,sellers_2026!A:A,sellers_2026!B:B,,0,)</f>
        <v>brizzy_bonanza_48</v>
      </c>
      <c r="L141" s="10" t="s">
        <v>818</v>
      </c>
      <c r="M141">
        <v>107.11</v>
      </c>
      <c r="O141" s="10" t="s">
        <v>880</v>
      </c>
      <c r="P141">
        <v>3</v>
      </c>
    </row>
    <row r="142" spans="1:22" ht="14.25" customHeight="1" x14ac:dyDescent="0.3">
      <c r="A142" s="2" t="s">
        <v>2720</v>
      </c>
      <c r="B142" s="2" t="s">
        <v>781</v>
      </c>
      <c r="C142" s="2">
        <v>1</v>
      </c>
      <c r="D142" t="str">
        <f>_xlfn.XLOOKUP(order_items!B142,products_2026!A:A,products_2026!C:C,,0,)</f>
        <v>Beauty</v>
      </c>
      <c r="E142">
        <f>_xlfn.XLOOKUP(B142,products_2026!A:A,products_2026!D:D,,0,)</f>
        <v>17.829999999999998</v>
      </c>
      <c r="F142">
        <f t="shared" si="2"/>
        <v>17.829999999999998</v>
      </c>
      <c r="G142" t="str">
        <f>_xlfn.XLOOKUP(B142,products_2026!A:A,products_2026!B:B,,0,)</f>
        <v>Aloe Vera Gel 500ml</v>
      </c>
      <c r="H142" t="str">
        <f>_xlfn.XLOOKUP(B142,products_2026!A:A,products_2026!E:E,,0,)</f>
        <v>SELL0083</v>
      </c>
      <c r="I142" t="str">
        <f>IFERROR(_xlfn.XLOOKUP(H142,sellers_2026!A:A,sellers_2026!G:G,,0,), "unknown/inactive")</f>
        <v>WA</v>
      </c>
      <c r="J142" t="str">
        <f>_xlfn.XLOOKUP(H142,sellers_2026!A:A,sellers_2026!B:B,,0,)</f>
        <v>makeupped</v>
      </c>
      <c r="L142" s="10" t="s">
        <v>274</v>
      </c>
      <c r="M142">
        <v>107</v>
      </c>
      <c r="O142" s="10" t="s">
        <v>551</v>
      </c>
      <c r="P142">
        <v>3</v>
      </c>
    </row>
    <row r="143" spans="1:22" ht="14.25" customHeight="1" x14ac:dyDescent="0.3">
      <c r="A143" s="2" t="s">
        <v>2721</v>
      </c>
      <c r="B143" s="2" t="s">
        <v>60</v>
      </c>
      <c r="C143" s="2">
        <v>1</v>
      </c>
      <c r="D143" t="str">
        <f>_xlfn.XLOOKUP(order_items!B143,products_2026!A:A,products_2026!C:C,,0,)</f>
        <v>Outdoor</v>
      </c>
      <c r="E143">
        <f>_xlfn.XLOOKUP(B143,products_2026!A:A,products_2026!D:D,,0,)</f>
        <v>40.119999999999997</v>
      </c>
      <c r="F143">
        <f t="shared" si="2"/>
        <v>40.119999999999997</v>
      </c>
      <c r="G143" t="str">
        <f>_xlfn.XLOOKUP(B143,products_2026!A:A,products_2026!B:B,,0,)</f>
        <v>Waterproof Picnic Mat 100x100</v>
      </c>
      <c r="H143" t="str">
        <f>_xlfn.XLOOKUP(B143,products_2026!A:A,products_2026!E:E,,0,)</f>
        <v>SELL0016</v>
      </c>
      <c r="I143" t="str">
        <f>IFERROR(_xlfn.XLOOKUP(H143,sellers_2026!A:A,sellers_2026!G:G,,0,), "unknown/inactive")</f>
        <v>TAS</v>
      </c>
      <c r="J143" t="str">
        <f>_xlfn.XLOOKUP(H143,sellers_2026!A:A,sellers_2026!B:B,,0,)</f>
        <v>abracadabra_002</v>
      </c>
      <c r="L143" s="10" t="s">
        <v>162</v>
      </c>
      <c r="M143">
        <v>106.76</v>
      </c>
      <c r="O143" s="10" t="s">
        <v>604</v>
      </c>
      <c r="P143">
        <v>3</v>
      </c>
    </row>
    <row r="144" spans="1:22" ht="14.25" customHeight="1" x14ac:dyDescent="0.3">
      <c r="A144" s="2" t="s">
        <v>2721</v>
      </c>
      <c r="B144" s="2" t="s">
        <v>889</v>
      </c>
      <c r="C144" s="2">
        <v>2</v>
      </c>
      <c r="D144" t="str">
        <f>_xlfn.XLOOKUP(order_items!B144,products_2026!A:A,products_2026!C:C,,0,)</f>
        <v>Outdoor</v>
      </c>
      <c r="E144">
        <f>_xlfn.XLOOKUP(B144,products_2026!A:A,products_2026!D:D,,0,)</f>
        <v>10.07</v>
      </c>
      <c r="F144">
        <f t="shared" si="2"/>
        <v>20.14</v>
      </c>
      <c r="G144" t="str">
        <f>_xlfn.XLOOKUP(B144,products_2026!A:A,products_2026!B:B,,0,)</f>
        <v>Bamboo Picnic Rug Recycled Material</v>
      </c>
      <c r="H144" t="str">
        <f>_xlfn.XLOOKUP(B144,products_2026!A:A,products_2026!E:E,,0,)</f>
        <v>SELL0092</v>
      </c>
      <c r="I144" t="str">
        <f>IFERROR(_xlfn.XLOOKUP(H144,sellers_2026!A:A,sellers_2026!G:G,,0,), "unknown/inactive")</f>
        <v>VIC</v>
      </c>
      <c r="J144" t="str">
        <f>_xlfn.XLOOKUP(H144,sellers_2026!A:A,sellers_2026!B:B,,0,)</f>
        <v>dress4beauty</v>
      </c>
      <c r="L144" s="10" t="s">
        <v>872</v>
      </c>
      <c r="M144">
        <v>106.5</v>
      </c>
      <c r="O144" s="10" t="s">
        <v>254</v>
      </c>
      <c r="P144">
        <v>3</v>
      </c>
    </row>
    <row r="145" spans="1:16" ht="14.25" customHeight="1" x14ac:dyDescent="0.3">
      <c r="A145" s="2" t="s">
        <v>2722</v>
      </c>
      <c r="B145" s="2" t="s">
        <v>57</v>
      </c>
      <c r="C145" s="2">
        <v>1</v>
      </c>
      <c r="D145" t="str">
        <f>_xlfn.XLOOKUP(order_items!B145,products_2026!A:A,products_2026!C:C,,0,)</f>
        <v>Outdoor</v>
      </c>
      <c r="E145">
        <f>_xlfn.XLOOKUP(B145,products_2026!A:A,products_2026!D:D,,0,)</f>
        <v>13.71</v>
      </c>
      <c r="F145">
        <f t="shared" si="2"/>
        <v>13.71</v>
      </c>
      <c r="G145" t="str">
        <f>_xlfn.XLOOKUP(B145,products_2026!A:A,products_2026!B:B,,0,)</f>
        <v>BBQ Skewers - 12 pack (Bamboo)</v>
      </c>
      <c r="H145" t="str">
        <f>_xlfn.XLOOKUP(B145,products_2026!A:A,products_2026!E:E,,0,)</f>
        <v>SELL0016</v>
      </c>
      <c r="I145" t="str">
        <f>IFERROR(_xlfn.XLOOKUP(H145,sellers_2026!A:A,sellers_2026!G:G,,0,), "unknown/inactive")</f>
        <v>TAS</v>
      </c>
      <c r="J145" t="str">
        <f>_xlfn.XLOOKUP(H145,sellers_2026!A:A,sellers_2026!B:B,,0,)</f>
        <v>abracadabra_002</v>
      </c>
      <c r="L145" s="10" t="s">
        <v>285</v>
      </c>
      <c r="M145">
        <v>106.34</v>
      </c>
      <c r="O145" s="10" t="s">
        <v>211</v>
      </c>
      <c r="P145">
        <v>3</v>
      </c>
    </row>
    <row r="146" spans="1:16" ht="14.25" customHeight="1" x14ac:dyDescent="0.3">
      <c r="A146" s="2" t="s">
        <v>2722</v>
      </c>
      <c r="B146" s="2" t="s">
        <v>293</v>
      </c>
      <c r="C146" s="2">
        <v>1</v>
      </c>
      <c r="D146" t="str">
        <f>_xlfn.XLOOKUP(order_items!B146,products_2026!A:A,products_2026!C:C,,0,)</f>
        <v>Beauty</v>
      </c>
      <c r="E146">
        <f>_xlfn.XLOOKUP(B146,products_2026!A:A,products_2026!D:D,,0,)</f>
        <v>9.81</v>
      </c>
      <c r="F146">
        <f t="shared" si="2"/>
        <v>9.81</v>
      </c>
      <c r="G146" t="str">
        <f>_xlfn.XLOOKUP(B146,products_2026!A:A,products_2026!B:B,,0,)</f>
        <v>Scented Candle Rose</v>
      </c>
      <c r="H146" t="str">
        <f>_xlfn.XLOOKUP(B146,products_2026!A:A,products_2026!E:E,,0,)</f>
        <v>SELL0045</v>
      </c>
      <c r="I146" t="str">
        <f>IFERROR(_xlfn.XLOOKUP(H146,sellers_2026!A:A,sellers_2026!G:G,,0,), "unknown/inactive")</f>
        <v>NT</v>
      </c>
      <c r="J146" t="str">
        <f>_xlfn.XLOOKUP(H146,sellers_2026!A:A,sellers_2026!B:B,,0,)</f>
        <v>s22ods7z5m</v>
      </c>
      <c r="L146" s="10" t="s">
        <v>500</v>
      </c>
      <c r="M146">
        <v>104.7</v>
      </c>
      <c r="O146" s="10" t="s">
        <v>938</v>
      </c>
      <c r="P146">
        <v>3</v>
      </c>
    </row>
    <row r="147" spans="1:16" ht="14.25" customHeight="1" x14ac:dyDescent="0.3">
      <c r="A147" s="2" t="s">
        <v>2722</v>
      </c>
      <c r="B147" s="2" t="s">
        <v>695</v>
      </c>
      <c r="C147" s="2">
        <v>1</v>
      </c>
      <c r="D147" t="str">
        <f>_xlfn.XLOOKUP(order_items!B147,products_2026!A:A,products_2026!C:C,,0,)</f>
        <v>Electronics</v>
      </c>
      <c r="E147">
        <f>_xlfn.XLOOKUP(B147,products_2026!A:A,products_2026!D:D,,0,)</f>
        <v>63.84</v>
      </c>
      <c r="F147">
        <f t="shared" si="2"/>
        <v>63.84</v>
      </c>
      <c r="G147" t="str">
        <f>_xlfn.XLOOKUP(B147,products_2026!A:A,products_2026!B:B,,0,)</f>
        <v>Noise Cancelling Headphones (Blue)</v>
      </c>
      <c r="H147" t="str">
        <f>_xlfn.XLOOKUP(B147,products_2026!A:A,products_2026!E:E,,0,)</f>
        <v>SELL0088</v>
      </c>
      <c r="I147" t="str">
        <f>IFERROR(_xlfn.XLOOKUP(H147,sellers_2026!A:A,sellers_2026!G:G,,0,), "unknown/inactive")</f>
        <v>TAS</v>
      </c>
      <c r="J147" t="str">
        <f>_xlfn.XLOOKUP(H147,sellers_2026!A:A,sellers_2026!B:B,,0,)</f>
        <v>7ti9lfa6h5</v>
      </c>
      <c r="L147" s="10" t="s">
        <v>570</v>
      </c>
      <c r="M147">
        <v>103.08</v>
      </c>
      <c r="O147" s="10" t="s">
        <v>55</v>
      </c>
      <c r="P147">
        <v>3</v>
      </c>
    </row>
    <row r="148" spans="1:16" ht="14.25" customHeight="1" x14ac:dyDescent="0.3">
      <c r="A148" s="2" t="s">
        <v>2723</v>
      </c>
      <c r="B148" s="2" t="s">
        <v>103</v>
      </c>
      <c r="C148" s="2">
        <v>1</v>
      </c>
      <c r="D148" t="str">
        <f>_xlfn.XLOOKUP(order_items!B148,products_2026!A:A,products_2026!C:C,,0,)</f>
        <v>Outdoor</v>
      </c>
      <c r="E148">
        <f>_xlfn.XLOOKUP(B148,products_2026!A:A,products_2026!D:D,,0,)</f>
        <v>24.22</v>
      </c>
      <c r="F148">
        <f t="shared" si="2"/>
        <v>24.22</v>
      </c>
      <c r="G148" t="str">
        <f>_xlfn.XLOOKUP(B148,products_2026!A:A,products_2026!B:B,,0,)</f>
        <v>Outdoor Oven Gloves (Red)</v>
      </c>
      <c r="H148" t="str">
        <f>_xlfn.XLOOKUP(B148,products_2026!A:A,products_2026!E:E,,0,)</f>
        <v>SELL0022</v>
      </c>
      <c r="I148" t="str">
        <f>IFERROR(_xlfn.XLOOKUP(H148,sellers_2026!A:A,sellers_2026!G:G,,0,), "unknown/inactive")</f>
        <v>WA</v>
      </c>
      <c r="J148" t="str">
        <f>_xlfn.XLOOKUP(H148,sellers_2026!A:A,sellers_2026!B:B,,0,)</f>
        <v>g5x9v55sct</v>
      </c>
      <c r="L148" s="10" t="s">
        <v>551</v>
      </c>
      <c r="M148">
        <v>102.66</v>
      </c>
      <c r="O148" s="10" t="s">
        <v>934</v>
      </c>
      <c r="P148">
        <v>3</v>
      </c>
    </row>
    <row r="149" spans="1:16" ht="14.25" customHeight="1" x14ac:dyDescent="0.3">
      <c r="A149" s="2" t="s">
        <v>2724</v>
      </c>
      <c r="B149" s="2" t="s">
        <v>546</v>
      </c>
      <c r="C149" s="2">
        <v>1</v>
      </c>
      <c r="D149" t="str">
        <f>_xlfn.XLOOKUP(order_items!B149,products_2026!A:A,products_2026!C:C,,0,)</f>
        <v>Clothes</v>
      </c>
      <c r="E149">
        <f>_xlfn.XLOOKUP(B149,products_2026!A:A,products_2026!D:D,,0,)</f>
        <v>20.75</v>
      </c>
      <c r="F149">
        <f t="shared" si="2"/>
        <v>20.75</v>
      </c>
      <c r="G149" t="str">
        <f>_xlfn.XLOOKUP(B149,products_2026!A:A,products_2026!B:B,,0,)</f>
        <v>Wool Beanie - Navy</v>
      </c>
      <c r="H149" t="str">
        <f>_xlfn.XLOOKUP(B149,products_2026!A:A,products_2026!E:E,,0,)</f>
        <v>SELL0039</v>
      </c>
      <c r="I149" t="str">
        <f>IFERROR(_xlfn.XLOOKUP(H149,sellers_2026!A:A,sellers_2026!G:G,,0,), "unknown/inactive")</f>
        <v>QLD</v>
      </c>
      <c r="J149" t="str">
        <f>_xlfn.XLOOKUP(H149,sellers_2026!A:A,sellers_2026!B:B,,0,)</f>
        <v>zmkizlf6t6</v>
      </c>
      <c r="L149" s="10" t="s">
        <v>721</v>
      </c>
      <c r="M149">
        <v>101.67</v>
      </c>
      <c r="O149" s="10" t="s">
        <v>971</v>
      </c>
      <c r="P149">
        <v>3</v>
      </c>
    </row>
    <row r="150" spans="1:16" ht="14.25" customHeight="1" x14ac:dyDescent="0.3">
      <c r="A150" s="2" t="s">
        <v>2725</v>
      </c>
      <c r="B150" s="2" t="s">
        <v>114</v>
      </c>
      <c r="C150" s="2">
        <v>1</v>
      </c>
      <c r="D150" t="str">
        <f>_xlfn.XLOOKUP(order_items!B150,products_2026!A:A,products_2026!C:C,,0,)</f>
        <v>Outdoor</v>
      </c>
      <c r="E150">
        <f>_xlfn.XLOOKUP(B150,products_2026!A:A,products_2026!D:D,,0,)</f>
        <v>38.39</v>
      </c>
      <c r="F150">
        <f t="shared" si="2"/>
        <v>38.39</v>
      </c>
      <c r="G150" t="str">
        <f>_xlfn.XLOOKUP(B150,products_2026!A:A,products_2026!B:B,,0,)</f>
        <v>Fairy Lights Outdoor Garden String 100</v>
      </c>
      <c r="H150" t="str">
        <f>_xlfn.XLOOKUP(B150,products_2026!A:A,products_2026!E:E,,0,)</f>
        <v>SELL0023</v>
      </c>
      <c r="I150" t="str">
        <f>IFERROR(_xlfn.XLOOKUP(H150,sellers_2026!A:A,sellers_2026!G:G,,0,), "unknown/inactive")</f>
        <v>VIC</v>
      </c>
      <c r="J150" t="str">
        <f>_xlfn.XLOOKUP(H150,sellers_2026!A:A,sellers_2026!B:B,,0,)</f>
        <v>cleaning_out_my_shed</v>
      </c>
      <c r="L150" s="10" t="s">
        <v>397</v>
      </c>
      <c r="M150">
        <v>100.08</v>
      </c>
      <c r="O150" s="10" t="s">
        <v>80</v>
      </c>
      <c r="P150">
        <v>3</v>
      </c>
    </row>
    <row r="151" spans="1:16" ht="14.25" customHeight="1" x14ac:dyDescent="0.3">
      <c r="A151" s="2" t="s">
        <v>2726</v>
      </c>
      <c r="B151" s="2" t="s">
        <v>253</v>
      </c>
      <c r="C151" s="2">
        <v>1</v>
      </c>
      <c r="D151" t="str">
        <f>_xlfn.XLOOKUP(order_items!B151,products_2026!A:A,products_2026!C:C,,0,)</f>
        <v>Outdoor</v>
      </c>
      <c r="E151">
        <f>_xlfn.XLOOKUP(B151,products_2026!A:A,products_2026!D:D,,0,)</f>
        <v>44.42</v>
      </c>
      <c r="F151">
        <f t="shared" si="2"/>
        <v>44.42</v>
      </c>
      <c r="G151" t="str">
        <f>_xlfn.XLOOKUP(B151,products_2026!A:A,products_2026!B:B,,0,)</f>
        <v>OutdoorOven Oven Gloves (Green)</v>
      </c>
      <c r="H151" t="str">
        <f>_xlfn.XLOOKUP(B151,products_2026!A:A,products_2026!E:E,,0,)</f>
        <v>SELL0041</v>
      </c>
      <c r="I151" t="str">
        <f>IFERROR(_xlfn.XLOOKUP(H151,sellers_2026!A:A,sellers_2026!G:G,,0,), "unknown/inactive")</f>
        <v>NT</v>
      </c>
      <c r="J151" t="str">
        <f>_xlfn.XLOOKUP(H151,sellers_2026!A:A,sellers_2026!B:B,,0,)</f>
        <v>wcs62ctlxh</v>
      </c>
      <c r="L151" s="10" t="s">
        <v>190</v>
      </c>
      <c r="M151">
        <v>99.98</v>
      </c>
      <c r="O151" s="10" t="s">
        <v>723</v>
      </c>
      <c r="P151">
        <v>3</v>
      </c>
    </row>
    <row r="152" spans="1:16" ht="14.25" customHeight="1" x14ac:dyDescent="0.3">
      <c r="A152" s="2" t="s">
        <v>2727</v>
      </c>
      <c r="B152" s="2" t="s">
        <v>181</v>
      </c>
      <c r="C152" s="2">
        <v>2</v>
      </c>
      <c r="D152" t="str">
        <f>_xlfn.XLOOKUP(order_items!B152,products_2026!A:A,products_2026!C:C,,0,)</f>
        <v>Outdoor</v>
      </c>
      <c r="E152">
        <f>_xlfn.XLOOKUP(B152,products_2026!A:A,products_2026!D:D,,0,)</f>
        <v>117.79</v>
      </c>
      <c r="F152">
        <f t="shared" si="2"/>
        <v>235.58</v>
      </c>
      <c r="G152" t="str">
        <f>_xlfn.XLOOKUP(B152,products_2026!A:A,products_2026!B:B,,0,)</f>
        <v>Portable Mini Grill</v>
      </c>
      <c r="H152" t="str">
        <f>_xlfn.XLOOKUP(B152,products_2026!A:A,products_2026!E:E,,0,)</f>
        <v>SELL0035</v>
      </c>
      <c r="I152" t="str">
        <f>IFERROR(_xlfn.XLOOKUP(H152,sellers_2026!A:A,sellers_2026!G:G,,0,), "unknown/inactive")</f>
        <v>ACT</v>
      </c>
      <c r="J152" t="str">
        <f>_xlfn.XLOOKUP(H152,sellers_2026!A:A,sellers_2026!B:B,,0,)</f>
        <v>maddie-sells</v>
      </c>
      <c r="L152" s="10" t="s">
        <v>342</v>
      </c>
      <c r="M152">
        <v>98.42</v>
      </c>
      <c r="O152" s="10" t="s">
        <v>872</v>
      </c>
      <c r="P152">
        <v>3</v>
      </c>
    </row>
    <row r="153" spans="1:16" ht="14.25" customHeight="1" x14ac:dyDescent="0.3">
      <c r="A153" s="2" t="s">
        <v>2728</v>
      </c>
      <c r="B153" s="2" t="s">
        <v>51</v>
      </c>
      <c r="C153" s="2">
        <v>1</v>
      </c>
      <c r="D153" t="str">
        <f>_xlfn.XLOOKUP(order_items!B153,products_2026!A:A,products_2026!C:C,,0,)</f>
        <v>Outdoor</v>
      </c>
      <c r="E153">
        <f>_xlfn.XLOOKUP(B153,products_2026!A:A,products_2026!D:D,,0,)</f>
        <v>48.06</v>
      </c>
      <c r="F153">
        <f t="shared" si="2"/>
        <v>48.06</v>
      </c>
      <c r="G153" t="str">
        <f>_xlfn.XLOOKUP(B153,products_2026!A:A,products_2026!B:B,,0,)</f>
        <v>Garden Lights 4 pack Solar Power</v>
      </c>
      <c r="H153" t="str">
        <f>_xlfn.XLOOKUP(B153,products_2026!A:A,products_2026!E:E,,0,)</f>
        <v>SELL0014</v>
      </c>
      <c r="I153" t="str">
        <f>IFERROR(_xlfn.XLOOKUP(H153,sellers_2026!A:A,sellers_2026!G:G,,0,), "unknown/inactive")</f>
        <v>ACT</v>
      </c>
      <c r="J153" t="str">
        <f>_xlfn.XLOOKUP(H153,sellers_2026!A:A,sellers_2026!B:B,,0,)</f>
        <v>gardenandco</v>
      </c>
      <c r="L153" s="10" t="s">
        <v>861</v>
      </c>
      <c r="M153">
        <v>98.26</v>
      </c>
      <c r="O153" s="10" t="s">
        <v>531</v>
      </c>
      <c r="P153">
        <v>3</v>
      </c>
    </row>
    <row r="154" spans="1:16" ht="14.25" customHeight="1" x14ac:dyDescent="0.3">
      <c r="A154" s="2" t="s">
        <v>2729</v>
      </c>
      <c r="B154" s="2" t="s">
        <v>185</v>
      </c>
      <c r="C154" s="2">
        <v>2</v>
      </c>
      <c r="D154" t="str">
        <f>_xlfn.XLOOKUP(order_items!B154,products_2026!A:A,products_2026!C:C,,0,)</f>
        <v>Outdoor</v>
      </c>
      <c r="E154">
        <f>_xlfn.XLOOKUP(B154,products_2026!A:A,products_2026!D:D,,0,)</f>
        <v>36.24</v>
      </c>
      <c r="F154">
        <f t="shared" si="2"/>
        <v>72.48</v>
      </c>
      <c r="G154" t="str">
        <f>_xlfn.XLOOKUP(B154,products_2026!A:A,products_2026!B:B,,0,)</f>
        <v>Bubble Maker Machine (Red)</v>
      </c>
      <c r="H154" t="str">
        <f>_xlfn.XLOOKUP(B154,products_2026!A:A,products_2026!E:E,,0,)</f>
        <v>SELL0035</v>
      </c>
      <c r="I154" t="str">
        <f>IFERROR(_xlfn.XLOOKUP(H154,sellers_2026!A:A,sellers_2026!G:G,,0,), "unknown/inactive")</f>
        <v>ACT</v>
      </c>
      <c r="J154" t="str">
        <f>_xlfn.XLOOKUP(H154,sellers_2026!A:A,sellers_2026!B:B,,0,)</f>
        <v>maddie-sells</v>
      </c>
      <c r="L154" s="10" t="s">
        <v>498</v>
      </c>
      <c r="M154">
        <v>97.32</v>
      </c>
      <c r="O154" s="10" t="s">
        <v>223</v>
      </c>
      <c r="P154">
        <v>3</v>
      </c>
    </row>
    <row r="155" spans="1:16" ht="14.25" customHeight="1" x14ac:dyDescent="0.3">
      <c r="A155" s="2" t="s">
        <v>2730</v>
      </c>
      <c r="B155" s="2" t="s">
        <v>399</v>
      </c>
      <c r="C155" s="2">
        <v>1</v>
      </c>
      <c r="D155" t="str">
        <f>_xlfn.XLOOKUP(order_items!B155,products_2026!A:A,products_2026!C:C,,0,)</f>
        <v>Jewellery</v>
      </c>
      <c r="E155">
        <f>_xlfn.XLOOKUP(B155,products_2026!A:A,products_2026!D:D,,0,)</f>
        <v>31.11</v>
      </c>
      <c r="F155">
        <f t="shared" si="2"/>
        <v>31.11</v>
      </c>
      <c r="G155" t="str">
        <f>_xlfn.XLOOKUP(B155,products_2026!A:A,products_2026!B:B,,0,)</f>
        <v>Pearl Stud Earrings Cluster</v>
      </c>
      <c r="H155" t="str">
        <f>_xlfn.XLOOKUP(B155,products_2026!A:A,products_2026!E:E,,0,)</f>
        <v>SELL0058</v>
      </c>
      <c r="I155" t="str">
        <f>IFERROR(_xlfn.XLOOKUP(H155,sellers_2026!A:A,sellers_2026!G:G,,0,), "unknown/inactive")</f>
        <v>QLD</v>
      </c>
      <c r="J155" t="str">
        <f>_xlfn.XLOOKUP(H155,sellers_2026!A:A,sellers_2026!B:B,,0,)</f>
        <v>au6ynzdcy5</v>
      </c>
      <c r="L155" s="10" t="s">
        <v>857</v>
      </c>
      <c r="M155">
        <v>97.02</v>
      </c>
      <c r="O155" s="10" t="s">
        <v>667</v>
      </c>
      <c r="P155">
        <v>3</v>
      </c>
    </row>
    <row r="156" spans="1:16" ht="14.25" customHeight="1" x14ac:dyDescent="0.3">
      <c r="A156" s="2" t="s">
        <v>2731</v>
      </c>
      <c r="B156" s="2" t="s">
        <v>171</v>
      </c>
      <c r="C156" s="2">
        <v>1</v>
      </c>
      <c r="D156" t="str">
        <f>_xlfn.XLOOKUP(order_items!B156,products_2026!A:A,products_2026!C:C,,0,)</f>
        <v>Outdoor</v>
      </c>
      <c r="E156">
        <f>_xlfn.XLOOKUP(B156,products_2026!A:A,products_2026!D:D,,0,)</f>
        <v>21.37</v>
      </c>
      <c r="F156">
        <f t="shared" si="2"/>
        <v>21.37</v>
      </c>
      <c r="G156" t="str">
        <f>_xlfn.XLOOKUP(B156,products_2026!A:A,products_2026!B:B,,0,)</f>
        <v>BBQ Meat Thermometer Battery Powered</v>
      </c>
      <c r="H156" t="str">
        <f>_xlfn.XLOOKUP(B156,products_2026!A:A,products_2026!E:E,,0,)</f>
        <v>SELL0034</v>
      </c>
      <c r="I156" t="str">
        <f>IFERROR(_xlfn.XLOOKUP(H156,sellers_2026!A:A,sellers_2026!G:G,,0,), "unknown/inactive")</f>
        <v>NT</v>
      </c>
      <c r="J156" t="str">
        <f>_xlfn.XLOOKUP(H156,sellers_2026!A:A,sellers_2026!B:B,,0,)</f>
        <v>outer40</v>
      </c>
      <c r="L156" s="10" t="s">
        <v>723</v>
      </c>
      <c r="M156">
        <v>96.99</v>
      </c>
      <c r="O156" s="10" t="s">
        <v>352</v>
      </c>
      <c r="P156">
        <v>3</v>
      </c>
    </row>
    <row r="157" spans="1:16" ht="14.25" customHeight="1" x14ac:dyDescent="0.3">
      <c r="A157" s="2" t="s">
        <v>2731</v>
      </c>
      <c r="B157" s="2" t="s">
        <v>845</v>
      </c>
      <c r="C157" s="2">
        <v>1</v>
      </c>
      <c r="D157" t="str">
        <f>_xlfn.XLOOKUP(order_items!B157,products_2026!A:A,products_2026!C:C,,0,)</f>
        <v>Home</v>
      </c>
      <c r="E157">
        <f>_xlfn.XLOOKUP(B157,products_2026!A:A,products_2026!D:D,,0,)</f>
        <v>64.709999999999994</v>
      </c>
      <c r="F157">
        <f t="shared" si="2"/>
        <v>64.709999999999994</v>
      </c>
      <c r="G157" t="str">
        <f>_xlfn.XLOOKUP(B157,products_2026!A:A,products_2026!B:B,,0,)</f>
        <v>Weighted Blanket 8kg</v>
      </c>
      <c r="H157" t="str">
        <f>_xlfn.XLOOKUP(B157,products_2026!A:A,products_2026!E:E,,0,)</f>
        <v>SELL0091</v>
      </c>
      <c r="I157" t="str">
        <f>IFERROR(_xlfn.XLOOKUP(H157,sellers_2026!A:A,sellers_2026!G:G,,0,), "unknown/inactive")</f>
        <v>TAS</v>
      </c>
      <c r="J157" t="str">
        <f>_xlfn.XLOOKUP(H157,sellers_2026!A:A,sellers_2026!B:B,,0,)</f>
        <v>beautifullhome</v>
      </c>
      <c r="L157" s="10" t="s">
        <v>747</v>
      </c>
      <c r="M157">
        <v>96.899999999999991</v>
      </c>
      <c r="O157" s="10" t="s">
        <v>20</v>
      </c>
      <c r="P157">
        <v>3</v>
      </c>
    </row>
    <row r="158" spans="1:16" ht="14.25" customHeight="1" x14ac:dyDescent="0.3">
      <c r="A158" s="2" t="s">
        <v>2732</v>
      </c>
      <c r="B158" s="2" t="s">
        <v>692</v>
      </c>
      <c r="C158" s="2">
        <v>1</v>
      </c>
      <c r="D158" t="str">
        <f>_xlfn.XLOOKUP(order_items!B158,products_2026!A:A,products_2026!C:C,,0,)</f>
        <v>Electronics</v>
      </c>
      <c r="E158">
        <f>_xlfn.XLOOKUP(B158,products_2026!A:A,products_2026!D:D,,0,)</f>
        <v>29.36</v>
      </c>
      <c r="F158">
        <f t="shared" si="2"/>
        <v>29.36</v>
      </c>
      <c r="G158" t="str">
        <f>_xlfn.XLOOKUP(B158,products_2026!A:A,products_2026!B:B,,0,)</f>
        <v>Smart Home Hub (Black) 2023</v>
      </c>
      <c r="H158" t="str">
        <f>_xlfn.XLOOKUP(B158,products_2026!A:A,products_2026!E:E,,0,)</f>
        <v>SELL0024</v>
      </c>
      <c r="I158" t="str">
        <f>IFERROR(_xlfn.XLOOKUP(H158,sellers_2026!A:A,sellers_2026!G:G,,0,), "unknown/inactive")</f>
        <v>VIC</v>
      </c>
      <c r="J158" t="str">
        <f>_xlfn.XLOOKUP(H158,sellers_2026!A:A,sellers_2026!B:B,,0,)</f>
        <v>ELEC25B</v>
      </c>
      <c r="L158" s="10" t="s">
        <v>936</v>
      </c>
      <c r="M158">
        <v>96.77</v>
      </c>
      <c r="O158" s="10" t="s">
        <v>167</v>
      </c>
      <c r="P158">
        <v>3</v>
      </c>
    </row>
    <row r="159" spans="1:16" ht="14.25" customHeight="1" x14ac:dyDescent="0.3">
      <c r="A159" s="2" t="s">
        <v>2732</v>
      </c>
      <c r="B159" s="2" t="s">
        <v>695</v>
      </c>
      <c r="C159" s="2">
        <v>1</v>
      </c>
      <c r="D159" t="str">
        <f>_xlfn.XLOOKUP(order_items!B159,products_2026!A:A,products_2026!C:C,,0,)</f>
        <v>Electronics</v>
      </c>
      <c r="E159">
        <f>_xlfn.XLOOKUP(B159,products_2026!A:A,products_2026!D:D,,0,)</f>
        <v>63.84</v>
      </c>
      <c r="F159">
        <f t="shared" si="2"/>
        <v>63.84</v>
      </c>
      <c r="G159" t="str">
        <f>_xlfn.XLOOKUP(B159,products_2026!A:A,products_2026!B:B,,0,)</f>
        <v>Noise Cancelling Headphones (Blue)</v>
      </c>
      <c r="H159" t="str">
        <f>_xlfn.XLOOKUP(B159,products_2026!A:A,products_2026!E:E,,0,)</f>
        <v>SELL0088</v>
      </c>
      <c r="I159" t="str">
        <f>IFERROR(_xlfn.XLOOKUP(H159,sellers_2026!A:A,sellers_2026!G:G,,0,), "unknown/inactive")</f>
        <v>TAS</v>
      </c>
      <c r="J159" t="str">
        <f>_xlfn.XLOOKUP(H159,sellers_2026!A:A,sellers_2026!B:B,,0,)</f>
        <v>7ti9lfa6h5</v>
      </c>
      <c r="L159" s="10" t="s">
        <v>536</v>
      </c>
      <c r="M159">
        <v>96.57</v>
      </c>
      <c r="O159" s="10" t="s">
        <v>904</v>
      </c>
      <c r="P159">
        <v>3</v>
      </c>
    </row>
    <row r="160" spans="1:16" ht="14.25" customHeight="1" x14ac:dyDescent="0.3">
      <c r="A160" s="2" t="s">
        <v>2733</v>
      </c>
      <c r="B160" s="2" t="s">
        <v>126</v>
      </c>
      <c r="C160" s="2">
        <v>1</v>
      </c>
      <c r="D160" t="str">
        <f>_xlfn.XLOOKUP(order_items!B160,products_2026!A:A,products_2026!C:C,,0,)</f>
        <v>Electronics</v>
      </c>
      <c r="E160">
        <f>_xlfn.XLOOKUP(B160,products_2026!A:A,products_2026!D:D,,0,)</f>
        <v>89.8</v>
      </c>
      <c r="F160">
        <f t="shared" si="2"/>
        <v>89.8</v>
      </c>
      <c r="G160" t="str">
        <f>_xlfn.XLOOKUP(B160,products_2026!A:A,products_2026!B:B,,0,)</f>
        <v>Wireless Keyboard (Navy)</v>
      </c>
      <c r="H160" t="str">
        <f>_xlfn.XLOOKUP(B160,products_2026!A:A,products_2026!E:E,,0,)</f>
        <v>SELL0026</v>
      </c>
      <c r="I160" t="str">
        <f>IFERROR(_xlfn.XLOOKUP(H160,sellers_2026!A:A,sellers_2026!G:G,,0,), "unknown/inactive")</f>
        <v>NSW</v>
      </c>
      <c r="J160" t="str">
        <f>_xlfn.XLOOKUP(H160,sellers_2026!A:A,sellers_2026!B:B,,0,)</f>
        <v>buyeverything-1</v>
      </c>
      <c r="L160" s="10" t="s">
        <v>188</v>
      </c>
      <c r="M160">
        <v>94.98</v>
      </c>
      <c r="O160" s="10" t="s">
        <v>816</v>
      </c>
      <c r="P160">
        <v>3</v>
      </c>
    </row>
    <row r="161" spans="1:16" ht="14.25" customHeight="1" x14ac:dyDescent="0.3">
      <c r="A161" s="2" t="s">
        <v>2733</v>
      </c>
      <c r="B161" s="2" t="s">
        <v>145</v>
      </c>
      <c r="C161" s="2">
        <v>1</v>
      </c>
      <c r="D161" t="str">
        <f>_xlfn.XLOOKUP(order_items!B161,products_2026!A:A,products_2026!C:C,,0,)</f>
        <v>Toys</v>
      </c>
      <c r="E161">
        <f>_xlfn.XLOOKUP(B161,products_2026!A:A,products_2026!D:D,,0,)</f>
        <v>30.74</v>
      </c>
      <c r="F161">
        <f t="shared" si="2"/>
        <v>30.74</v>
      </c>
      <c r="G161" t="str">
        <f>_xlfn.XLOOKUP(B161,products_2026!A:A,products_2026!B:B,,0,)</f>
        <v>Plush Giraffe Toy</v>
      </c>
      <c r="H161" t="str">
        <f>_xlfn.XLOOKUP(B161,products_2026!A:A,products_2026!E:E,,0,)</f>
        <v>SELL0030</v>
      </c>
      <c r="I161" t="str">
        <f>IFERROR(_xlfn.XLOOKUP(H161,sellers_2026!A:A,sellers_2026!G:G,,0,), "unknown/inactive")</f>
        <v>NT</v>
      </c>
      <c r="J161" t="str">
        <f>_xlfn.XLOOKUP(H161,sellers_2026!A:A,sellers_2026!B:B,,0,)</f>
        <v>liz1974</v>
      </c>
      <c r="L161" s="10" t="s">
        <v>806</v>
      </c>
      <c r="M161">
        <v>92.5</v>
      </c>
      <c r="O161" s="10" t="s">
        <v>303</v>
      </c>
      <c r="P161">
        <v>3</v>
      </c>
    </row>
    <row r="162" spans="1:16" ht="14.25" customHeight="1" x14ac:dyDescent="0.3">
      <c r="A162" s="2" t="s">
        <v>2734</v>
      </c>
      <c r="B162" s="2" t="s">
        <v>565</v>
      </c>
      <c r="C162" s="2">
        <v>1</v>
      </c>
      <c r="D162" t="str">
        <f>_xlfn.XLOOKUP(order_items!B162,products_2026!A:A,products_2026!C:C,,0,)</f>
        <v>Jewellery</v>
      </c>
      <c r="E162">
        <f>_xlfn.XLOOKUP(B162,products_2026!A:A,products_2026!D:D,,0,)</f>
        <v>16.899999999999999</v>
      </c>
      <c r="F162">
        <f t="shared" si="2"/>
        <v>16.899999999999999</v>
      </c>
      <c r="G162" t="str">
        <f>_xlfn.XLOOKUP(B162,products_2026!A:A,products_2026!B:B,,0,)</f>
        <v>gold Necklace stars</v>
      </c>
      <c r="H162" t="str">
        <f>_xlfn.XLOOKUP(B162,products_2026!A:A,products_2026!E:E,,0,)</f>
        <v>SELL0078</v>
      </c>
      <c r="I162" t="str">
        <f>IFERROR(_xlfn.XLOOKUP(H162,sellers_2026!A:A,sellers_2026!G:G,,0,), "unknown/inactive")</f>
        <v>TAS</v>
      </c>
      <c r="J162" t="str">
        <f>_xlfn.XLOOKUP(H162,sellers_2026!A:A,sellers_2026!B:B,,0,)</f>
        <v>r6vd2aojq8</v>
      </c>
      <c r="L162" s="10" t="s">
        <v>305</v>
      </c>
      <c r="M162">
        <v>92.15</v>
      </c>
      <c r="O162" s="10" t="s">
        <v>205</v>
      </c>
      <c r="P162">
        <v>3</v>
      </c>
    </row>
    <row r="163" spans="1:16" ht="14.25" customHeight="1" x14ac:dyDescent="0.3">
      <c r="A163" s="2" t="s">
        <v>2735</v>
      </c>
      <c r="B163" s="2" t="s">
        <v>501</v>
      </c>
      <c r="C163" s="2">
        <v>1</v>
      </c>
      <c r="D163" t="str">
        <f>_xlfn.XLOOKUP(order_items!B163,products_2026!A:A,products_2026!C:C,,0,)</f>
        <v>Outdoor</v>
      </c>
      <c r="E163">
        <f>_xlfn.XLOOKUP(B163,products_2026!A:A,products_2026!D:D,,0,)</f>
        <v>32.67</v>
      </c>
      <c r="F163">
        <f t="shared" si="2"/>
        <v>32.67</v>
      </c>
      <c r="G163" t="str">
        <f>_xlfn.XLOOKUP(B163,products_2026!A:A,products_2026!B:B,,0,)</f>
        <v>Snorkel Set - Adult Small</v>
      </c>
      <c r="H163" t="str">
        <f>_xlfn.XLOOKUP(B163,products_2026!A:A,products_2026!E:E,,0,)</f>
        <v>SELL0070</v>
      </c>
      <c r="I163" t="str">
        <f>IFERROR(_xlfn.XLOOKUP(H163,sellers_2026!A:A,sellers_2026!G:G,,0,), "unknown/inactive")</f>
        <v>QLD</v>
      </c>
      <c r="J163" t="str">
        <f>_xlfn.XLOOKUP(H163,sellers_2026!A:A,sellers_2026!B:B,,0,)</f>
        <v>homeandaways</v>
      </c>
      <c r="L163" s="10" t="s">
        <v>814</v>
      </c>
      <c r="M163">
        <v>89.76</v>
      </c>
      <c r="O163" s="10" t="s">
        <v>127</v>
      </c>
      <c r="P163">
        <v>3</v>
      </c>
    </row>
    <row r="164" spans="1:16" ht="14.25" customHeight="1" x14ac:dyDescent="0.3">
      <c r="A164" s="2" t="s">
        <v>2735</v>
      </c>
      <c r="B164" s="2" t="s">
        <v>537</v>
      </c>
      <c r="C164" s="2">
        <v>1</v>
      </c>
      <c r="D164" t="str">
        <f>_xlfn.XLOOKUP(order_items!B164,products_2026!A:A,products_2026!C:C,,0,)</f>
        <v>Beauty</v>
      </c>
      <c r="E164">
        <f>_xlfn.XLOOKUP(B164,products_2026!A:A,products_2026!D:D,,0,)</f>
        <v>25</v>
      </c>
      <c r="F164">
        <f t="shared" si="2"/>
        <v>25</v>
      </c>
      <c r="G164" t="str">
        <f>_xlfn.XLOOKUP(B164,products_2026!A:A,products_2026!B:B,,0,)</f>
        <v>Face mask peel-off orange 3 pack</v>
      </c>
      <c r="H164" t="str">
        <f>_xlfn.XLOOKUP(B164,products_2026!A:A,products_2026!E:E,,0,)</f>
        <v>SELL0075</v>
      </c>
      <c r="I164" t="str">
        <f>IFERROR(_xlfn.XLOOKUP(H164,sellers_2026!A:A,sellers_2026!G:G,,0,), "unknown/inactive")</f>
        <v>NSW</v>
      </c>
      <c r="J164" t="str">
        <f>_xlfn.XLOOKUP(H164,sellers_2026!A:A,sellers_2026!B:B,,0,)</f>
        <v>nhlay6j49a</v>
      </c>
      <c r="L164" s="10" t="s">
        <v>389</v>
      </c>
      <c r="M164">
        <v>89.07</v>
      </c>
      <c r="O164" s="10" t="s">
        <v>225</v>
      </c>
      <c r="P164">
        <v>3</v>
      </c>
    </row>
    <row r="165" spans="1:16" ht="14.25" customHeight="1" x14ac:dyDescent="0.3">
      <c r="A165" s="2" t="s">
        <v>2735</v>
      </c>
      <c r="B165" s="2" t="s">
        <v>907</v>
      </c>
      <c r="C165" s="2">
        <v>1</v>
      </c>
      <c r="D165" t="str">
        <f>_xlfn.XLOOKUP(order_items!B165,products_2026!A:A,products_2026!C:C,,0,)</f>
        <v>Outdoor</v>
      </c>
      <c r="E165">
        <f>_xlfn.XLOOKUP(B165,products_2026!A:A,products_2026!D:D,,0,)</f>
        <v>63.89</v>
      </c>
      <c r="F165">
        <f t="shared" si="2"/>
        <v>63.89</v>
      </c>
      <c r="G165" t="str">
        <f>_xlfn.XLOOKUP(B165,products_2026!A:A,products_2026!B:B,,0,)</f>
        <v>Camping Kettle 5L Navy</v>
      </c>
      <c r="H165" t="str">
        <f>_xlfn.XLOOKUP(B165,products_2026!A:A,products_2026!E:E,,0,)</f>
        <v>SELL0093</v>
      </c>
      <c r="I165" t="str">
        <f>IFERROR(_xlfn.XLOOKUP(H165,sellers_2026!A:A,sellers_2026!G:G,,0,), "unknown/inactive")</f>
        <v>NT</v>
      </c>
      <c r="J165" t="str">
        <f>_xlfn.XLOOKUP(H165,sellers_2026!A:A,sellers_2026!B:B,,0,)</f>
        <v>millies-outdoor-shop</v>
      </c>
      <c r="L165" s="10" t="s">
        <v>626</v>
      </c>
      <c r="M165">
        <v>88.77</v>
      </c>
      <c r="O165" s="10" t="s">
        <v>62</v>
      </c>
      <c r="P165">
        <v>3</v>
      </c>
    </row>
    <row r="166" spans="1:16" ht="14.25" customHeight="1" x14ac:dyDescent="0.3">
      <c r="A166" s="2" t="s">
        <v>2736</v>
      </c>
      <c r="B166" s="2" t="s">
        <v>472</v>
      </c>
      <c r="C166" s="2">
        <v>2</v>
      </c>
      <c r="D166" t="str">
        <f>_xlfn.XLOOKUP(order_items!B166,products_2026!A:A,products_2026!C:C,,0,)</f>
        <v>Outdoor</v>
      </c>
      <c r="E166">
        <f>_xlfn.XLOOKUP(B166,products_2026!A:A,products_2026!D:D,,0,)</f>
        <v>72.790000000000006</v>
      </c>
      <c r="F166">
        <f t="shared" si="2"/>
        <v>145.58000000000001</v>
      </c>
      <c r="G166" t="str">
        <f>_xlfn.XLOOKUP(B166,products_2026!A:A,products_2026!B:B,,0,)</f>
        <v>BBQ Cleaning Brush XXL</v>
      </c>
      <c r="H166" t="str">
        <f>_xlfn.XLOOKUP(B166,products_2026!A:A,products_2026!E:E,,0,)</f>
        <v>SELL0067</v>
      </c>
      <c r="I166" t="str">
        <f>IFERROR(_xlfn.XLOOKUP(H166,sellers_2026!A:A,sellers_2026!G:G,,0,), "unknown/inactive")</f>
        <v>WA</v>
      </c>
      <c r="J166" t="str">
        <f>_xlfn.XLOOKUP(H166,sellers_2026!A:A,sellers_2026!B:B,,0,)</f>
        <v>w71bv3mee1</v>
      </c>
      <c r="L166" s="10" t="s">
        <v>693</v>
      </c>
      <c r="M166">
        <v>88.08</v>
      </c>
      <c r="O166" s="10" t="s">
        <v>626</v>
      </c>
      <c r="P166">
        <v>3</v>
      </c>
    </row>
    <row r="167" spans="1:16" ht="14.25" customHeight="1" x14ac:dyDescent="0.3">
      <c r="A167" s="2" t="s">
        <v>2736</v>
      </c>
      <c r="B167" s="2" t="s">
        <v>583</v>
      </c>
      <c r="C167" s="2">
        <v>2</v>
      </c>
      <c r="D167" t="str">
        <f>_xlfn.XLOOKUP(order_items!B167,products_2026!A:A,products_2026!C:C,,0,)</f>
        <v>Stationery</v>
      </c>
      <c r="E167">
        <f>_xlfn.XLOOKUP(B167,products_2026!A:A,products_2026!D:D,,0,)</f>
        <v>6.18</v>
      </c>
      <c r="F167">
        <f t="shared" si="2"/>
        <v>12.36</v>
      </c>
      <c r="G167" t="str">
        <f>_xlfn.XLOOKUP(B167,products_2026!A:A,products_2026!B:B,,0,)</f>
        <v>Highlighter 4pc Yellow</v>
      </c>
      <c r="H167" t="str">
        <f>_xlfn.XLOOKUP(B167,products_2026!A:A,products_2026!E:E,,0,)</f>
        <v>SELL0080</v>
      </c>
      <c r="I167" t="str">
        <f>IFERROR(_xlfn.XLOOKUP(H167,sellers_2026!A:A,sellers_2026!G:G,,0,), "unknown/inactive")</f>
        <v>TAS</v>
      </c>
      <c r="J167" t="str">
        <f>_xlfn.XLOOKUP(H167,sellers_2026!A:A,sellers_2026!B:B,,0,)</f>
        <v>cpghfp370y</v>
      </c>
      <c r="L167" s="10" t="s">
        <v>850</v>
      </c>
      <c r="M167">
        <v>87.56</v>
      </c>
      <c r="O167" s="10" t="s">
        <v>70</v>
      </c>
      <c r="P167">
        <v>3</v>
      </c>
    </row>
    <row r="168" spans="1:16" ht="14.25" customHeight="1" x14ac:dyDescent="0.3">
      <c r="A168" s="2" t="s">
        <v>2737</v>
      </c>
      <c r="B168" s="2" t="s">
        <v>54</v>
      </c>
      <c r="C168" s="2">
        <v>1</v>
      </c>
      <c r="D168" t="str">
        <f>_xlfn.XLOOKUP(order_items!B168,products_2026!A:A,products_2026!C:C,,0,)</f>
        <v>Outdoor</v>
      </c>
      <c r="E168">
        <f>_xlfn.XLOOKUP(B168,products_2026!A:A,products_2026!D:D,,0,)</f>
        <v>73.55</v>
      </c>
      <c r="F168">
        <f t="shared" si="2"/>
        <v>73.55</v>
      </c>
      <c r="G168" t="str">
        <f>_xlfn.XLOOKUP(B168,products_2026!A:A,products_2026!B:B,,0,)</f>
        <v>Stainless Steel Grill Basket XL</v>
      </c>
      <c r="H168" t="str">
        <f>_xlfn.XLOOKUP(B168,products_2026!A:A,products_2026!E:E,,0,)</f>
        <v>SELL0015</v>
      </c>
      <c r="I168" t="str">
        <f>IFERROR(_xlfn.XLOOKUP(H168,sellers_2026!A:A,sellers_2026!G:G,,0,), "unknown/inactive")</f>
        <v>NSW</v>
      </c>
      <c r="J168" t="str">
        <f>_xlfn.XLOOKUP(H168,sellers_2026!A:A,sellers_2026!B:B,,0,)</f>
        <v>outhomelovely</v>
      </c>
      <c r="L168" s="10" t="s">
        <v>798</v>
      </c>
      <c r="M168">
        <v>86.5</v>
      </c>
      <c r="O168" s="10" t="s">
        <v>397</v>
      </c>
      <c r="P168">
        <v>3</v>
      </c>
    </row>
    <row r="169" spans="1:16" ht="14.25" customHeight="1" x14ac:dyDescent="0.3">
      <c r="A169" s="2" t="s">
        <v>2737</v>
      </c>
      <c r="B169" s="2" t="s">
        <v>694</v>
      </c>
      <c r="C169" s="2">
        <v>1</v>
      </c>
      <c r="D169" t="str">
        <f>_xlfn.XLOOKUP(order_items!B169,products_2026!A:A,products_2026!C:C,,0,)</f>
        <v>Electronics</v>
      </c>
      <c r="E169">
        <f>_xlfn.XLOOKUP(B169,products_2026!A:A,products_2026!D:D,,0,)</f>
        <v>92.77</v>
      </c>
      <c r="F169">
        <f t="shared" si="2"/>
        <v>92.77</v>
      </c>
      <c r="G169" t="str">
        <f>_xlfn.XLOOKUP(B169,products_2026!A:A,products_2026!B:B,,0,)</f>
        <v>Smart LED Light Bulb</v>
      </c>
      <c r="H169" t="str">
        <f>_xlfn.XLOOKUP(B169,products_2026!A:A,products_2026!E:E,,0,)</f>
        <v>SELL0087</v>
      </c>
      <c r="I169" t="str">
        <f>IFERROR(_xlfn.XLOOKUP(H169,sellers_2026!A:A,sellers_2026!G:G,,0,), "unknown/inactive")</f>
        <v>TAS</v>
      </c>
      <c r="J169" t="str">
        <f>_xlfn.XLOOKUP(H169,sellers_2026!A:A,sellers_2026!B:B,,0,)</f>
        <v>electrowave</v>
      </c>
      <c r="L169" s="10" t="s">
        <v>312</v>
      </c>
      <c r="M169">
        <v>86.17</v>
      </c>
      <c r="O169" s="10" t="s">
        <v>676</v>
      </c>
      <c r="P169">
        <v>2</v>
      </c>
    </row>
    <row r="170" spans="1:16" ht="14.25" customHeight="1" x14ac:dyDescent="0.3">
      <c r="A170" s="2" t="s">
        <v>2738</v>
      </c>
      <c r="B170" s="2" t="s">
        <v>109</v>
      </c>
      <c r="C170" s="2">
        <v>1</v>
      </c>
      <c r="D170" t="str">
        <f>_xlfn.XLOOKUP(order_items!B170,products_2026!A:A,products_2026!C:C,,0,)</f>
        <v>Beauty</v>
      </c>
      <c r="E170">
        <f>_xlfn.XLOOKUP(B170,products_2026!A:A,products_2026!D:D,,0,)</f>
        <v>25.82</v>
      </c>
      <c r="F170">
        <f t="shared" si="2"/>
        <v>25.82</v>
      </c>
      <c r="G170" t="str">
        <f>_xlfn.XLOOKUP(B170,products_2026!A:A,products_2026!B:B,,0,)</f>
        <v>Body Lotion - Shea Butter 200ml</v>
      </c>
      <c r="H170" t="str">
        <f>_xlfn.XLOOKUP(B170,products_2026!A:A,products_2026!E:E,,0,)</f>
        <v>SELL0023</v>
      </c>
      <c r="I170" t="str">
        <f>IFERROR(_xlfn.XLOOKUP(H170,sellers_2026!A:A,sellers_2026!G:G,,0,), "unknown/inactive")</f>
        <v>VIC</v>
      </c>
      <c r="J170" t="str">
        <f>_xlfn.XLOOKUP(H170,sellers_2026!A:A,sellers_2026!B:B,,0,)</f>
        <v>cleaning_out_my_shed</v>
      </c>
      <c r="L170" s="10" t="s">
        <v>298</v>
      </c>
      <c r="M170">
        <v>84.85</v>
      </c>
      <c r="O170" s="10" t="s">
        <v>124</v>
      </c>
      <c r="P170">
        <v>2</v>
      </c>
    </row>
    <row r="171" spans="1:16" ht="14.25" customHeight="1" x14ac:dyDescent="0.3">
      <c r="A171" s="2" t="s">
        <v>2738</v>
      </c>
      <c r="B171" s="2" t="s">
        <v>879</v>
      </c>
      <c r="C171" s="2">
        <v>1</v>
      </c>
      <c r="D171" t="str">
        <f>_xlfn.XLOOKUP(order_items!B171,products_2026!A:A,products_2026!C:C,,0,)</f>
        <v>Jewellery</v>
      </c>
      <c r="E171">
        <f>_xlfn.XLOOKUP(B171,products_2026!A:A,products_2026!D:D,,0,)</f>
        <v>21.1</v>
      </c>
      <c r="F171">
        <f t="shared" si="2"/>
        <v>21.1</v>
      </c>
      <c r="G171" t="str">
        <f>_xlfn.XLOOKUP(B171,products_2026!A:A,products_2026!B:B,,0,)</f>
        <v>Gold-plated Hoop Earrings Crystal Clip</v>
      </c>
      <c r="H171" t="str">
        <f>_xlfn.XLOOKUP(B171,products_2026!A:A,products_2026!E:E,,0,)</f>
        <v>SELL0092</v>
      </c>
      <c r="I171" t="str">
        <f>IFERROR(_xlfn.XLOOKUP(H171,sellers_2026!A:A,sellers_2026!G:G,,0,), "unknown/inactive")</f>
        <v>VIC</v>
      </c>
      <c r="J171" t="str">
        <f>_xlfn.XLOOKUP(H171,sellers_2026!A:A,sellers_2026!B:B,,0,)</f>
        <v>dress4beauty</v>
      </c>
      <c r="L171" s="10" t="s">
        <v>362</v>
      </c>
      <c r="M171">
        <v>84.22</v>
      </c>
      <c r="O171" s="10" t="s">
        <v>38</v>
      </c>
      <c r="P171">
        <v>2</v>
      </c>
    </row>
    <row r="172" spans="1:16" ht="14.25" customHeight="1" x14ac:dyDescent="0.3">
      <c r="A172" s="2" t="s">
        <v>2739</v>
      </c>
      <c r="B172" s="2" t="s">
        <v>378</v>
      </c>
      <c r="C172" s="2">
        <v>2</v>
      </c>
      <c r="D172" t="str">
        <f>_xlfn.XLOOKUP(order_items!B172,products_2026!A:A,products_2026!C:C,,0,)</f>
        <v>Toys</v>
      </c>
      <c r="E172">
        <f>_xlfn.XLOOKUP(B172,products_2026!A:A,products_2026!D:D,,0,)</f>
        <v>13.7</v>
      </c>
      <c r="F172">
        <f t="shared" si="2"/>
        <v>27.4</v>
      </c>
      <c r="G172" t="str">
        <f>_xlfn.XLOOKUP(B172,products_2026!A:A,products_2026!B:B,,0,)</f>
        <v>Kids Paint Kit (Blue)</v>
      </c>
      <c r="H172" t="str">
        <f>_xlfn.XLOOKUP(B172,products_2026!A:A,products_2026!E:E,,0,)</f>
        <v>SELL0047</v>
      </c>
      <c r="I172" t="str">
        <f>IFERROR(_xlfn.XLOOKUP(H172,sellers_2026!A:A,sellers_2026!G:G,,0,), "unknown/inactive")</f>
        <v>NT</v>
      </c>
      <c r="J172" t="str">
        <f>_xlfn.XLOOKUP(H172,sellers_2026!A:A,sellers_2026!B:B,,0,)</f>
        <v>toymajoy</v>
      </c>
      <c r="L172" s="10" t="s">
        <v>992</v>
      </c>
      <c r="M172">
        <v>84.16</v>
      </c>
      <c r="O172" s="10" t="s">
        <v>892</v>
      </c>
      <c r="P172">
        <v>2</v>
      </c>
    </row>
    <row r="173" spans="1:16" ht="14.25" customHeight="1" x14ac:dyDescent="0.3">
      <c r="A173" s="2" t="s">
        <v>2739</v>
      </c>
      <c r="B173" s="2" t="s">
        <v>692</v>
      </c>
      <c r="C173" s="2">
        <v>1</v>
      </c>
      <c r="D173" t="str">
        <f>_xlfn.XLOOKUP(order_items!B173,products_2026!A:A,products_2026!C:C,,0,)</f>
        <v>Electronics</v>
      </c>
      <c r="E173">
        <f>_xlfn.XLOOKUP(B173,products_2026!A:A,products_2026!D:D,,0,)</f>
        <v>29.36</v>
      </c>
      <c r="F173">
        <f t="shared" si="2"/>
        <v>29.36</v>
      </c>
      <c r="G173" t="str">
        <f>_xlfn.XLOOKUP(B173,products_2026!A:A,products_2026!B:B,,0,)</f>
        <v>Smart Home Hub (Black) 2023</v>
      </c>
      <c r="H173" t="str">
        <f>_xlfn.XLOOKUP(B173,products_2026!A:A,products_2026!E:E,,0,)</f>
        <v>SELL0024</v>
      </c>
      <c r="I173" t="str">
        <f>IFERROR(_xlfn.XLOOKUP(H173,sellers_2026!A:A,sellers_2026!G:G,,0,), "unknown/inactive")</f>
        <v>VIC</v>
      </c>
      <c r="J173" t="str">
        <f>_xlfn.XLOOKUP(H173,sellers_2026!A:A,sellers_2026!B:B,,0,)</f>
        <v>ELEC25B</v>
      </c>
      <c r="L173" s="10" t="s">
        <v>433</v>
      </c>
      <c r="M173">
        <v>83.03</v>
      </c>
      <c r="O173" s="10" t="s">
        <v>990</v>
      </c>
      <c r="P173">
        <v>2</v>
      </c>
    </row>
    <row r="174" spans="1:16" ht="14.25" customHeight="1" x14ac:dyDescent="0.3">
      <c r="A174" s="2" t="s">
        <v>2740</v>
      </c>
      <c r="B174" s="2" t="s">
        <v>923</v>
      </c>
      <c r="C174" s="2">
        <v>1</v>
      </c>
      <c r="D174" t="str">
        <f>_xlfn.XLOOKUP(order_items!B174,products_2026!A:A,products_2026!C:C,,0,)</f>
        <v>Outdoor</v>
      </c>
      <c r="E174">
        <f>_xlfn.XLOOKUP(B174,products_2026!A:A,products_2026!D:D,,0,)</f>
        <v>25.41</v>
      </c>
      <c r="F174">
        <f t="shared" si="2"/>
        <v>25.41</v>
      </c>
      <c r="G174" t="str">
        <f>_xlfn.XLOOKUP(B174,products_2026!A:A,products_2026!B:B,,0,)</f>
        <v>Stainless Steel BBQ Tools Set (Navy)</v>
      </c>
      <c r="H174" t="str">
        <f>_xlfn.XLOOKUP(B174,products_2026!A:A,products_2026!E:E,,0,)</f>
        <v>SELL0093</v>
      </c>
      <c r="I174" t="str">
        <f>IFERROR(_xlfn.XLOOKUP(H174,sellers_2026!A:A,sellers_2026!G:G,,0,), "unknown/inactive")</f>
        <v>NT</v>
      </c>
      <c r="J174" t="str">
        <f>_xlfn.XLOOKUP(H174,sellers_2026!A:A,sellers_2026!B:B,,0,)</f>
        <v>millies-outdoor-shop</v>
      </c>
      <c r="L174" s="10" t="s">
        <v>549</v>
      </c>
      <c r="M174">
        <v>83</v>
      </c>
      <c r="O174" s="10" t="s">
        <v>773</v>
      </c>
      <c r="P174">
        <v>2</v>
      </c>
    </row>
    <row r="175" spans="1:16" ht="14.25" customHeight="1" x14ac:dyDescent="0.3">
      <c r="A175" s="2" t="s">
        <v>2741</v>
      </c>
      <c r="B175" s="2" t="s">
        <v>103</v>
      </c>
      <c r="C175" s="2">
        <v>2</v>
      </c>
      <c r="D175" t="str">
        <f>_xlfn.XLOOKUP(order_items!B175,products_2026!A:A,products_2026!C:C,,0,)</f>
        <v>Outdoor</v>
      </c>
      <c r="E175">
        <f>_xlfn.XLOOKUP(B175,products_2026!A:A,products_2026!D:D,,0,)</f>
        <v>24.22</v>
      </c>
      <c r="F175">
        <f t="shared" si="2"/>
        <v>48.44</v>
      </c>
      <c r="G175" t="str">
        <f>_xlfn.XLOOKUP(B175,products_2026!A:A,products_2026!B:B,,0,)</f>
        <v>Outdoor Oven Gloves (Red)</v>
      </c>
      <c r="H175" t="str">
        <f>_xlfn.XLOOKUP(B175,products_2026!A:A,products_2026!E:E,,0,)</f>
        <v>SELL0022</v>
      </c>
      <c r="I175" t="str">
        <f>IFERROR(_xlfn.XLOOKUP(H175,sellers_2026!A:A,sellers_2026!G:G,,0,), "unknown/inactive")</f>
        <v>WA</v>
      </c>
      <c r="J175" t="str">
        <f>_xlfn.XLOOKUP(H175,sellers_2026!A:A,sellers_2026!B:B,,0,)</f>
        <v>g5x9v55sct</v>
      </c>
      <c r="L175" s="10" t="s">
        <v>475</v>
      </c>
      <c r="M175">
        <v>82.65</v>
      </c>
      <c r="O175" s="10" t="s">
        <v>190</v>
      </c>
      <c r="P175">
        <v>2</v>
      </c>
    </row>
    <row r="176" spans="1:16" ht="14.25" customHeight="1" x14ac:dyDescent="0.3">
      <c r="A176" s="2" t="s">
        <v>2742</v>
      </c>
      <c r="B176" s="2" t="s">
        <v>92</v>
      </c>
      <c r="C176" s="2">
        <v>1</v>
      </c>
      <c r="D176" t="str">
        <f>_xlfn.XLOOKUP(order_items!B176,products_2026!A:A,products_2026!C:C,,0,)</f>
        <v>Outdoor</v>
      </c>
      <c r="E176">
        <f>_xlfn.XLOOKUP(B176,products_2026!A:A,products_2026!D:D,,0,)</f>
        <v>115.39</v>
      </c>
      <c r="F176">
        <f t="shared" si="2"/>
        <v>115.39</v>
      </c>
      <c r="G176" t="str">
        <f>_xlfn.XLOOKUP(B176,products_2026!A:A,products_2026!B:B,,0,)</f>
        <v>Solar Garden Light Set (8 pack)</v>
      </c>
      <c r="H176" t="str">
        <f>_xlfn.XLOOKUP(B176,products_2026!A:A,products_2026!E:E,,0,)</f>
        <v>SELL0021</v>
      </c>
      <c r="I176" t="str">
        <f>IFERROR(_xlfn.XLOOKUP(H176,sellers_2026!A:A,sellers_2026!G:G,,0,), "unknown/inactive")</f>
        <v>VIC</v>
      </c>
      <c r="J176" t="str">
        <f>_xlfn.XLOOKUP(H176,sellers_2026!A:A,sellers_2026!B:B,,0,)</f>
        <v>stuff-on-sale</v>
      </c>
      <c r="L176" s="10" t="s">
        <v>450</v>
      </c>
      <c r="M176">
        <v>81.94</v>
      </c>
      <c r="O176" s="10" t="s">
        <v>771</v>
      </c>
      <c r="P176">
        <v>2</v>
      </c>
    </row>
    <row r="177" spans="1:16" ht="14.25" customHeight="1" x14ac:dyDescent="0.3">
      <c r="A177" s="2" t="s">
        <v>2742</v>
      </c>
      <c r="B177" s="2" t="s">
        <v>853</v>
      </c>
      <c r="C177" s="2">
        <v>1</v>
      </c>
      <c r="D177" t="str">
        <f>_xlfn.XLOOKUP(order_items!B177,products_2026!A:A,products_2026!C:C,,0,)</f>
        <v>Home</v>
      </c>
      <c r="E177">
        <f>_xlfn.XLOOKUP(B177,products_2026!A:A,products_2026!D:D,,0,)</f>
        <v>21.89</v>
      </c>
      <c r="F177">
        <f t="shared" si="2"/>
        <v>21.89</v>
      </c>
      <c r="G177" t="str">
        <f>_xlfn.XLOOKUP(B177,products_2026!A:A,products_2026!B:B,,0,)</f>
        <v>Decorative Cushion - Navy 60 x 60</v>
      </c>
      <c r="H177" t="str">
        <f>_xlfn.XLOOKUP(B177,products_2026!A:A,products_2026!E:E,,0,)</f>
        <v>SELL0091</v>
      </c>
      <c r="I177" t="str">
        <f>IFERROR(_xlfn.XLOOKUP(H177,sellers_2026!A:A,sellers_2026!G:G,,0,), "unknown/inactive")</f>
        <v>TAS</v>
      </c>
      <c r="J177" t="str">
        <f>_xlfn.XLOOKUP(H177,sellers_2026!A:A,sellers_2026!B:B,,0,)</f>
        <v>beautifullhome</v>
      </c>
      <c r="L177" s="10" t="s">
        <v>325</v>
      </c>
      <c r="M177">
        <v>81.239999999999995</v>
      </c>
      <c r="O177" s="10" t="s">
        <v>374</v>
      </c>
      <c r="P177">
        <v>2</v>
      </c>
    </row>
    <row r="178" spans="1:16" ht="14.25" customHeight="1" x14ac:dyDescent="0.3">
      <c r="A178" s="2" t="s">
        <v>2743</v>
      </c>
      <c r="B178" s="2" t="s">
        <v>57</v>
      </c>
      <c r="C178" s="2">
        <v>3</v>
      </c>
      <c r="D178" t="str">
        <f>_xlfn.XLOOKUP(order_items!B178,products_2026!A:A,products_2026!C:C,,0,)</f>
        <v>Outdoor</v>
      </c>
      <c r="E178">
        <f>_xlfn.XLOOKUP(B178,products_2026!A:A,products_2026!D:D,,0,)</f>
        <v>13.71</v>
      </c>
      <c r="F178">
        <f t="shared" si="2"/>
        <v>41.13</v>
      </c>
      <c r="G178" t="str">
        <f>_xlfn.XLOOKUP(B178,products_2026!A:A,products_2026!B:B,,0,)</f>
        <v>BBQ Skewers - 12 pack (Bamboo)</v>
      </c>
      <c r="H178" t="str">
        <f>_xlfn.XLOOKUP(B178,products_2026!A:A,products_2026!E:E,,0,)</f>
        <v>SELL0016</v>
      </c>
      <c r="I178" t="str">
        <f>IFERROR(_xlfn.XLOOKUP(H178,sellers_2026!A:A,sellers_2026!G:G,,0,), "unknown/inactive")</f>
        <v>TAS</v>
      </c>
      <c r="J178" t="str">
        <f>_xlfn.XLOOKUP(H178,sellers_2026!A:A,sellers_2026!B:B,,0,)</f>
        <v>abracadabra_002</v>
      </c>
      <c r="L178" s="10" t="s">
        <v>70</v>
      </c>
      <c r="M178">
        <v>81.150000000000006</v>
      </c>
      <c r="O178" s="10" t="s">
        <v>137</v>
      </c>
      <c r="P178">
        <v>2</v>
      </c>
    </row>
    <row r="179" spans="1:16" ht="14.25" customHeight="1" x14ac:dyDescent="0.3">
      <c r="A179" s="2" t="s">
        <v>2744</v>
      </c>
      <c r="B179" s="2" t="s">
        <v>297</v>
      </c>
      <c r="C179" s="2">
        <v>1</v>
      </c>
      <c r="D179" t="str">
        <f>_xlfn.XLOOKUP(order_items!B179,products_2026!A:A,products_2026!C:C,,0,)</f>
        <v>Home</v>
      </c>
      <c r="E179">
        <f>_xlfn.XLOOKUP(B179,products_2026!A:A,products_2026!D:D,,0,)</f>
        <v>84.85</v>
      </c>
      <c r="F179">
        <f t="shared" si="2"/>
        <v>84.85</v>
      </c>
      <c r="G179" t="str">
        <f>_xlfn.XLOOKUP(B179,products_2026!A:A,products_2026!B:B,,0,)</f>
        <v>Pillowcase Silk Navy Pair</v>
      </c>
      <c r="H179" t="str">
        <f>_xlfn.XLOOKUP(B179,products_2026!A:A,products_2026!E:E,,0,)</f>
        <v>SELL0046</v>
      </c>
      <c r="I179" t="str">
        <f>IFERROR(_xlfn.XLOOKUP(H179,sellers_2026!A:A,sellers_2026!G:G,,0,), "unknown/inactive")</f>
        <v>TAS</v>
      </c>
      <c r="J179" t="str">
        <f>_xlfn.XLOOKUP(H179,sellers_2026!A:A,sellers_2026!B:B,,0,)</f>
        <v>find_what_u_need</v>
      </c>
      <c r="L179" s="10" t="s">
        <v>197</v>
      </c>
      <c r="M179">
        <v>80.28</v>
      </c>
      <c r="O179" s="10" t="s">
        <v>152</v>
      </c>
      <c r="P179">
        <v>2</v>
      </c>
    </row>
    <row r="180" spans="1:16" ht="14.25" customHeight="1" x14ac:dyDescent="0.3">
      <c r="A180" s="2" t="s">
        <v>2744</v>
      </c>
      <c r="B180" s="2" t="s">
        <v>559</v>
      </c>
      <c r="C180" s="2">
        <v>1</v>
      </c>
      <c r="D180" t="str">
        <f>_xlfn.XLOOKUP(order_items!B180,products_2026!A:A,products_2026!C:C,,0,)</f>
        <v>Outdoor</v>
      </c>
      <c r="E180">
        <f>_xlfn.XLOOKUP(B180,products_2026!A:A,products_2026!D:D,,0,)</f>
        <v>51.74</v>
      </c>
      <c r="F180">
        <f t="shared" si="2"/>
        <v>51.74</v>
      </c>
      <c r="G180" t="str">
        <f>_xlfn.XLOOKUP(B180,products_2026!A:A,products_2026!B:B,,0,)</f>
        <v>Garden Ornament Frog</v>
      </c>
      <c r="H180" t="str">
        <f>_xlfn.XLOOKUP(B180,products_2026!A:A,products_2026!E:E,,0,)</f>
        <v>SELL0077</v>
      </c>
      <c r="I180" t="str">
        <f>IFERROR(_xlfn.XLOOKUP(H180,sellers_2026!A:A,sellers_2026!G:G,,0,), "unknown/inactive")</f>
        <v>ACT</v>
      </c>
      <c r="J180" t="str">
        <f>_xlfn.XLOOKUP(H180,sellers_2026!A:A,sellers_2026!B:B,,0,)</f>
        <v>doorsyout</v>
      </c>
      <c r="L180" s="10" t="s">
        <v>878</v>
      </c>
      <c r="M180">
        <v>78.08</v>
      </c>
      <c r="O180" s="10" t="s">
        <v>469</v>
      </c>
      <c r="P180">
        <v>2</v>
      </c>
    </row>
    <row r="181" spans="1:16" ht="14.25" customHeight="1" x14ac:dyDescent="0.3">
      <c r="A181" s="2" t="s">
        <v>2745</v>
      </c>
      <c r="B181" s="2" t="s">
        <v>233</v>
      </c>
      <c r="C181" s="2">
        <v>1</v>
      </c>
      <c r="D181" t="str">
        <f>_xlfn.XLOOKUP(order_items!B181,products_2026!A:A,products_2026!C:C,,0,)</f>
        <v>Outdoor</v>
      </c>
      <c r="E181">
        <f>_xlfn.XLOOKUP(B181,products_2026!A:A,products_2026!D:D,,0,)</f>
        <v>40.83</v>
      </c>
      <c r="F181">
        <f t="shared" si="2"/>
        <v>40.83</v>
      </c>
      <c r="G181" t="str">
        <f>_xlfn.XLOOKUP(B181,products_2026!A:A,products_2026!B:B,,0,)</f>
        <v>BBQ Cleaning Fluid</v>
      </c>
      <c r="H181" t="str">
        <f>_xlfn.XLOOKUP(B181,products_2026!A:A,products_2026!E:E,,0,)</f>
        <v>SELL0040</v>
      </c>
      <c r="I181" t="str">
        <f>IFERROR(_xlfn.XLOOKUP(H181,sellers_2026!A:A,sellers_2026!G:G,,0,), "unknown/inactive")</f>
        <v>TAS</v>
      </c>
      <c r="J181" t="str">
        <f>_xlfn.XLOOKUP(H181,sellers_2026!A:A,sellers_2026!B:B,,0,)</f>
        <v>cheapandgood27</v>
      </c>
      <c r="L181" s="10" t="s">
        <v>767</v>
      </c>
      <c r="M181">
        <v>77.97</v>
      </c>
      <c r="O181" s="10" t="s">
        <v>408</v>
      </c>
      <c r="P181">
        <v>2</v>
      </c>
    </row>
    <row r="182" spans="1:16" ht="14.25" customHeight="1" x14ac:dyDescent="0.3">
      <c r="A182" s="2" t="s">
        <v>2745</v>
      </c>
      <c r="B182" s="2" t="s">
        <v>327</v>
      </c>
      <c r="C182" s="2">
        <v>1</v>
      </c>
      <c r="D182" t="str">
        <f>_xlfn.XLOOKUP(order_items!B182,products_2026!A:A,products_2026!C:C,,0,)</f>
        <v>Stationery</v>
      </c>
      <c r="E182">
        <f>_xlfn.XLOOKUP(B182,products_2026!A:A,products_2026!D:D,,0,)</f>
        <v>7.57</v>
      </c>
      <c r="F182">
        <f t="shared" si="2"/>
        <v>7.57</v>
      </c>
      <c r="G182" t="str">
        <f>_xlfn.XLOOKUP(B182,products_2026!A:A,products_2026!B:B,,0,)</f>
        <v>Whiteoard Markers - 3 pack</v>
      </c>
      <c r="H182" t="str">
        <f>_xlfn.XLOOKUP(B182,products_2026!A:A,products_2026!E:E,,0,)</f>
        <v>SELL0049</v>
      </c>
      <c r="I182" t="str">
        <f>IFERROR(_xlfn.XLOOKUP(H182,sellers_2026!A:A,sellers_2026!G:G,,0,), "unknown/inactive")</f>
        <v>VIC</v>
      </c>
      <c r="J182" t="str">
        <f>_xlfn.XLOOKUP(H182,sellers_2026!A:A,sellers_2026!B:B,,0,)</f>
        <v>beautifullife472</v>
      </c>
      <c r="L182" s="10" t="s">
        <v>479</v>
      </c>
      <c r="M182">
        <v>77.12</v>
      </c>
      <c r="O182" s="10" t="s">
        <v>749</v>
      </c>
      <c r="P182">
        <v>2</v>
      </c>
    </row>
    <row r="183" spans="1:16" ht="14.25" customHeight="1" x14ac:dyDescent="0.3">
      <c r="A183" s="2" t="s">
        <v>2746</v>
      </c>
      <c r="B183" s="2" t="s">
        <v>103</v>
      </c>
      <c r="C183" s="2">
        <v>1</v>
      </c>
      <c r="D183" t="str">
        <f>_xlfn.XLOOKUP(order_items!B183,products_2026!A:A,products_2026!C:C,,0,)</f>
        <v>Outdoor</v>
      </c>
      <c r="E183">
        <f>_xlfn.XLOOKUP(B183,products_2026!A:A,products_2026!D:D,,0,)</f>
        <v>24.22</v>
      </c>
      <c r="F183">
        <f t="shared" si="2"/>
        <v>24.22</v>
      </c>
      <c r="G183" t="str">
        <f>_xlfn.XLOOKUP(B183,products_2026!A:A,products_2026!B:B,,0,)</f>
        <v>Outdoor Oven Gloves (Red)</v>
      </c>
      <c r="H183" t="str">
        <f>_xlfn.XLOOKUP(B183,products_2026!A:A,products_2026!E:E,,0,)</f>
        <v>SELL0022</v>
      </c>
      <c r="I183" t="str">
        <f>IFERROR(_xlfn.XLOOKUP(H183,sellers_2026!A:A,sellers_2026!G:G,,0,), "unknown/inactive")</f>
        <v>WA</v>
      </c>
      <c r="J183" t="str">
        <f>_xlfn.XLOOKUP(H183,sellers_2026!A:A,sellers_2026!B:B,,0,)</f>
        <v>g5x9v55sct</v>
      </c>
      <c r="L183" s="10" t="s">
        <v>32</v>
      </c>
      <c r="M183">
        <v>76.5</v>
      </c>
      <c r="O183" s="10" t="s">
        <v>165</v>
      </c>
      <c r="P183">
        <v>2</v>
      </c>
    </row>
    <row r="184" spans="1:16" ht="14.25" customHeight="1" x14ac:dyDescent="0.3">
      <c r="A184" s="2" t="s">
        <v>2746</v>
      </c>
      <c r="B184" s="2" t="s">
        <v>963</v>
      </c>
      <c r="C184" s="2">
        <v>2</v>
      </c>
      <c r="D184" t="str">
        <f>_xlfn.XLOOKUP(order_items!B184,products_2026!A:A,products_2026!C:C,,0,)</f>
        <v>Outdoor</v>
      </c>
      <c r="E184">
        <f>_xlfn.XLOOKUP(B184,products_2026!A:A,products_2026!D:D,,0,)</f>
        <v>20.55</v>
      </c>
      <c r="F184">
        <f t="shared" si="2"/>
        <v>41.1</v>
      </c>
      <c r="G184" t="str">
        <f>_xlfn.XLOOKUP(B184,products_2026!A:A,products_2026!B:B,,0,)</f>
        <v>Stainless Steel Grill Basket</v>
      </c>
      <c r="H184" t="str">
        <f>_xlfn.XLOOKUP(B184,products_2026!A:A,products_2026!E:E,,0,)</f>
        <v>SELL0094</v>
      </c>
      <c r="I184" t="str">
        <f>IFERROR(_xlfn.XLOOKUP(H184,sellers_2026!A:A,sellers_2026!G:G,,0,), "unknown/inactive")</f>
        <v>WA</v>
      </c>
      <c r="J184" t="str">
        <f>_xlfn.XLOOKUP(H184,sellers_2026!A:A,sellers_2026!B:B,,0,)</f>
        <v>excelinall</v>
      </c>
      <c r="L184" s="10" t="s">
        <v>371</v>
      </c>
      <c r="M184">
        <v>75.98</v>
      </c>
      <c r="O184" s="10" t="s">
        <v>274</v>
      </c>
      <c r="P184">
        <v>2</v>
      </c>
    </row>
    <row r="185" spans="1:16" ht="14.25" customHeight="1" x14ac:dyDescent="0.3">
      <c r="A185" s="2" t="s">
        <v>2747</v>
      </c>
      <c r="B185" s="2" t="s">
        <v>60</v>
      </c>
      <c r="C185" s="2">
        <v>1</v>
      </c>
      <c r="D185" t="str">
        <f>_xlfn.XLOOKUP(order_items!B185,products_2026!A:A,products_2026!C:C,,0,)</f>
        <v>Outdoor</v>
      </c>
      <c r="E185">
        <f>_xlfn.XLOOKUP(B185,products_2026!A:A,products_2026!D:D,,0,)</f>
        <v>40.119999999999997</v>
      </c>
      <c r="F185">
        <f t="shared" si="2"/>
        <v>40.119999999999997</v>
      </c>
      <c r="G185" t="str">
        <f>_xlfn.XLOOKUP(B185,products_2026!A:A,products_2026!B:B,,0,)</f>
        <v>Waterproof Picnic Mat 100x100</v>
      </c>
      <c r="H185" t="str">
        <f>_xlfn.XLOOKUP(B185,products_2026!A:A,products_2026!E:E,,0,)</f>
        <v>SELL0016</v>
      </c>
      <c r="I185" t="str">
        <f>IFERROR(_xlfn.XLOOKUP(H185,sellers_2026!A:A,sellers_2026!G:G,,0,), "unknown/inactive")</f>
        <v>TAS</v>
      </c>
      <c r="J185" t="str">
        <f>_xlfn.XLOOKUP(H185,sellers_2026!A:A,sellers_2026!B:B,,0,)</f>
        <v>abracadabra_002</v>
      </c>
      <c r="L185" s="10" t="s">
        <v>461</v>
      </c>
      <c r="M185">
        <v>75.8</v>
      </c>
      <c r="O185" s="10" t="s">
        <v>946</v>
      </c>
      <c r="P185">
        <v>2</v>
      </c>
    </row>
    <row r="186" spans="1:16" ht="14.25" customHeight="1" x14ac:dyDescent="0.3">
      <c r="A186" s="2" t="s">
        <v>2747</v>
      </c>
      <c r="B186" s="2" t="s">
        <v>889</v>
      </c>
      <c r="C186" s="2">
        <v>1</v>
      </c>
      <c r="D186" t="str">
        <f>_xlfn.XLOOKUP(order_items!B186,products_2026!A:A,products_2026!C:C,,0,)</f>
        <v>Outdoor</v>
      </c>
      <c r="E186">
        <f>_xlfn.XLOOKUP(B186,products_2026!A:A,products_2026!D:D,,0,)</f>
        <v>10.07</v>
      </c>
      <c r="F186">
        <f t="shared" si="2"/>
        <v>10.07</v>
      </c>
      <c r="G186" t="str">
        <f>_xlfn.XLOOKUP(B186,products_2026!A:A,products_2026!B:B,,0,)</f>
        <v>Bamboo Picnic Rug Recycled Material</v>
      </c>
      <c r="H186" t="str">
        <f>_xlfn.XLOOKUP(B186,products_2026!A:A,products_2026!E:E,,0,)</f>
        <v>SELL0092</v>
      </c>
      <c r="I186" t="str">
        <f>IFERROR(_xlfn.XLOOKUP(H186,sellers_2026!A:A,sellers_2026!G:G,,0,), "unknown/inactive")</f>
        <v>VIC</v>
      </c>
      <c r="J186" t="str">
        <f>_xlfn.XLOOKUP(H186,sellers_2026!A:A,sellers_2026!B:B,,0,)</f>
        <v>dress4beauty</v>
      </c>
      <c r="L186" s="10" t="s">
        <v>870</v>
      </c>
      <c r="M186">
        <v>75.52</v>
      </c>
      <c r="O186" s="10" t="s">
        <v>461</v>
      </c>
      <c r="P186">
        <v>2</v>
      </c>
    </row>
    <row r="187" spans="1:16" ht="14.25" customHeight="1" x14ac:dyDescent="0.3">
      <c r="A187" s="2" t="s">
        <v>2748</v>
      </c>
      <c r="B187" s="2" t="s">
        <v>889</v>
      </c>
      <c r="C187" s="2">
        <v>1</v>
      </c>
      <c r="D187" t="str">
        <f>_xlfn.XLOOKUP(order_items!B187,products_2026!A:A,products_2026!C:C,,0,)</f>
        <v>Outdoor</v>
      </c>
      <c r="E187">
        <f>_xlfn.XLOOKUP(B187,products_2026!A:A,products_2026!D:D,,0,)</f>
        <v>10.07</v>
      </c>
      <c r="F187">
        <f t="shared" si="2"/>
        <v>10.07</v>
      </c>
      <c r="G187" t="str">
        <f>_xlfn.XLOOKUP(B187,products_2026!A:A,products_2026!B:B,,0,)</f>
        <v>Bamboo Picnic Rug Recycled Material</v>
      </c>
      <c r="H187" t="str">
        <f>_xlfn.XLOOKUP(B187,products_2026!A:A,products_2026!E:E,,0,)</f>
        <v>SELL0092</v>
      </c>
      <c r="I187" t="str">
        <f>IFERROR(_xlfn.XLOOKUP(H187,sellers_2026!A:A,sellers_2026!G:G,,0,), "unknown/inactive")</f>
        <v>VIC</v>
      </c>
      <c r="J187" t="str">
        <f>_xlfn.XLOOKUP(H187,sellers_2026!A:A,sellers_2026!B:B,,0,)</f>
        <v>dress4beauty</v>
      </c>
      <c r="L187" s="10" t="s">
        <v>763</v>
      </c>
      <c r="M187">
        <v>75.400000000000006</v>
      </c>
      <c r="O187" s="10" t="s">
        <v>438</v>
      </c>
      <c r="P187">
        <v>2</v>
      </c>
    </row>
    <row r="188" spans="1:16" ht="14.25" customHeight="1" x14ac:dyDescent="0.3">
      <c r="A188" s="2" t="s">
        <v>2748</v>
      </c>
      <c r="B188" s="2" t="s">
        <v>907</v>
      </c>
      <c r="C188" s="2">
        <v>1</v>
      </c>
      <c r="D188" t="str">
        <f>_xlfn.XLOOKUP(order_items!B188,products_2026!A:A,products_2026!C:C,,0,)</f>
        <v>Outdoor</v>
      </c>
      <c r="E188">
        <f>_xlfn.XLOOKUP(B188,products_2026!A:A,products_2026!D:D,,0,)</f>
        <v>63.89</v>
      </c>
      <c r="F188">
        <f t="shared" si="2"/>
        <v>63.89</v>
      </c>
      <c r="G188" t="str">
        <f>_xlfn.XLOOKUP(B188,products_2026!A:A,products_2026!B:B,,0,)</f>
        <v>Camping Kettle 5L Navy</v>
      </c>
      <c r="H188" t="str">
        <f>_xlfn.XLOOKUP(B188,products_2026!A:A,products_2026!E:E,,0,)</f>
        <v>SELL0093</v>
      </c>
      <c r="I188" t="str">
        <f>IFERROR(_xlfn.XLOOKUP(H188,sellers_2026!A:A,sellers_2026!G:G,,0,), "unknown/inactive")</f>
        <v>NT</v>
      </c>
      <c r="J188" t="str">
        <f>_xlfn.XLOOKUP(H188,sellers_2026!A:A,sellers_2026!B:B,,0,)</f>
        <v>millies-outdoor-shop</v>
      </c>
      <c r="L188" s="10" t="s">
        <v>34</v>
      </c>
      <c r="M188">
        <v>74.8</v>
      </c>
      <c r="O188" s="10" t="s">
        <v>870</v>
      </c>
      <c r="P188">
        <v>2</v>
      </c>
    </row>
    <row r="189" spans="1:16" ht="14.25" customHeight="1" x14ac:dyDescent="0.3">
      <c r="A189" s="2" t="s">
        <v>2749</v>
      </c>
      <c r="B189" s="2" t="s">
        <v>64</v>
      </c>
      <c r="C189" s="2">
        <v>2</v>
      </c>
      <c r="D189" t="str">
        <f>_xlfn.XLOOKUP(order_items!B189,products_2026!A:A,products_2026!C:C,,0,)</f>
        <v>Outdoor</v>
      </c>
      <c r="E189">
        <f>_xlfn.XLOOKUP(B189,products_2026!A:A,products_2026!D:D,,0,)</f>
        <v>15.05</v>
      </c>
      <c r="F189">
        <f t="shared" si="2"/>
        <v>30.1</v>
      </c>
      <c r="G189" t="str">
        <f>_xlfn.XLOOKUP(B189,products_2026!A:A,products_2026!B:B,,0,)</f>
        <v>BBQ Skewers - 12 pack (Stainless Steel)</v>
      </c>
      <c r="H189" t="str">
        <f>_xlfn.XLOOKUP(B189,products_2026!A:A,products_2026!E:E,,0,)</f>
        <v>SELL0009</v>
      </c>
      <c r="I189" t="str">
        <f>IFERROR(_xlfn.XLOOKUP(H189,sellers_2026!A:A,sellers_2026!G:G,,0,), "unknown/inactive")</f>
        <v>QLD</v>
      </c>
      <c r="J189" t="str">
        <f>_xlfn.XLOOKUP(H189,sellers_2026!A:A,sellers_2026!B:B,,0,)</f>
        <v>bootsandcamping</v>
      </c>
      <c r="L189" s="10" t="s">
        <v>735</v>
      </c>
      <c r="M189">
        <v>72.78</v>
      </c>
      <c r="O189" s="10" t="s">
        <v>637</v>
      </c>
      <c r="P189">
        <v>2</v>
      </c>
    </row>
    <row r="190" spans="1:16" ht="14.25" customHeight="1" x14ac:dyDescent="0.3">
      <c r="A190" s="2" t="s">
        <v>2749</v>
      </c>
      <c r="B190" s="2" t="s">
        <v>114</v>
      </c>
      <c r="C190" s="2">
        <v>3</v>
      </c>
      <c r="D190" t="str">
        <f>_xlfn.XLOOKUP(order_items!B190,products_2026!A:A,products_2026!C:C,,0,)</f>
        <v>Outdoor</v>
      </c>
      <c r="E190">
        <f>_xlfn.XLOOKUP(B190,products_2026!A:A,products_2026!D:D,,0,)</f>
        <v>38.39</v>
      </c>
      <c r="F190">
        <f t="shared" si="2"/>
        <v>115.17</v>
      </c>
      <c r="G190" t="str">
        <f>_xlfn.XLOOKUP(B190,products_2026!A:A,products_2026!B:B,,0,)</f>
        <v>Fairy Lights Outdoor Garden String 100</v>
      </c>
      <c r="H190" t="str">
        <f>_xlfn.XLOOKUP(B190,products_2026!A:A,products_2026!E:E,,0,)</f>
        <v>SELL0023</v>
      </c>
      <c r="I190" t="str">
        <f>IFERROR(_xlfn.XLOOKUP(H190,sellers_2026!A:A,sellers_2026!G:G,,0,), "unknown/inactive")</f>
        <v>VIC</v>
      </c>
      <c r="J190" t="str">
        <f>_xlfn.XLOOKUP(H190,sellers_2026!A:A,sellers_2026!B:B,,0,)</f>
        <v>cleaning_out_my_shed</v>
      </c>
      <c r="L190" s="10" t="s">
        <v>414</v>
      </c>
      <c r="M190">
        <v>72.7</v>
      </c>
      <c r="O190" s="10" t="s">
        <v>864</v>
      </c>
      <c r="P190">
        <v>2</v>
      </c>
    </row>
    <row r="191" spans="1:16" ht="14.25" customHeight="1" x14ac:dyDescent="0.3">
      <c r="A191" s="2" t="s">
        <v>2750</v>
      </c>
      <c r="B191" s="2" t="s">
        <v>441</v>
      </c>
      <c r="C191" s="2">
        <v>1</v>
      </c>
      <c r="D191" t="str">
        <f>_xlfn.XLOOKUP(order_items!B191,products_2026!A:A,products_2026!C:C,,0,)</f>
        <v>Outdoor</v>
      </c>
      <c r="E191">
        <f>_xlfn.XLOOKUP(B191,products_2026!A:A,products_2026!D:D,,0,)</f>
        <v>110.01</v>
      </c>
      <c r="F191">
        <f t="shared" si="2"/>
        <v>110.01</v>
      </c>
      <c r="G191" t="str">
        <f>_xlfn.XLOOKUP(B191,products_2026!A:A,products_2026!B:B,,0,)</f>
        <v>Waterproof Mat</v>
      </c>
      <c r="H191" t="str">
        <f>_xlfn.XLOOKUP(B191,products_2026!A:A,products_2026!E:E,,0,)</f>
        <v>SELL0062</v>
      </c>
      <c r="I191" t="str">
        <f>IFERROR(_xlfn.XLOOKUP(H191,sellers_2026!A:A,sellers_2026!G:G,,0,), "unknown/inactive")</f>
        <v>QLD</v>
      </c>
      <c r="J191" t="str">
        <f>_xlfn.XLOOKUP(H191,sellers_2026!A:A,sellers_2026!B:B,,0,)</f>
        <v>queenslandqweenie</v>
      </c>
      <c r="L191" s="10" t="s">
        <v>820</v>
      </c>
      <c r="M191">
        <v>72.69</v>
      </c>
      <c r="O191" s="10" t="s">
        <v>629</v>
      </c>
      <c r="P191">
        <v>2</v>
      </c>
    </row>
    <row r="192" spans="1:16" ht="14.25" customHeight="1" x14ac:dyDescent="0.3">
      <c r="A192" s="2" t="s">
        <v>2751</v>
      </c>
      <c r="B192" s="2" t="s">
        <v>47</v>
      </c>
      <c r="C192" s="2">
        <v>1</v>
      </c>
      <c r="D192" t="str">
        <f>_xlfn.XLOOKUP(order_items!B192,products_2026!A:A,products_2026!C:C,,0,)</f>
        <v>Outdoor</v>
      </c>
      <c r="E192">
        <f>_xlfn.XLOOKUP(B192,products_2026!A:A,products_2026!D:D,,0,)</f>
        <v>46.45</v>
      </c>
      <c r="F192">
        <f t="shared" si="2"/>
        <v>46.45</v>
      </c>
      <c r="G192" t="str">
        <f>_xlfn.XLOOKUP(B192,products_2026!A:A,products_2026!B:B,,0,)</f>
        <v>Waterproof Picnic Mat 100x100</v>
      </c>
      <c r="H192" t="str">
        <f>_xlfn.XLOOKUP(B192,products_2026!A:A,products_2026!E:E,,0,)</f>
        <v>SELL0012</v>
      </c>
      <c r="I192" t="str">
        <f>IFERROR(_xlfn.XLOOKUP(H192,sellers_2026!A:A,sellers_2026!G:G,,0,), "unknown/inactive")</f>
        <v>WA</v>
      </c>
      <c r="J192" t="str">
        <f>_xlfn.XLOOKUP(H192,sellers_2026!A:A,sellers_2026!B:B,,0,)</f>
        <v>jane-outside</v>
      </c>
      <c r="L192" s="10" t="s">
        <v>466</v>
      </c>
      <c r="M192">
        <v>72.570000000000007</v>
      </c>
      <c r="O192" s="10" t="s">
        <v>861</v>
      </c>
      <c r="P192">
        <v>2</v>
      </c>
    </row>
    <row r="193" spans="1:16" ht="14.25" customHeight="1" x14ac:dyDescent="0.3">
      <c r="A193" s="2" t="s">
        <v>2752</v>
      </c>
      <c r="B193" s="2" t="s">
        <v>69</v>
      </c>
      <c r="C193" s="2">
        <v>1</v>
      </c>
      <c r="D193" t="str">
        <f>_xlfn.XLOOKUP(order_items!B193,products_2026!A:A,products_2026!C:C,,0,)</f>
        <v>Outdoor</v>
      </c>
      <c r="E193">
        <f>_xlfn.XLOOKUP(B193,products_2026!A:A,products_2026!D:D,,0,)</f>
        <v>27.05</v>
      </c>
      <c r="F193">
        <f t="shared" si="2"/>
        <v>27.05</v>
      </c>
      <c r="G193" t="str">
        <f>_xlfn.XLOOKUP(B193,products_2026!A:A,products_2026!B:B,,0,)</f>
        <v>BBQ Skewers - 24 pack (Stainless Steel)</v>
      </c>
      <c r="H193" t="str">
        <f>_xlfn.XLOOKUP(B193,products_2026!A:A,products_2026!E:E,,0,)</f>
        <v>SELL0018</v>
      </c>
      <c r="I193" t="str">
        <f>IFERROR(_xlfn.XLOOKUP(H193,sellers_2026!A:A,sellers_2026!G:G,,0,), "unknown/inactive")</f>
        <v>NT</v>
      </c>
      <c r="J193" t="str">
        <f>_xlfn.XLOOKUP(H193,sellers_2026!A:A,sellers_2026!B:B,,0,)</f>
        <v>darwin_beauty</v>
      </c>
      <c r="L193" s="10" t="s">
        <v>754</v>
      </c>
      <c r="M193">
        <v>70.97</v>
      </c>
      <c r="O193" s="10" t="s">
        <v>442</v>
      </c>
      <c r="P193">
        <v>2</v>
      </c>
    </row>
    <row r="194" spans="1:16" ht="14.25" customHeight="1" x14ac:dyDescent="0.3">
      <c r="A194" s="2" t="s">
        <v>2752</v>
      </c>
      <c r="B194" s="2" t="s">
        <v>88</v>
      </c>
      <c r="C194" s="2">
        <v>2</v>
      </c>
      <c r="D194" t="str">
        <f>_xlfn.XLOOKUP(order_items!B194,products_2026!A:A,products_2026!C:C,,0,)</f>
        <v>Jewellery</v>
      </c>
      <c r="E194">
        <f>_xlfn.XLOOKUP(B194,products_2026!A:A,products_2026!D:D,,0,)</f>
        <v>49.31</v>
      </c>
      <c r="F194">
        <f t="shared" si="2"/>
        <v>98.62</v>
      </c>
      <c r="G194" t="str">
        <f>_xlfn.XLOOKUP(B194,products_2026!A:A,products_2026!B:B,,0,)</f>
        <v>Pendant Necklace - Rose Gold</v>
      </c>
      <c r="H194" t="str">
        <f>_xlfn.XLOOKUP(B194,products_2026!A:A,products_2026!E:E,,0,)</f>
        <v>SELL0021</v>
      </c>
      <c r="I194" t="str">
        <f>IFERROR(_xlfn.XLOOKUP(H194,sellers_2026!A:A,sellers_2026!G:G,,0,), "unknown/inactive")</f>
        <v>VIC</v>
      </c>
      <c r="J194" t="str">
        <f>_xlfn.XLOOKUP(H194,sellers_2026!A:A,sellers_2026!B:B,,0,)</f>
        <v>stuff-on-sale</v>
      </c>
      <c r="L194" s="10" t="s">
        <v>174</v>
      </c>
      <c r="M194">
        <v>69.900000000000006</v>
      </c>
      <c r="O194" s="10" t="s">
        <v>458</v>
      </c>
      <c r="P194">
        <v>2</v>
      </c>
    </row>
    <row r="195" spans="1:16" ht="14.25" customHeight="1" x14ac:dyDescent="0.3">
      <c r="A195" s="2" t="s">
        <v>2752</v>
      </c>
      <c r="B195" s="2" t="s">
        <v>208</v>
      </c>
      <c r="C195" s="2">
        <v>1</v>
      </c>
      <c r="D195" t="str">
        <f>_xlfn.XLOOKUP(order_items!B195,products_2026!A:A,products_2026!C:C,,0,)</f>
        <v>Stationery</v>
      </c>
      <c r="E195">
        <f>_xlfn.XLOOKUP(B195,products_2026!A:A,products_2026!D:D,,0,)</f>
        <v>6.78</v>
      </c>
      <c r="F195">
        <f t="shared" ref="F195:F258" si="3">C195*E195</f>
        <v>6.78</v>
      </c>
      <c r="G195" t="str">
        <f>_xlfn.XLOOKUP(B195,products_2026!A:A,products_2026!B:B,,0,)</f>
        <v>Metal Ruler 30cm</v>
      </c>
      <c r="H195" t="str">
        <f>_xlfn.XLOOKUP(B195,products_2026!A:A,products_2026!E:E,,0,)</f>
        <v>SELL0037</v>
      </c>
      <c r="I195" t="str">
        <f>IFERROR(_xlfn.XLOOKUP(H195,sellers_2026!A:A,sellers_2026!G:G,,0,), "unknown/inactive")</f>
        <v>VIC</v>
      </c>
      <c r="J195" t="str">
        <f>_xlfn.XLOOKUP(H195,sellers_2026!A:A,sellers_2026!B:B,,0,)</f>
        <v>storeshop</v>
      </c>
      <c r="L195" s="10" t="s">
        <v>599</v>
      </c>
      <c r="M195">
        <v>69.12</v>
      </c>
      <c r="O195" s="10" t="s">
        <v>844</v>
      </c>
      <c r="P195">
        <v>2</v>
      </c>
    </row>
    <row r="196" spans="1:16" ht="14.25" customHeight="1" x14ac:dyDescent="0.3">
      <c r="A196" s="2" t="s">
        <v>2752</v>
      </c>
      <c r="B196" s="2" t="s">
        <v>501</v>
      </c>
      <c r="C196" s="2">
        <v>1</v>
      </c>
      <c r="D196" t="str">
        <f>_xlfn.XLOOKUP(order_items!B196,products_2026!A:A,products_2026!C:C,,0,)</f>
        <v>Outdoor</v>
      </c>
      <c r="E196">
        <f>_xlfn.XLOOKUP(B196,products_2026!A:A,products_2026!D:D,,0,)</f>
        <v>32.67</v>
      </c>
      <c r="F196">
        <f t="shared" si="3"/>
        <v>32.67</v>
      </c>
      <c r="G196" t="str">
        <f>_xlfn.XLOOKUP(B196,products_2026!A:A,products_2026!B:B,,0,)</f>
        <v>Snorkel Set - Adult Small</v>
      </c>
      <c r="H196" t="str">
        <f>_xlfn.XLOOKUP(B196,products_2026!A:A,products_2026!E:E,,0,)</f>
        <v>SELL0070</v>
      </c>
      <c r="I196" t="str">
        <f>IFERROR(_xlfn.XLOOKUP(H196,sellers_2026!A:A,sellers_2026!G:G,,0,), "unknown/inactive")</f>
        <v>QLD</v>
      </c>
      <c r="J196" t="str">
        <f>_xlfn.XLOOKUP(H196,sellers_2026!A:A,sellers_2026!B:B,,0,)</f>
        <v>homeandaways</v>
      </c>
      <c r="L196" s="10" t="s">
        <v>379</v>
      </c>
      <c r="M196">
        <v>68.5</v>
      </c>
      <c r="O196" s="10" t="s">
        <v>162</v>
      </c>
      <c r="P196">
        <v>2</v>
      </c>
    </row>
    <row r="197" spans="1:16" ht="14.25" customHeight="1" x14ac:dyDescent="0.3">
      <c r="A197" s="2" t="s">
        <v>2753</v>
      </c>
      <c r="B197" s="2" t="s">
        <v>428</v>
      </c>
      <c r="C197" s="2">
        <v>1</v>
      </c>
      <c r="D197" t="str">
        <f>_xlfn.XLOOKUP(order_items!B197,products_2026!A:A,products_2026!C:C,,0,)</f>
        <v>Clothes</v>
      </c>
      <c r="E197">
        <f>_xlfn.XLOOKUP(B197,products_2026!A:A,products_2026!D:D,,0,)</f>
        <v>39.99</v>
      </c>
      <c r="F197">
        <f t="shared" si="3"/>
        <v>39.99</v>
      </c>
      <c r="G197" t="str">
        <f>_xlfn.XLOOKUP(B197,products_2026!A:A,products_2026!B:B,,0,)</f>
        <v>Cotton T‑Shirt Green L</v>
      </c>
      <c r="H197" t="str">
        <f>_xlfn.XLOOKUP(B197,products_2026!A:A,products_2026!E:E,,0,)</f>
        <v>SELL0061</v>
      </c>
      <c r="I197" t="str">
        <f>IFERROR(_xlfn.XLOOKUP(H197,sellers_2026!A:A,sellers_2026!G:G,,0,), "unknown/inactive")</f>
        <v>VIC</v>
      </c>
      <c r="J197" t="str">
        <f>_xlfn.XLOOKUP(H197,sellers_2026!A:A,sellers_2026!B:B,,0,)</f>
        <v>ky7urd3k6y</v>
      </c>
      <c r="L197" s="10" t="s">
        <v>655</v>
      </c>
      <c r="M197">
        <v>67.78</v>
      </c>
      <c r="O197" s="10" t="s">
        <v>541</v>
      </c>
      <c r="P197">
        <v>2</v>
      </c>
    </row>
    <row r="198" spans="1:16" ht="14.25" customHeight="1" x14ac:dyDescent="0.3">
      <c r="A198" s="2" t="s">
        <v>2754</v>
      </c>
      <c r="B198" s="2" t="s">
        <v>171</v>
      </c>
      <c r="C198" s="2">
        <v>1</v>
      </c>
      <c r="D198" t="str">
        <f>_xlfn.XLOOKUP(order_items!B198,products_2026!A:A,products_2026!C:C,,0,)</f>
        <v>Outdoor</v>
      </c>
      <c r="E198">
        <f>_xlfn.XLOOKUP(B198,products_2026!A:A,products_2026!D:D,,0,)</f>
        <v>21.37</v>
      </c>
      <c r="F198">
        <f t="shared" si="3"/>
        <v>21.37</v>
      </c>
      <c r="G198" t="str">
        <f>_xlfn.XLOOKUP(B198,products_2026!A:A,products_2026!B:B,,0,)</f>
        <v>BBQ Meat Thermometer Battery Powered</v>
      </c>
      <c r="H198" t="str">
        <f>_xlfn.XLOOKUP(B198,products_2026!A:A,products_2026!E:E,,0,)</f>
        <v>SELL0034</v>
      </c>
      <c r="I198" t="str">
        <f>IFERROR(_xlfn.XLOOKUP(H198,sellers_2026!A:A,sellers_2026!G:G,,0,), "unknown/inactive")</f>
        <v>NT</v>
      </c>
      <c r="J198" t="str">
        <f>_xlfn.XLOOKUP(H198,sellers_2026!A:A,sellers_2026!B:B,,0,)</f>
        <v>outer40</v>
      </c>
      <c r="L198" s="10" t="s">
        <v>771</v>
      </c>
      <c r="M198">
        <v>67.27000000000001</v>
      </c>
      <c r="O198" s="10" t="s">
        <v>294</v>
      </c>
      <c r="P198">
        <v>2</v>
      </c>
    </row>
    <row r="199" spans="1:16" ht="14.25" customHeight="1" x14ac:dyDescent="0.3">
      <c r="A199" s="2" t="s">
        <v>2754</v>
      </c>
      <c r="B199" s="2" t="s">
        <v>796</v>
      </c>
      <c r="C199" s="2">
        <v>2</v>
      </c>
      <c r="D199" t="str">
        <f>_xlfn.XLOOKUP(order_items!B199,products_2026!A:A,products_2026!C:C,,0,)</f>
        <v>Health</v>
      </c>
      <c r="E199">
        <f>_xlfn.XLOOKUP(B199,products_2026!A:A,products_2026!D:D,,0,)</f>
        <v>29.59</v>
      </c>
      <c r="F199">
        <f t="shared" si="3"/>
        <v>59.18</v>
      </c>
      <c r="G199" t="str">
        <f>_xlfn.XLOOKUP(B199,products_2026!A:A,products_2026!B:B,,0,)</f>
        <v>Reusable Ice Pack (2 pack) (Grey)</v>
      </c>
      <c r="H199" t="str">
        <f>_xlfn.XLOOKUP(B199,products_2026!A:A,products_2026!E:E,,0,)</f>
        <v>SELL0090</v>
      </c>
      <c r="I199" t="str">
        <f>IFERROR(_xlfn.XLOOKUP(H199,sellers_2026!A:A,sellers_2026!G:G,,0,), "unknown/inactive")</f>
        <v>TAS</v>
      </c>
      <c r="J199" t="str">
        <f>_xlfn.XLOOKUP(H199,sellers_2026!A:A,sellers_2026!B:B,,0,)</f>
        <v>housenice</v>
      </c>
      <c r="L199" s="10" t="s">
        <v>213</v>
      </c>
      <c r="M199">
        <v>66.989999999999995</v>
      </c>
      <c r="O199" s="10" t="s">
        <v>278</v>
      </c>
      <c r="P199">
        <v>2</v>
      </c>
    </row>
    <row r="200" spans="1:16" ht="14.25" customHeight="1" x14ac:dyDescent="0.3">
      <c r="A200" s="2" t="s">
        <v>2755</v>
      </c>
      <c r="B200" s="2" t="s">
        <v>889</v>
      </c>
      <c r="C200" s="2">
        <v>1</v>
      </c>
      <c r="D200" t="str">
        <f>_xlfn.XLOOKUP(order_items!B200,products_2026!A:A,products_2026!C:C,,0,)</f>
        <v>Outdoor</v>
      </c>
      <c r="E200">
        <f>_xlfn.XLOOKUP(B200,products_2026!A:A,products_2026!D:D,,0,)</f>
        <v>10.07</v>
      </c>
      <c r="F200">
        <f t="shared" si="3"/>
        <v>10.07</v>
      </c>
      <c r="G200" t="str">
        <f>_xlfn.XLOOKUP(B200,products_2026!A:A,products_2026!B:B,,0,)</f>
        <v>Bamboo Picnic Rug Recycled Material</v>
      </c>
      <c r="H200" t="str">
        <f>_xlfn.XLOOKUP(B200,products_2026!A:A,products_2026!E:E,,0,)</f>
        <v>SELL0092</v>
      </c>
      <c r="I200" t="str">
        <f>IFERROR(_xlfn.XLOOKUP(H200,sellers_2026!A:A,sellers_2026!G:G,,0,), "unknown/inactive")</f>
        <v>VIC</v>
      </c>
      <c r="J200" t="str">
        <f>_xlfn.XLOOKUP(H200,sellers_2026!A:A,sellers_2026!B:B,,0,)</f>
        <v>dress4beauty</v>
      </c>
      <c r="L200" s="10" t="s">
        <v>604</v>
      </c>
      <c r="M200">
        <v>66.84</v>
      </c>
      <c r="O200" s="10" t="s">
        <v>609</v>
      </c>
      <c r="P200">
        <v>2</v>
      </c>
    </row>
    <row r="201" spans="1:16" ht="14.25" customHeight="1" x14ac:dyDescent="0.3">
      <c r="A201" s="2" t="s">
        <v>2755</v>
      </c>
      <c r="B201" s="2" t="s">
        <v>960</v>
      </c>
      <c r="C201" s="2">
        <v>1</v>
      </c>
      <c r="D201" t="str">
        <f>_xlfn.XLOOKUP(order_items!B201,products_2026!A:A,products_2026!C:C,,0,)</f>
        <v>Outdoor</v>
      </c>
      <c r="E201">
        <f>_xlfn.XLOOKUP(B201,products_2026!A:A,products_2026!D:D,,0,)</f>
        <v>44.92</v>
      </c>
      <c r="F201">
        <f t="shared" si="3"/>
        <v>44.92</v>
      </c>
      <c r="G201" t="str">
        <f>_xlfn.XLOOKUP(B201,products_2026!A:A,products_2026!B:B,,0,)</f>
        <v>Waterproof Picnic Mat</v>
      </c>
      <c r="H201" t="str">
        <f>_xlfn.XLOOKUP(B201,products_2026!A:A,products_2026!E:E,,0,)</f>
        <v>SELL0094</v>
      </c>
      <c r="I201" t="str">
        <f>IFERROR(_xlfn.XLOOKUP(H201,sellers_2026!A:A,sellers_2026!G:G,,0,), "unknown/inactive")</f>
        <v>WA</v>
      </c>
      <c r="J201" t="str">
        <f>_xlfn.XLOOKUP(H201,sellers_2026!A:A,sellers_2026!B:B,,0,)</f>
        <v>excelinall</v>
      </c>
      <c r="L201" s="10" t="s">
        <v>617</v>
      </c>
      <c r="M201">
        <v>66.72</v>
      </c>
      <c r="O201" s="10" t="s">
        <v>362</v>
      </c>
      <c r="P201">
        <v>2</v>
      </c>
    </row>
    <row r="202" spans="1:16" ht="14.25" customHeight="1" x14ac:dyDescent="0.3">
      <c r="A202" s="2" t="s">
        <v>2756</v>
      </c>
      <c r="B202" s="2" t="s">
        <v>889</v>
      </c>
      <c r="C202" s="2">
        <v>1</v>
      </c>
      <c r="D202" t="str">
        <f>_xlfn.XLOOKUP(order_items!B202,products_2026!A:A,products_2026!C:C,,0,)</f>
        <v>Outdoor</v>
      </c>
      <c r="E202">
        <f>_xlfn.XLOOKUP(B202,products_2026!A:A,products_2026!D:D,,0,)</f>
        <v>10.07</v>
      </c>
      <c r="F202">
        <f t="shared" si="3"/>
        <v>10.07</v>
      </c>
      <c r="G202" t="str">
        <f>_xlfn.XLOOKUP(B202,products_2026!A:A,products_2026!B:B,,0,)</f>
        <v>Bamboo Picnic Rug Recycled Material</v>
      </c>
      <c r="H202" t="str">
        <f>_xlfn.XLOOKUP(B202,products_2026!A:A,products_2026!E:E,,0,)</f>
        <v>SELL0092</v>
      </c>
      <c r="I202" t="str">
        <f>IFERROR(_xlfn.XLOOKUP(H202,sellers_2026!A:A,sellers_2026!G:G,,0,), "unknown/inactive")</f>
        <v>VIC</v>
      </c>
      <c r="J202" t="str">
        <f>_xlfn.XLOOKUP(H202,sellers_2026!A:A,sellers_2026!B:B,,0,)</f>
        <v>dress4beauty</v>
      </c>
      <c r="L202" s="10" t="s">
        <v>690</v>
      </c>
      <c r="M202">
        <v>66.33</v>
      </c>
      <c r="O202" s="10" t="s">
        <v>538</v>
      </c>
      <c r="P202">
        <v>2</v>
      </c>
    </row>
    <row r="203" spans="1:16" ht="14.25" customHeight="1" x14ac:dyDescent="0.3">
      <c r="A203" s="2" t="s">
        <v>2757</v>
      </c>
      <c r="B203" s="2" t="s">
        <v>23</v>
      </c>
      <c r="C203" s="2">
        <v>2</v>
      </c>
      <c r="D203" t="str">
        <f>_xlfn.XLOOKUP(order_items!B203,products_2026!A:A,products_2026!C:C,,0,)</f>
        <v>Stationery</v>
      </c>
      <c r="E203">
        <f>_xlfn.XLOOKUP(B203,products_2026!A:A,products_2026!D:D,,0,)</f>
        <v>4.47</v>
      </c>
      <c r="F203">
        <f t="shared" si="3"/>
        <v>8.94</v>
      </c>
      <c r="G203" t="str">
        <f>_xlfn.XLOOKUP(B203,products_2026!A:A,products_2026!B:B,,0,)</f>
        <v>Highlighter Set Bright 4 pen</v>
      </c>
      <c r="H203" t="str">
        <f>_xlfn.XLOOKUP(B203,products_2026!A:A,products_2026!E:E,,0,)</f>
        <v>SELL0005</v>
      </c>
      <c r="I203" t="str">
        <f>IFERROR(_xlfn.XLOOKUP(H203,sellers_2026!A:A,sellers_2026!G:G,,0,), "unknown/inactive")</f>
        <v>TAS</v>
      </c>
      <c r="J203" t="str">
        <f>_xlfn.XLOOKUP(H203,sellers_2026!A:A,sellers_2026!B:B,,0,)</f>
        <v>pensandthings</v>
      </c>
      <c r="L203" s="10" t="s">
        <v>864</v>
      </c>
      <c r="M203">
        <v>65.92</v>
      </c>
      <c r="O203" s="10" t="s">
        <v>369</v>
      </c>
      <c r="P203">
        <v>2</v>
      </c>
    </row>
    <row r="204" spans="1:16" ht="14.25" customHeight="1" x14ac:dyDescent="0.3">
      <c r="A204" s="2" t="s">
        <v>2757</v>
      </c>
      <c r="B204" s="2" t="s">
        <v>552</v>
      </c>
      <c r="C204" s="2">
        <v>2</v>
      </c>
      <c r="D204" t="str">
        <f>_xlfn.XLOOKUP(order_items!B204,products_2026!A:A,products_2026!C:C,,0,)</f>
        <v>Stationery</v>
      </c>
      <c r="E204">
        <f>_xlfn.XLOOKUP(B204,products_2026!A:A,products_2026!D:D,,0,)</f>
        <v>2.1800000000000002</v>
      </c>
      <c r="F204">
        <f t="shared" si="3"/>
        <v>4.3600000000000003</v>
      </c>
      <c r="G204" t="str">
        <f>_xlfn.XLOOKUP(B204,products_2026!A:A,products_2026!B:B,,0,)</f>
        <v>Ballpoint pen 6 pack</v>
      </c>
      <c r="H204" t="str">
        <f>_xlfn.XLOOKUP(B204,products_2026!A:A,products_2026!E:E,,0,)</f>
        <v>SELL0076</v>
      </c>
      <c r="I204" t="str">
        <f>IFERROR(_xlfn.XLOOKUP(H204,sellers_2026!A:A,sellers_2026!G:G,,0,), "unknown/inactive")</f>
        <v>QLD</v>
      </c>
      <c r="J204" t="str">
        <f>_xlfn.XLOOKUP(H204,sellers_2026!A:A,sellers_2026!B:B,,0,)</f>
        <v>generalstuff</v>
      </c>
      <c r="L204" s="10" t="s">
        <v>773</v>
      </c>
      <c r="M204">
        <v>65.86</v>
      </c>
      <c r="O204" s="10" t="s">
        <v>556</v>
      </c>
      <c r="P204">
        <v>2</v>
      </c>
    </row>
    <row r="205" spans="1:16" ht="14.25" customHeight="1" x14ac:dyDescent="0.3">
      <c r="A205" s="2" t="s">
        <v>2758</v>
      </c>
      <c r="B205" s="2" t="s">
        <v>925</v>
      </c>
      <c r="C205" s="2">
        <v>1</v>
      </c>
      <c r="D205" t="str">
        <f>_xlfn.XLOOKUP(order_items!B205,products_2026!A:A,products_2026!C:C,,0,)</f>
        <v>Outdoor</v>
      </c>
      <c r="E205">
        <f>_xlfn.XLOOKUP(B205,products_2026!A:A,products_2026!D:D,,0,)</f>
        <v>26.98</v>
      </c>
      <c r="F205">
        <f t="shared" si="3"/>
        <v>26.98</v>
      </c>
      <c r="G205" t="str">
        <f>_xlfn.XLOOKUP(B205,products_2026!A:A,products_2026!B:B,,0,)</f>
        <v>Stainless Steel BBQ Tools Set (Grey)</v>
      </c>
      <c r="H205" t="str">
        <f>_xlfn.XLOOKUP(B205,products_2026!A:A,products_2026!E:E,,0,)</f>
        <v>SELL0093</v>
      </c>
      <c r="I205" t="str">
        <f>IFERROR(_xlfn.XLOOKUP(H205,sellers_2026!A:A,sellers_2026!G:G,,0,), "unknown/inactive")</f>
        <v>NT</v>
      </c>
      <c r="J205" t="str">
        <f>_xlfn.XLOOKUP(H205,sellers_2026!A:A,sellers_2026!B:B,,0,)</f>
        <v>millies-outdoor-shop</v>
      </c>
      <c r="L205" s="10" t="s">
        <v>248</v>
      </c>
      <c r="M205">
        <v>64.88</v>
      </c>
      <c r="O205" s="10" t="s">
        <v>371</v>
      </c>
      <c r="P205">
        <v>2</v>
      </c>
    </row>
    <row r="206" spans="1:16" ht="14.25" customHeight="1" x14ac:dyDescent="0.3">
      <c r="A206" s="2" t="s">
        <v>2759</v>
      </c>
      <c r="B206" s="2" t="s">
        <v>933</v>
      </c>
      <c r="C206" s="2">
        <v>2</v>
      </c>
      <c r="D206" t="str">
        <f>_xlfn.XLOOKUP(order_items!B206,products_2026!A:A,products_2026!C:C,,0,)</f>
        <v>Outdoor</v>
      </c>
      <c r="E206">
        <f>_xlfn.XLOOKUP(B206,products_2026!A:A,products_2026!D:D,,0,)</f>
        <v>87.51</v>
      </c>
      <c r="F206">
        <f t="shared" si="3"/>
        <v>175.02</v>
      </c>
      <c r="G206" t="str">
        <f>_xlfn.XLOOKUP(B206,products_2026!A:A,products_2026!B:B,,0,)</f>
        <v>Garden Hose 50m (Green)</v>
      </c>
      <c r="H206" t="str">
        <f>_xlfn.XLOOKUP(B206,products_2026!A:A,products_2026!E:E,,0,)</f>
        <v>SELL0093</v>
      </c>
      <c r="I206" t="str">
        <f>IFERROR(_xlfn.XLOOKUP(H206,sellers_2026!A:A,sellers_2026!G:G,,0,), "unknown/inactive")</f>
        <v>NT</v>
      </c>
      <c r="J206" t="str">
        <f>_xlfn.XLOOKUP(H206,sellers_2026!A:A,sellers_2026!B:B,,0,)</f>
        <v>millies-outdoor-shop</v>
      </c>
      <c r="L206" s="10" t="s">
        <v>469</v>
      </c>
      <c r="M206">
        <v>64.84</v>
      </c>
      <c r="O206" s="10" t="s">
        <v>32</v>
      </c>
      <c r="P206">
        <v>2</v>
      </c>
    </row>
    <row r="207" spans="1:16" ht="14.25" customHeight="1" x14ac:dyDescent="0.3">
      <c r="A207" s="2" t="s">
        <v>2760</v>
      </c>
      <c r="B207" s="2" t="s">
        <v>185</v>
      </c>
      <c r="C207" s="2">
        <v>1</v>
      </c>
      <c r="D207" t="str">
        <f>_xlfn.XLOOKUP(order_items!B207,products_2026!A:A,products_2026!C:C,,0,)</f>
        <v>Outdoor</v>
      </c>
      <c r="E207">
        <f>_xlfn.XLOOKUP(B207,products_2026!A:A,products_2026!D:D,,0,)</f>
        <v>36.24</v>
      </c>
      <c r="F207">
        <f t="shared" si="3"/>
        <v>36.24</v>
      </c>
      <c r="G207" t="str">
        <f>_xlfn.XLOOKUP(B207,products_2026!A:A,products_2026!B:B,,0,)</f>
        <v>Bubble Maker Machine (Red)</v>
      </c>
      <c r="H207" t="str">
        <f>_xlfn.XLOOKUP(B207,products_2026!A:A,products_2026!E:E,,0,)</f>
        <v>SELL0035</v>
      </c>
      <c r="I207" t="str">
        <f>IFERROR(_xlfn.XLOOKUP(H207,sellers_2026!A:A,sellers_2026!G:G,,0,), "unknown/inactive")</f>
        <v>ACT</v>
      </c>
      <c r="J207" t="str">
        <f>_xlfn.XLOOKUP(H207,sellers_2026!A:A,sellers_2026!B:B,,0,)</f>
        <v>maddie-sells</v>
      </c>
      <c r="L207" s="10" t="s">
        <v>846</v>
      </c>
      <c r="M207">
        <v>64.709999999999994</v>
      </c>
      <c r="O207" s="10" t="s">
        <v>34</v>
      </c>
      <c r="P207">
        <v>2</v>
      </c>
    </row>
    <row r="208" spans="1:16" ht="14.25" customHeight="1" x14ac:dyDescent="0.3">
      <c r="A208" s="2" t="s">
        <v>2761</v>
      </c>
      <c r="B208" s="2" t="s">
        <v>887</v>
      </c>
      <c r="C208" s="2">
        <v>1</v>
      </c>
      <c r="D208" t="str">
        <f>_xlfn.XLOOKUP(order_items!B208,products_2026!A:A,products_2026!C:C,,0,)</f>
        <v>Outdoor</v>
      </c>
      <c r="E208">
        <f>_xlfn.XLOOKUP(B208,products_2026!A:A,products_2026!D:D,,0,)</f>
        <v>23.33</v>
      </c>
      <c r="F208">
        <f t="shared" si="3"/>
        <v>23.33</v>
      </c>
      <c r="G208" t="str">
        <f>_xlfn.XLOOKUP(B208,products_2026!A:A,products_2026!B:B,,0,)</f>
        <v>Solar Garden Light Set</v>
      </c>
      <c r="H208" t="str">
        <f>_xlfn.XLOOKUP(B208,products_2026!A:A,products_2026!E:E,,0,)</f>
        <v>SELL0092</v>
      </c>
      <c r="I208" t="str">
        <f>IFERROR(_xlfn.XLOOKUP(H208,sellers_2026!A:A,sellers_2026!G:G,,0,), "unknown/inactive")</f>
        <v>VIC</v>
      </c>
      <c r="J208" t="str">
        <f>_xlfn.XLOOKUP(H208,sellers_2026!A:A,sellers_2026!B:B,,0,)</f>
        <v>dress4beauty</v>
      </c>
      <c r="L208" s="10" t="s">
        <v>232</v>
      </c>
      <c r="M208">
        <v>64.400000000000006</v>
      </c>
      <c r="O208" s="10" t="s">
        <v>450</v>
      </c>
      <c r="P208">
        <v>2</v>
      </c>
    </row>
    <row r="209" spans="1:16" ht="14.25" customHeight="1" x14ac:dyDescent="0.3">
      <c r="A209" s="2" t="s">
        <v>2762</v>
      </c>
      <c r="B209" s="2" t="s">
        <v>636</v>
      </c>
      <c r="C209" s="2">
        <v>1</v>
      </c>
      <c r="D209" t="str">
        <f>_xlfn.XLOOKUP(order_items!B209,products_2026!A:A,products_2026!C:C,,0,)</f>
        <v>Clothes</v>
      </c>
      <c r="E209">
        <f>_xlfn.XLOOKUP(B209,products_2026!A:A,products_2026!D:D,,0,)</f>
        <v>27.32</v>
      </c>
      <c r="F209">
        <f t="shared" si="3"/>
        <v>27.32</v>
      </c>
      <c r="G209" t="str">
        <f>_xlfn.XLOOKUP(B209,products_2026!A:A,products_2026!B:B,,0,)</f>
        <v>Denim S Child</v>
      </c>
      <c r="H209" t="str">
        <f>_xlfn.XLOOKUP(B209,products_2026!A:A,products_2026!E:E,,0,)</f>
        <v>SELL0086</v>
      </c>
      <c r="I209" t="str">
        <f>IFERROR(_xlfn.XLOOKUP(H209,sellers_2026!A:A,sellers_2026!G:G,,0,), "unknown/inactive")</f>
        <v>VIC</v>
      </c>
      <c r="J209" t="str">
        <f>_xlfn.XLOOKUP(H209,sellers_2026!A:A,sellers_2026!B:B,,0,)</f>
        <v>clothesforlife</v>
      </c>
      <c r="L209" s="10" t="s">
        <v>701</v>
      </c>
      <c r="M209">
        <v>63.84</v>
      </c>
      <c r="O209" s="10" t="s">
        <v>342</v>
      </c>
      <c r="P209">
        <v>2</v>
      </c>
    </row>
    <row r="210" spans="1:16" ht="14.25" customHeight="1" x14ac:dyDescent="0.3">
      <c r="A210" s="2" t="s">
        <v>2762</v>
      </c>
      <c r="B210" s="2" t="s">
        <v>961</v>
      </c>
      <c r="C210" s="2">
        <v>1</v>
      </c>
      <c r="D210" t="str">
        <f>_xlfn.XLOOKUP(order_items!B210,products_2026!A:A,products_2026!C:C,,0,)</f>
        <v>Outdoor</v>
      </c>
      <c r="E210">
        <f>_xlfn.XLOOKUP(B210,products_2026!A:A,products_2026!D:D,,0,)</f>
        <v>80.069999999999993</v>
      </c>
      <c r="F210">
        <f t="shared" si="3"/>
        <v>80.069999999999993</v>
      </c>
      <c r="G210" t="str">
        <f>_xlfn.XLOOKUP(B210,products_2026!A:A,products_2026!B:B,,0,)</f>
        <v>BBQ Apron - Blue</v>
      </c>
      <c r="H210" t="str">
        <f>_xlfn.XLOOKUP(B210,products_2026!A:A,products_2026!E:E,,0,)</f>
        <v>SELL0094</v>
      </c>
      <c r="I210" t="str">
        <f>IFERROR(_xlfn.XLOOKUP(H210,sellers_2026!A:A,sellers_2026!G:G,,0,), "unknown/inactive")</f>
        <v>WA</v>
      </c>
      <c r="J210" t="str">
        <f>_xlfn.XLOOKUP(H210,sellers_2026!A:A,sellers_2026!B:B,,0,)</f>
        <v>excelinall</v>
      </c>
      <c r="L210" s="10" t="s">
        <v>703</v>
      </c>
      <c r="M210">
        <v>63.84</v>
      </c>
      <c r="O210" s="10" t="s">
        <v>878</v>
      </c>
      <c r="P210">
        <v>2</v>
      </c>
    </row>
    <row r="211" spans="1:16" ht="14.25" customHeight="1" x14ac:dyDescent="0.3">
      <c r="A211" s="2" t="s">
        <v>2763</v>
      </c>
      <c r="B211" s="2" t="s">
        <v>497</v>
      </c>
      <c r="C211" s="2">
        <v>1</v>
      </c>
      <c r="D211" t="str">
        <f>_xlfn.XLOOKUP(order_items!B211,products_2026!A:A,products_2026!C:C,,0,)</f>
        <v>Toys</v>
      </c>
      <c r="E211">
        <f>_xlfn.XLOOKUP(B211,products_2026!A:A,products_2026!D:D,,0,)</f>
        <v>32.44</v>
      </c>
      <c r="F211">
        <f t="shared" si="3"/>
        <v>32.44</v>
      </c>
      <c r="G211" t="str">
        <f>_xlfn.XLOOKUP(B211,products_2026!A:A,products_2026!B:B,,0,)</f>
        <v>Educational Puzzle - Zoo Animals</v>
      </c>
      <c r="H211" t="str">
        <f>_xlfn.XLOOKUP(B211,products_2026!A:A,products_2026!E:E,,0,)</f>
        <v>SELL0070</v>
      </c>
      <c r="I211" t="str">
        <f>IFERROR(_xlfn.XLOOKUP(H211,sellers_2026!A:A,sellers_2026!G:G,,0,), "unknown/inactive")</f>
        <v>QLD</v>
      </c>
      <c r="J211" t="str">
        <f>_xlfn.XLOOKUP(H211,sellers_2026!A:A,sellers_2026!B:B,,0,)</f>
        <v>homeandaways</v>
      </c>
      <c r="L211" s="10" t="s">
        <v>880</v>
      </c>
      <c r="M211">
        <v>63.300000000000004</v>
      </c>
      <c r="O211" s="10" t="s">
        <v>227</v>
      </c>
      <c r="P211">
        <v>2</v>
      </c>
    </row>
    <row r="212" spans="1:16" ht="14.25" customHeight="1" x14ac:dyDescent="0.3">
      <c r="A212" s="2" t="s">
        <v>2763</v>
      </c>
      <c r="B212" s="2" t="s">
        <v>535</v>
      </c>
      <c r="C212" s="2">
        <v>1</v>
      </c>
      <c r="D212" t="str">
        <f>_xlfn.XLOOKUP(order_items!B212,products_2026!A:A,products_2026!C:C,,0,)</f>
        <v>Beauty</v>
      </c>
      <c r="E212">
        <f>_xlfn.XLOOKUP(B212,products_2026!A:A,products_2026!D:D,,0,)</f>
        <v>32.19</v>
      </c>
      <c r="F212">
        <f t="shared" si="3"/>
        <v>32.19</v>
      </c>
      <c r="G212" t="str">
        <f>_xlfn.XLOOKUP(B212,products_2026!A:A,products_2026!B:B,,0,)</f>
        <v>Makeup Sponge Pack Orange</v>
      </c>
      <c r="H212" t="str">
        <f>_xlfn.XLOOKUP(B212,products_2026!A:A,products_2026!E:E,,0,)</f>
        <v>SELL0074</v>
      </c>
      <c r="I212" t="str">
        <f>IFERROR(_xlfn.XLOOKUP(H212,sellers_2026!A:A,sellers_2026!G:G,,0,), "unknown/inactive")</f>
        <v>NT</v>
      </c>
      <c r="J212" t="str">
        <f>_xlfn.XLOOKUP(H212,sellers_2026!A:A,sellers_2026!B:B,,0,)</f>
        <v>springlesprungle3</v>
      </c>
      <c r="L212" s="10" t="s">
        <v>121</v>
      </c>
      <c r="M212">
        <v>62.94</v>
      </c>
      <c r="O212" s="10" t="s">
        <v>683</v>
      </c>
      <c r="P212">
        <v>2</v>
      </c>
    </row>
    <row r="213" spans="1:16" ht="14.25" customHeight="1" x14ac:dyDescent="0.3">
      <c r="A213" s="2" t="s">
        <v>2764</v>
      </c>
      <c r="B213" s="2" t="s">
        <v>57</v>
      </c>
      <c r="C213" s="2">
        <v>1</v>
      </c>
      <c r="D213" t="str">
        <f>_xlfn.XLOOKUP(order_items!B213,products_2026!A:A,products_2026!C:C,,0,)</f>
        <v>Outdoor</v>
      </c>
      <c r="E213">
        <f>_xlfn.XLOOKUP(B213,products_2026!A:A,products_2026!D:D,,0,)</f>
        <v>13.71</v>
      </c>
      <c r="F213">
        <f t="shared" si="3"/>
        <v>13.71</v>
      </c>
      <c r="G213" t="str">
        <f>_xlfn.XLOOKUP(B213,products_2026!A:A,products_2026!B:B,,0,)</f>
        <v>BBQ Skewers - 12 pack (Bamboo)</v>
      </c>
      <c r="H213" t="str">
        <f>_xlfn.XLOOKUP(B213,products_2026!A:A,products_2026!E:E,,0,)</f>
        <v>SELL0016</v>
      </c>
      <c r="I213" t="str">
        <f>IFERROR(_xlfn.XLOOKUP(H213,sellers_2026!A:A,sellers_2026!G:G,,0,), "unknown/inactive")</f>
        <v>TAS</v>
      </c>
      <c r="J213" t="str">
        <f>_xlfn.XLOOKUP(H213,sellers_2026!A:A,sellers_2026!B:B,,0,)</f>
        <v>abracadabra_002</v>
      </c>
      <c r="L213" s="10" t="s">
        <v>800</v>
      </c>
      <c r="M213">
        <v>62.37</v>
      </c>
      <c r="O213" s="10" t="s">
        <v>285</v>
      </c>
      <c r="P213">
        <v>2</v>
      </c>
    </row>
    <row r="214" spans="1:16" ht="14.25" customHeight="1" x14ac:dyDescent="0.3">
      <c r="A214" s="2" t="s">
        <v>2764</v>
      </c>
      <c r="B214" s="2" t="s">
        <v>961</v>
      </c>
      <c r="C214" s="2">
        <v>2</v>
      </c>
      <c r="D214" t="str">
        <f>_xlfn.XLOOKUP(order_items!B214,products_2026!A:A,products_2026!C:C,,0,)</f>
        <v>Outdoor</v>
      </c>
      <c r="E214">
        <f>_xlfn.XLOOKUP(B214,products_2026!A:A,products_2026!D:D,,0,)</f>
        <v>80.069999999999993</v>
      </c>
      <c r="F214">
        <f t="shared" si="3"/>
        <v>160.13999999999999</v>
      </c>
      <c r="G214" t="str">
        <f>_xlfn.XLOOKUP(B214,products_2026!A:A,products_2026!B:B,,0,)</f>
        <v>BBQ Apron - Blue</v>
      </c>
      <c r="H214" t="str">
        <f>_xlfn.XLOOKUP(B214,products_2026!A:A,products_2026!E:E,,0,)</f>
        <v>SELL0094</v>
      </c>
      <c r="I214" t="str">
        <f>IFERROR(_xlfn.XLOOKUP(H214,sellers_2026!A:A,sellers_2026!G:G,,0,), "unknown/inactive")</f>
        <v>WA</v>
      </c>
      <c r="J214" t="str">
        <f>_xlfn.XLOOKUP(H214,sellers_2026!A:A,sellers_2026!B:B,,0,)</f>
        <v>excelinall</v>
      </c>
      <c r="L214" s="10" t="s">
        <v>400</v>
      </c>
      <c r="M214">
        <v>62.22</v>
      </c>
      <c r="O214" s="10" t="s">
        <v>806</v>
      </c>
      <c r="P214">
        <v>2</v>
      </c>
    </row>
    <row r="215" spans="1:16" ht="14.25" customHeight="1" x14ac:dyDescent="0.3">
      <c r="A215" s="2" t="s">
        <v>2766</v>
      </c>
      <c r="B215" s="2" t="s">
        <v>933</v>
      </c>
      <c r="C215" s="2">
        <v>1</v>
      </c>
      <c r="D215" t="str">
        <f>_xlfn.XLOOKUP(order_items!B215,products_2026!A:A,products_2026!C:C,,0,)</f>
        <v>Outdoor</v>
      </c>
      <c r="E215">
        <f>_xlfn.XLOOKUP(B215,products_2026!A:A,products_2026!D:D,,0,)</f>
        <v>87.51</v>
      </c>
      <c r="F215">
        <f t="shared" si="3"/>
        <v>87.51</v>
      </c>
      <c r="G215" t="str">
        <f>_xlfn.XLOOKUP(B215,products_2026!A:A,products_2026!B:B,,0,)</f>
        <v>Garden Hose 50m (Green)</v>
      </c>
      <c r="H215" t="str">
        <f>_xlfn.XLOOKUP(B215,products_2026!A:A,products_2026!E:E,,0,)</f>
        <v>SELL0093</v>
      </c>
      <c r="I215" t="str">
        <f>IFERROR(_xlfn.XLOOKUP(H215,sellers_2026!A:A,sellers_2026!G:G,,0,), "unknown/inactive")</f>
        <v>NT</v>
      </c>
      <c r="J215" t="str">
        <f>_xlfn.XLOOKUP(H215,sellers_2026!A:A,sellers_2026!B:B,,0,)</f>
        <v>millies-outdoor-shop</v>
      </c>
      <c r="L215" s="10" t="s">
        <v>339</v>
      </c>
      <c r="M215">
        <v>62.17</v>
      </c>
      <c r="O215" s="10" t="s">
        <v>119</v>
      </c>
      <c r="P215">
        <v>2</v>
      </c>
    </row>
    <row r="216" spans="1:16" ht="14.25" customHeight="1" x14ac:dyDescent="0.3">
      <c r="A216" s="2" t="s">
        <v>2767</v>
      </c>
      <c r="B216" s="2" t="s">
        <v>503</v>
      </c>
      <c r="C216" s="2">
        <v>2</v>
      </c>
      <c r="D216" t="str">
        <f>_xlfn.XLOOKUP(order_items!B216,products_2026!A:A,products_2026!C:C,,0,)</f>
        <v>Home</v>
      </c>
      <c r="E216">
        <f>_xlfn.XLOOKUP(B216,products_2026!A:A,products_2026!D:D,,0,)</f>
        <v>19.989999999999998</v>
      </c>
      <c r="F216">
        <f t="shared" si="3"/>
        <v>39.979999999999997</v>
      </c>
      <c r="G216" t="str">
        <f>_xlfn.XLOOKUP(B216,products_2026!A:A,products_2026!B:B,,0,)</f>
        <v>Drawer Organiser 5 sections</v>
      </c>
      <c r="H216" t="str">
        <f>_xlfn.XLOOKUP(B216,products_2026!A:A,products_2026!E:E,,0,)</f>
        <v>SELL0070</v>
      </c>
      <c r="I216" t="str">
        <f>IFERROR(_xlfn.XLOOKUP(H216,sellers_2026!A:A,sellers_2026!G:G,,0,), "unknown/inactive")</f>
        <v>QLD</v>
      </c>
      <c r="J216" t="str">
        <f>_xlfn.XLOOKUP(H216,sellers_2026!A:A,sellers_2026!B:B,,0,)</f>
        <v>homeandaways</v>
      </c>
      <c r="L216" s="10" t="s">
        <v>205</v>
      </c>
      <c r="M216">
        <v>61.769999999999996</v>
      </c>
      <c r="O216" s="10" t="s">
        <v>804</v>
      </c>
      <c r="P216">
        <v>2</v>
      </c>
    </row>
    <row r="217" spans="1:16" ht="14.25" customHeight="1" x14ac:dyDescent="0.3">
      <c r="A217" s="2" t="s">
        <v>2767</v>
      </c>
      <c r="B217" s="2" t="s">
        <v>858</v>
      </c>
      <c r="C217" s="2">
        <v>1</v>
      </c>
      <c r="D217" t="str">
        <f>_xlfn.XLOOKUP(order_items!B217,products_2026!A:A,products_2026!C:C,,0,)</f>
        <v>Jewellery</v>
      </c>
      <c r="E217">
        <f>_xlfn.XLOOKUP(B217,products_2026!A:A,products_2026!D:D,,0,)</f>
        <v>59.61</v>
      </c>
      <c r="F217">
        <f t="shared" si="3"/>
        <v>59.61</v>
      </c>
      <c r="G217" t="str">
        <f>_xlfn.XLOOKUP(B217,products_2026!A:A,products_2026!B:B,,0,)</f>
        <v>Jewellery Box White Oak</v>
      </c>
      <c r="H217" t="str">
        <f>_xlfn.XLOOKUP(B217,products_2026!A:A,products_2026!E:E,,0,)</f>
        <v>SELL0091</v>
      </c>
      <c r="I217" t="str">
        <f>IFERROR(_xlfn.XLOOKUP(H217,sellers_2026!A:A,sellers_2026!G:G,,0,), "unknown/inactive")</f>
        <v>TAS</v>
      </c>
      <c r="J217" t="str">
        <f>_xlfn.XLOOKUP(H217,sellers_2026!A:A,sellers_2026!B:B,,0,)</f>
        <v>beautifullhome</v>
      </c>
      <c r="L217" s="10" t="s">
        <v>137</v>
      </c>
      <c r="M217">
        <v>61.62</v>
      </c>
      <c r="O217" s="10" t="s">
        <v>479</v>
      </c>
      <c r="P217">
        <v>2</v>
      </c>
    </row>
    <row r="218" spans="1:16" ht="14.25" customHeight="1" x14ac:dyDescent="0.3">
      <c r="A218" s="2" t="s">
        <v>2768</v>
      </c>
      <c r="B218" s="2" t="s">
        <v>636</v>
      </c>
      <c r="C218" s="2">
        <v>1</v>
      </c>
      <c r="D218" t="str">
        <f>_xlfn.XLOOKUP(order_items!B218,products_2026!A:A,products_2026!C:C,,0,)</f>
        <v>Clothes</v>
      </c>
      <c r="E218">
        <f>_xlfn.XLOOKUP(B218,products_2026!A:A,products_2026!D:D,,0,)</f>
        <v>27.32</v>
      </c>
      <c r="F218">
        <f t="shared" si="3"/>
        <v>27.32</v>
      </c>
      <c r="G218" t="str">
        <f>_xlfn.XLOOKUP(B218,products_2026!A:A,products_2026!B:B,,0,)</f>
        <v>Denim S Child</v>
      </c>
      <c r="H218" t="str">
        <f>_xlfn.XLOOKUP(B218,products_2026!A:A,products_2026!E:E,,0,)</f>
        <v>SELL0086</v>
      </c>
      <c r="I218" t="str">
        <f>IFERROR(_xlfn.XLOOKUP(H218,sellers_2026!A:A,sellers_2026!G:G,,0,), "unknown/inactive")</f>
        <v>VIC</v>
      </c>
      <c r="J218" t="str">
        <f>_xlfn.XLOOKUP(H218,sellers_2026!A:A,sellers_2026!B:B,,0,)</f>
        <v>clothesforlife</v>
      </c>
      <c r="L218" s="10" t="s">
        <v>38</v>
      </c>
      <c r="M218">
        <v>61.42</v>
      </c>
      <c r="O218" s="10" t="s">
        <v>248</v>
      </c>
      <c r="P218">
        <v>2</v>
      </c>
    </row>
    <row r="219" spans="1:16" ht="14.25" customHeight="1" x14ac:dyDescent="0.3">
      <c r="A219" s="2" t="s">
        <v>2769</v>
      </c>
      <c r="B219" s="2" t="s">
        <v>917</v>
      </c>
      <c r="C219" s="2">
        <v>1</v>
      </c>
      <c r="D219" t="str">
        <f>_xlfn.XLOOKUP(order_items!B219,products_2026!A:A,products_2026!C:C,,0,)</f>
        <v>Outdoor</v>
      </c>
      <c r="E219">
        <f>_xlfn.XLOOKUP(B219,products_2026!A:A,products_2026!D:D,,0,)</f>
        <v>66.94</v>
      </c>
      <c r="F219">
        <f t="shared" si="3"/>
        <v>66.94</v>
      </c>
      <c r="G219" t="str">
        <f>_xlfn.XLOOKUP(B219,products_2026!A:A,products_2026!B:B,,0,)</f>
        <v>paddling pool blue inflatable fishes</v>
      </c>
      <c r="H219" t="str">
        <f>_xlfn.XLOOKUP(B219,products_2026!A:A,products_2026!E:E,,0,)</f>
        <v>SELL0092</v>
      </c>
      <c r="I219" t="str">
        <f>IFERROR(_xlfn.XLOOKUP(H219,sellers_2026!A:A,sellers_2026!G:G,,0,), "unknown/inactive")</f>
        <v>VIC</v>
      </c>
      <c r="J219" t="str">
        <f>_xlfn.XLOOKUP(H219,sellers_2026!A:A,sellers_2026!B:B,,0,)</f>
        <v>dress4beauty</v>
      </c>
      <c r="L219" s="10" t="s">
        <v>769</v>
      </c>
      <c r="M219">
        <v>60.93</v>
      </c>
      <c r="O219" s="10" t="s">
        <v>778</v>
      </c>
      <c r="P219">
        <v>2</v>
      </c>
    </row>
    <row r="220" spans="1:16" ht="14.25" customHeight="1" x14ac:dyDescent="0.3">
      <c r="A220" s="2" t="s">
        <v>2769</v>
      </c>
      <c r="B220" s="2" t="s">
        <v>923</v>
      </c>
      <c r="C220" s="2">
        <v>1</v>
      </c>
      <c r="D220" t="str">
        <f>_xlfn.XLOOKUP(order_items!B220,products_2026!A:A,products_2026!C:C,,0,)</f>
        <v>Outdoor</v>
      </c>
      <c r="E220">
        <f>_xlfn.XLOOKUP(B220,products_2026!A:A,products_2026!D:D,,0,)</f>
        <v>25.41</v>
      </c>
      <c r="F220">
        <f t="shared" si="3"/>
        <v>25.41</v>
      </c>
      <c r="G220" t="str">
        <f>_xlfn.XLOOKUP(B220,products_2026!A:A,products_2026!B:B,,0,)</f>
        <v>Stainless Steel BBQ Tools Set (Navy)</v>
      </c>
      <c r="H220" t="str">
        <f>_xlfn.XLOOKUP(B220,products_2026!A:A,products_2026!E:E,,0,)</f>
        <v>SELL0093</v>
      </c>
      <c r="I220" t="str">
        <f>IFERROR(_xlfn.XLOOKUP(H220,sellers_2026!A:A,sellers_2026!G:G,,0,), "unknown/inactive")</f>
        <v>NT</v>
      </c>
      <c r="J220" t="str">
        <f>_xlfn.XLOOKUP(H220,sellers_2026!A:A,sellers_2026!B:B,,0,)</f>
        <v>millies-outdoor-shop</v>
      </c>
      <c r="L220" s="10" t="s">
        <v>406</v>
      </c>
      <c r="M220">
        <v>59.96</v>
      </c>
      <c r="O220" s="10" t="s">
        <v>857</v>
      </c>
      <c r="P220">
        <v>2</v>
      </c>
    </row>
    <row r="221" spans="1:16" ht="14.25" customHeight="1" x14ac:dyDescent="0.3">
      <c r="A221" s="2" t="s">
        <v>2770</v>
      </c>
      <c r="B221" s="2" t="s">
        <v>951</v>
      </c>
      <c r="C221" s="2">
        <v>1</v>
      </c>
      <c r="D221" t="str">
        <f>_xlfn.XLOOKUP(order_items!B221,products_2026!A:A,products_2026!C:C,,0,)</f>
        <v>Outdoor</v>
      </c>
      <c r="E221">
        <f>_xlfn.XLOOKUP(B221,products_2026!A:A,products_2026!D:D,,0,)</f>
        <v>54.41</v>
      </c>
      <c r="F221">
        <f t="shared" si="3"/>
        <v>54.41</v>
      </c>
      <c r="G221" t="str">
        <f>_xlfn.XLOOKUP(B221,products_2026!A:A,products_2026!B:B,,0,)</f>
        <v>BBQ Grill Mat - Non‑stick (Navy)</v>
      </c>
      <c r="H221" t="str">
        <f>_xlfn.XLOOKUP(B221,products_2026!A:A,products_2026!E:E,,0,)</f>
        <v>SELL0093</v>
      </c>
      <c r="I221" t="str">
        <f>IFERROR(_xlfn.XLOOKUP(H221,sellers_2026!A:A,sellers_2026!G:G,,0,), "unknown/inactive")</f>
        <v>NT</v>
      </c>
      <c r="J221" t="str">
        <f>_xlfn.XLOOKUP(H221,sellers_2026!A:A,sellers_2026!B:B,,0,)</f>
        <v>millies-outdoor-shop</v>
      </c>
      <c r="L221" s="10" t="s">
        <v>408</v>
      </c>
      <c r="M221">
        <v>58</v>
      </c>
      <c r="O221" s="10" t="s">
        <v>914</v>
      </c>
      <c r="P221">
        <v>2</v>
      </c>
    </row>
    <row r="222" spans="1:16" ht="14.25" customHeight="1" x14ac:dyDescent="0.3">
      <c r="A222" s="2" t="s">
        <v>2771</v>
      </c>
      <c r="B222" s="2" t="s">
        <v>490</v>
      </c>
      <c r="C222" s="2">
        <v>1</v>
      </c>
      <c r="D222" t="str">
        <f>_xlfn.XLOOKUP(order_items!B222,products_2026!A:A,products_2026!C:C,,0,)</f>
        <v>Outdoor</v>
      </c>
      <c r="E222">
        <f>_xlfn.XLOOKUP(B222,products_2026!A:A,products_2026!D:D,,0,)</f>
        <v>50.7</v>
      </c>
      <c r="F222">
        <f t="shared" si="3"/>
        <v>50.7</v>
      </c>
      <c r="G222" t="str">
        <f>_xlfn.XLOOKUP(B222,products_2026!A:A,products_2026!B:B,,0,)</f>
        <v>Beach Umbrella - UV50+ White</v>
      </c>
      <c r="H222" t="str">
        <f>_xlfn.XLOOKUP(B222,products_2026!A:A,products_2026!E:E,,0,)</f>
        <v>SELL0069</v>
      </c>
      <c r="I222" t="str">
        <f>IFERROR(_xlfn.XLOOKUP(H222,sellers_2026!A:A,sellers_2026!G:G,,0,), "unknown/inactive")</f>
        <v>VIC</v>
      </c>
      <c r="J222" t="str">
        <f>_xlfn.XLOOKUP(H222,sellers_2026!A:A,sellers_2026!B:B,,0,)</f>
        <v>barbievend</v>
      </c>
      <c r="L222" s="10" t="s">
        <v>940</v>
      </c>
      <c r="M222">
        <v>57.98</v>
      </c>
      <c r="O222" s="10" t="s">
        <v>719</v>
      </c>
      <c r="P222">
        <v>2</v>
      </c>
    </row>
    <row r="223" spans="1:16" ht="14.25" customHeight="1" x14ac:dyDescent="0.3">
      <c r="A223" s="2" t="s">
        <v>2772</v>
      </c>
      <c r="B223" s="2" t="s">
        <v>720</v>
      </c>
      <c r="C223" s="2">
        <v>1</v>
      </c>
      <c r="D223" t="str">
        <f>_xlfn.XLOOKUP(order_items!B223,products_2026!A:A,products_2026!C:C,,0,)</f>
        <v>Gift_Sets</v>
      </c>
      <c r="E223">
        <f>_xlfn.XLOOKUP(B223,products_2026!A:A,products_2026!D:D,,0,)</f>
        <v>33.89</v>
      </c>
      <c r="F223">
        <f t="shared" si="3"/>
        <v>33.89</v>
      </c>
      <c r="G223" t="str">
        <f>_xlfn.XLOOKUP(B223,products_2026!A:A,products_2026!B:B,,0,)</f>
        <v>Mini Plant Starter Kit (Lily)</v>
      </c>
      <c r="H223" t="str">
        <f>_xlfn.XLOOKUP(B223,products_2026!A:A,products_2026!E:E,,0,)</f>
        <v>SELL0088</v>
      </c>
      <c r="I223" t="str">
        <f>IFERROR(_xlfn.XLOOKUP(H223,sellers_2026!A:A,sellers_2026!G:G,,0,), "unknown/inactive")</f>
        <v>TAS</v>
      </c>
      <c r="J223" t="str">
        <f>_xlfn.XLOOKUP(H223,sellers_2026!A:A,sellers_2026!B:B,,0,)</f>
        <v>7ti9lfa6h5</v>
      </c>
      <c r="L223" s="10" t="s">
        <v>946</v>
      </c>
      <c r="M223">
        <v>57.52</v>
      </c>
      <c r="O223" s="10" t="s">
        <v>414</v>
      </c>
      <c r="P223">
        <v>2</v>
      </c>
    </row>
    <row r="224" spans="1:16" ht="14.25" customHeight="1" x14ac:dyDescent="0.3">
      <c r="A224" s="2" t="s">
        <v>2772</v>
      </c>
      <c r="B224" s="2" t="s">
        <v>849</v>
      </c>
      <c r="C224" s="2">
        <v>1</v>
      </c>
      <c r="D224" t="str">
        <f>_xlfn.XLOOKUP(order_items!B224,products_2026!A:A,products_2026!C:C,,0,)</f>
        <v>Home</v>
      </c>
      <c r="E224">
        <f>_xlfn.XLOOKUP(B224,products_2026!A:A,products_2026!D:D,,0,)</f>
        <v>21.89</v>
      </c>
      <c r="F224">
        <f t="shared" si="3"/>
        <v>21.89</v>
      </c>
      <c r="G224" t="str">
        <f>_xlfn.XLOOKUP(B224,products_2026!A:A,products_2026!B:B,,0,)</f>
        <v>Decorative Cushion - Blue 60 x 60</v>
      </c>
      <c r="H224" t="str">
        <f>_xlfn.XLOOKUP(B224,products_2026!A:A,products_2026!E:E,,0,)</f>
        <v>SELL0091</v>
      </c>
      <c r="I224" t="str">
        <f>IFERROR(_xlfn.XLOOKUP(H224,sellers_2026!A:A,sellers_2026!G:G,,0,), "unknown/inactive")</f>
        <v>TAS</v>
      </c>
      <c r="J224" t="str">
        <f>_xlfn.XLOOKUP(H224,sellers_2026!A:A,sellers_2026!B:B,,0,)</f>
        <v>beautifullhome</v>
      </c>
      <c r="L224" s="10" t="s">
        <v>591</v>
      </c>
      <c r="M224">
        <v>57.269999999999996</v>
      </c>
      <c r="O224" s="10" t="s">
        <v>589</v>
      </c>
      <c r="P224">
        <v>2</v>
      </c>
    </row>
    <row r="225" spans="1:16" ht="14.25" customHeight="1" x14ac:dyDescent="0.3">
      <c r="A225" s="2" t="s">
        <v>2772</v>
      </c>
      <c r="B225" s="2" t="s">
        <v>887</v>
      </c>
      <c r="C225" s="2">
        <v>1</v>
      </c>
      <c r="D225" t="str">
        <f>_xlfn.XLOOKUP(order_items!B225,products_2026!A:A,products_2026!C:C,,0,)</f>
        <v>Outdoor</v>
      </c>
      <c r="E225">
        <f>_xlfn.XLOOKUP(B225,products_2026!A:A,products_2026!D:D,,0,)</f>
        <v>23.33</v>
      </c>
      <c r="F225">
        <f t="shared" si="3"/>
        <v>23.33</v>
      </c>
      <c r="G225" t="str">
        <f>_xlfn.XLOOKUP(B225,products_2026!A:A,products_2026!B:B,,0,)</f>
        <v>Solar Garden Light Set</v>
      </c>
      <c r="H225" t="str">
        <f>_xlfn.XLOOKUP(B225,products_2026!A:A,products_2026!E:E,,0,)</f>
        <v>SELL0092</v>
      </c>
      <c r="I225" t="str">
        <f>IFERROR(_xlfn.XLOOKUP(H225,sellers_2026!A:A,sellers_2026!G:G,,0,), "unknown/inactive")</f>
        <v>VIC</v>
      </c>
      <c r="J225" t="str">
        <f>_xlfn.XLOOKUP(H225,sellers_2026!A:A,sellers_2026!B:B,,0,)</f>
        <v>dress4beauty</v>
      </c>
      <c r="L225" s="10" t="s">
        <v>531</v>
      </c>
      <c r="M225">
        <v>57.09</v>
      </c>
      <c r="O225" s="10" t="s">
        <v>848</v>
      </c>
      <c r="P225">
        <v>2</v>
      </c>
    </row>
    <row r="226" spans="1:16" ht="14.25" customHeight="1" x14ac:dyDescent="0.3">
      <c r="A226" s="2" t="s">
        <v>2773</v>
      </c>
      <c r="B226" s="2" t="s">
        <v>57</v>
      </c>
      <c r="C226" s="2">
        <v>1</v>
      </c>
      <c r="D226" t="str">
        <f>_xlfn.XLOOKUP(order_items!B226,products_2026!A:A,products_2026!C:C,,0,)</f>
        <v>Outdoor</v>
      </c>
      <c r="E226">
        <f>_xlfn.XLOOKUP(B226,products_2026!A:A,products_2026!D:D,,0,)</f>
        <v>13.71</v>
      </c>
      <c r="F226">
        <f t="shared" si="3"/>
        <v>13.71</v>
      </c>
      <c r="G226" t="str">
        <f>_xlfn.XLOOKUP(B226,products_2026!A:A,products_2026!B:B,,0,)</f>
        <v>BBQ Skewers - 12 pack (Bamboo)</v>
      </c>
      <c r="H226" t="str">
        <f>_xlfn.XLOOKUP(B226,products_2026!A:A,products_2026!E:E,,0,)</f>
        <v>SELL0016</v>
      </c>
      <c r="I226" t="str">
        <f>IFERROR(_xlfn.XLOOKUP(H226,sellers_2026!A:A,sellers_2026!G:G,,0,), "unknown/inactive")</f>
        <v>TAS</v>
      </c>
      <c r="J226" t="str">
        <f>_xlfn.XLOOKUP(H226,sellers_2026!A:A,sellers_2026!B:B,,0,)</f>
        <v>abracadabra_002</v>
      </c>
      <c r="L226" s="10" t="s">
        <v>220</v>
      </c>
      <c r="M226">
        <v>55.76</v>
      </c>
      <c r="O226" s="10" t="s">
        <v>220</v>
      </c>
      <c r="P226">
        <v>2</v>
      </c>
    </row>
    <row r="227" spans="1:16" ht="14.25" customHeight="1" x14ac:dyDescent="0.3">
      <c r="A227" s="2" t="s">
        <v>2773</v>
      </c>
      <c r="B227" s="2" t="s">
        <v>851</v>
      </c>
      <c r="C227" s="2">
        <v>2</v>
      </c>
      <c r="D227" t="str">
        <f>_xlfn.XLOOKUP(order_items!B227,products_2026!A:A,products_2026!C:C,,0,)</f>
        <v>Home</v>
      </c>
      <c r="E227">
        <f>_xlfn.XLOOKUP(B227,products_2026!A:A,products_2026!D:D,,0,)</f>
        <v>110.1</v>
      </c>
      <c r="F227">
        <f t="shared" si="3"/>
        <v>220.2</v>
      </c>
      <c r="G227" t="str">
        <f>_xlfn.XLOOKUP(B227,products_2026!A:A,products_2026!B:B,,0,)</f>
        <v>Memory Foam Pillow Firm</v>
      </c>
      <c r="H227" t="str">
        <f>_xlfn.XLOOKUP(B227,products_2026!A:A,products_2026!E:E,,0,)</f>
        <v>SELL0091</v>
      </c>
      <c r="I227" t="str">
        <f>IFERROR(_xlfn.XLOOKUP(H227,sellers_2026!A:A,sellers_2026!G:G,,0,), "unknown/inactive")</f>
        <v>TAS</v>
      </c>
      <c r="J227" t="str">
        <f>_xlfn.XLOOKUP(H227,sellers_2026!A:A,sellers_2026!B:B,,0,)</f>
        <v>beautifullhome</v>
      </c>
      <c r="L227" s="10" t="s">
        <v>280</v>
      </c>
      <c r="M227">
        <v>55.56</v>
      </c>
      <c r="O227" s="10" t="s">
        <v>547</v>
      </c>
      <c r="P227">
        <v>2</v>
      </c>
    </row>
    <row r="228" spans="1:16" ht="14.25" customHeight="1" x14ac:dyDescent="0.3">
      <c r="A228" s="2" t="s">
        <v>2774</v>
      </c>
      <c r="B228" s="2" t="s">
        <v>185</v>
      </c>
      <c r="C228" s="2">
        <v>2</v>
      </c>
      <c r="D228" t="str">
        <f>_xlfn.XLOOKUP(order_items!B228,products_2026!A:A,products_2026!C:C,,0,)</f>
        <v>Outdoor</v>
      </c>
      <c r="E228">
        <f>_xlfn.XLOOKUP(B228,products_2026!A:A,products_2026!D:D,,0,)</f>
        <v>36.24</v>
      </c>
      <c r="F228">
        <f t="shared" si="3"/>
        <v>72.48</v>
      </c>
      <c r="G228" t="str">
        <f>_xlfn.XLOOKUP(B228,products_2026!A:A,products_2026!B:B,,0,)</f>
        <v>Bubble Maker Machine (Red)</v>
      </c>
      <c r="H228" t="str">
        <f>_xlfn.XLOOKUP(B228,products_2026!A:A,products_2026!E:E,,0,)</f>
        <v>SELL0035</v>
      </c>
      <c r="I228" t="str">
        <f>IFERROR(_xlfn.XLOOKUP(H228,sellers_2026!A:A,sellers_2026!G:G,,0,), "unknown/inactive")</f>
        <v>ACT</v>
      </c>
      <c r="J228" t="str">
        <f>_xlfn.XLOOKUP(H228,sellers_2026!A:A,sellers_2026!B:B,,0,)</f>
        <v>maddie-sells</v>
      </c>
      <c r="L228" s="10" t="s">
        <v>227</v>
      </c>
      <c r="M228">
        <v>55.52</v>
      </c>
      <c r="O228" s="10" t="s">
        <v>524</v>
      </c>
      <c r="P228">
        <v>2</v>
      </c>
    </row>
    <row r="229" spans="1:16" ht="14.25" customHeight="1" x14ac:dyDescent="0.3">
      <c r="A229" s="2" t="s">
        <v>2774</v>
      </c>
      <c r="B229" s="2" t="s">
        <v>388</v>
      </c>
      <c r="C229" s="2">
        <v>1</v>
      </c>
      <c r="D229" t="str">
        <f>_xlfn.XLOOKUP(order_items!B229,products_2026!A:A,products_2026!C:C,,0,)</f>
        <v>Home</v>
      </c>
      <c r="E229">
        <f>_xlfn.XLOOKUP(B229,products_2026!A:A,products_2026!D:D,,0,)</f>
        <v>89.07</v>
      </c>
      <c r="F229">
        <f t="shared" si="3"/>
        <v>89.07</v>
      </c>
      <c r="G229" t="str">
        <f>_xlfn.XLOOKUP(B229,products_2026!A:A,products_2026!B:B,,0,)</f>
        <v>Ceramic Vase - Sand Finish</v>
      </c>
      <c r="H229" t="str">
        <f>_xlfn.XLOOKUP(B229,products_2026!A:A,products_2026!E:E,,0,)</f>
        <v>SELL0057</v>
      </c>
      <c r="I229" t="str">
        <f>IFERROR(_xlfn.XLOOKUP(H229,sellers_2026!A:A,sellers_2026!G:G,,0,), "unknown/inactive")</f>
        <v>TAS</v>
      </c>
      <c r="J229" t="str">
        <f>_xlfn.XLOOKUP(H229,sellers_2026!A:A,sellers_2026!B:B,,0,)</f>
        <v>buildmydream</v>
      </c>
      <c r="L229" s="10" t="s">
        <v>637</v>
      </c>
      <c r="M229">
        <v>54.64</v>
      </c>
      <c r="O229" s="10" t="s">
        <v>859</v>
      </c>
      <c r="P229">
        <v>2</v>
      </c>
    </row>
    <row r="230" spans="1:16" ht="14.25" customHeight="1" x14ac:dyDescent="0.3">
      <c r="A230" s="2" t="s">
        <v>2775</v>
      </c>
      <c r="B230" s="2" t="s">
        <v>222</v>
      </c>
      <c r="C230" s="2">
        <v>1</v>
      </c>
      <c r="D230" t="str">
        <f>_xlfn.XLOOKUP(order_items!B230,products_2026!A:A,products_2026!C:C,,0,)</f>
        <v>Outdoor</v>
      </c>
      <c r="E230">
        <f>_xlfn.XLOOKUP(B230,products_2026!A:A,products_2026!D:D,,0,)</f>
        <v>43.42</v>
      </c>
      <c r="F230">
        <f t="shared" si="3"/>
        <v>43.42</v>
      </c>
      <c r="G230" t="str">
        <f>_xlfn.XLOOKUP(B230,products_2026!A:A,products_2026!B:B,,0,)</f>
        <v>Picnic basket</v>
      </c>
      <c r="H230" t="str">
        <f>_xlfn.XLOOKUP(B230,products_2026!A:A,products_2026!E:E,,0,)</f>
        <v>SELL0039</v>
      </c>
      <c r="I230" t="str">
        <f>IFERROR(_xlfn.XLOOKUP(H230,sellers_2026!A:A,sellers_2026!G:G,,0,), "unknown/inactive")</f>
        <v>QLD</v>
      </c>
      <c r="J230" t="str">
        <f>_xlfn.XLOOKUP(H230,sellers_2026!A:A,sellers_2026!B:B,,0,)</f>
        <v>zmkizlf6t6</v>
      </c>
      <c r="L230" s="10" t="s">
        <v>508</v>
      </c>
      <c r="M230">
        <v>54.03</v>
      </c>
      <c r="O230" s="10" t="s">
        <v>149</v>
      </c>
      <c r="P230">
        <v>2</v>
      </c>
    </row>
    <row r="231" spans="1:16" ht="14.25" customHeight="1" x14ac:dyDescent="0.3">
      <c r="A231" s="2" t="s">
        <v>2775</v>
      </c>
      <c r="B231" s="2" t="s">
        <v>630</v>
      </c>
      <c r="C231" s="2">
        <v>2</v>
      </c>
      <c r="D231" t="str">
        <f>_xlfn.XLOOKUP(order_items!B231,products_2026!A:A,products_2026!C:C,,0,)</f>
        <v>Beauty</v>
      </c>
      <c r="E231">
        <f>_xlfn.XLOOKUP(B231,products_2026!A:A,products_2026!D:D,,0,)</f>
        <v>13.25</v>
      </c>
      <c r="F231">
        <f t="shared" si="3"/>
        <v>26.5</v>
      </c>
      <c r="G231" t="str">
        <f>_xlfn.XLOOKUP(B231,products_2026!A:A,products_2026!B:B,,0,)</f>
        <v>Aloe Vera Gel 150ml 2 pack</v>
      </c>
      <c r="H231" t="str">
        <f>_xlfn.XLOOKUP(B231,products_2026!A:A,products_2026!E:E,,0,)</f>
        <v>SELL0086</v>
      </c>
      <c r="I231" t="str">
        <f>IFERROR(_xlfn.XLOOKUP(H231,sellers_2026!A:A,sellers_2026!G:G,,0,), "unknown/inactive")</f>
        <v>VIC</v>
      </c>
      <c r="J231" t="str">
        <f>_xlfn.XLOOKUP(H231,sellers_2026!A:A,sellers_2026!B:B,,0,)</f>
        <v>clothesforlife</v>
      </c>
      <c r="L231" s="10" t="s">
        <v>524</v>
      </c>
      <c r="M231">
        <v>53.96</v>
      </c>
      <c r="O231" s="10" t="s">
        <v>334</v>
      </c>
      <c r="P231">
        <v>2</v>
      </c>
    </row>
    <row r="232" spans="1:16" ht="14.25" customHeight="1" x14ac:dyDescent="0.3">
      <c r="A232" s="2" t="s">
        <v>2776</v>
      </c>
      <c r="B232" s="2" t="s">
        <v>415</v>
      </c>
      <c r="C232" s="2">
        <v>1</v>
      </c>
      <c r="D232" t="str">
        <f>_xlfn.XLOOKUP(order_items!B232,products_2026!A:A,products_2026!C:C,,0,)</f>
        <v>Outdoor</v>
      </c>
      <c r="E232">
        <f>_xlfn.XLOOKUP(B232,products_2026!A:A,products_2026!D:D,,0,)</f>
        <v>34.86</v>
      </c>
      <c r="F232">
        <f t="shared" si="3"/>
        <v>34.86</v>
      </c>
      <c r="G232" t="str">
        <f>_xlfn.XLOOKUP(B232,products_2026!A:A,products_2026!B:B,,0,)</f>
        <v>Steel Grill Basket</v>
      </c>
      <c r="H232" t="str">
        <f>_xlfn.XLOOKUP(B232,products_2026!A:A,products_2026!E:E,,0,)</f>
        <v>SELL0060</v>
      </c>
      <c r="I232" t="str">
        <f>IFERROR(_xlfn.XLOOKUP(H232,sellers_2026!A:A,sellers_2026!G:G,,0,), "unknown/inactive")</f>
        <v>VIC</v>
      </c>
      <c r="J232" t="str">
        <f>_xlfn.XLOOKUP(H232,sellers_2026!A:A,sellers_2026!B:B,,0,)</f>
        <v>shop689</v>
      </c>
      <c r="L232" s="10" t="s">
        <v>926</v>
      </c>
      <c r="M232">
        <v>53.96</v>
      </c>
      <c r="O232" s="10" t="s">
        <v>926</v>
      </c>
      <c r="P232">
        <v>2</v>
      </c>
    </row>
    <row r="233" spans="1:16" ht="14.25" customHeight="1" x14ac:dyDescent="0.3">
      <c r="A233" s="2" t="s">
        <v>2776</v>
      </c>
      <c r="B233" s="2" t="s">
        <v>415</v>
      </c>
      <c r="C233" s="2">
        <v>2</v>
      </c>
      <c r="D233" t="str">
        <f>_xlfn.XLOOKUP(order_items!B233,products_2026!A:A,products_2026!C:C,,0,)</f>
        <v>Outdoor</v>
      </c>
      <c r="E233">
        <f>_xlfn.XLOOKUP(B233,products_2026!A:A,products_2026!D:D,,0,)</f>
        <v>34.86</v>
      </c>
      <c r="F233">
        <f t="shared" si="3"/>
        <v>69.72</v>
      </c>
      <c r="G233" t="str">
        <f>_xlfn.XLOOKUP(B233,products_2026!A:A,products_2026!B:B,,0,)</f>
        <v>Steel Grill Basket</v>
      </c>
      <c r="H233" t="str">
        <f>_xlfn.XLOOKUP(B233,products_2026!A:A,products_2026!E:E,,0,)</f>
        <v>SELL0060</v>
      </c>
      <c r="I233" t="str">
        <f>IFERROR(_xlfn.XLOOKUP(H233,sellers_2026!A:A,sellers_2026!G:G,,0,), "unknown/inactive")</f>
        <v>VIC</v>
      </c>
      <c r="J233" t="str">
        <f>_xlfn.XLOOKUP(H233,sellers_2026!A:A,sellers_2026!B:B,,0,)</f>
        <v>shop689</v>
      </c>
      <c r="L233" s="10" t="s">
        <v>99</v>
      </c>
      <c r="M233">
        <v>53.820000000000007</v>
      </c>
      <c r="O233" s="10" t="s">
        <v>406</v>
      </c>
      <c r="P233">
        <v>2</v>
      </c>
    </row>
    <row r="234" spans="1:16" ht="14.25" customHeight="1" x14ac:dyDescent="0.3">
      <c r="A234" s="2" t="s">
        <v>2777</v>
      </c>
      <c r="B234" s="2" t="s">
        <v>519</v>
      </c>
      <c r="C234" s="2">
        <v>2</v>
      </c>
      <c r="D234" t="str">
        <f>_xlfn.XLOOKUP(order_items!B234,products_2026!A:A,products_2026!C:C,,0,)</f>
        <v>Outdoor</v>
      </c>
      <c r="E234">
        <f>_xlfn.XLOOKUP(B234,products_2026!A:A,products_2026!D:D,,0,)</f>
        <v>93.44</v>
      </c>
      <c r="F234">
        <f t="shared" si="3"/>
        <v>186.88</v>
      </c>
      <c r="G234" t="str">
        <f>_xlfn.XLOOKUP(B234,products_2026!A:A,products_2026!B:B,,0,)</f>
        <v>Charcoal Starter Chimney XL</v>
      </c>
      <c r="H234" t="str">
        <f>_xlfn.XLOOKUP(B234,products_2026!A:A,products_2026!E:E,,0,)</f>
        <v>SELL0072</v>
      </c>
      <c r="I234" t="str">
        <f>IFERROR(_xlfn.XLOOKUP(H234,sellers_2026!A:A,sellers_2026!G:G,,0,), "unknown/inactive")</f>
        <v>ACT</v>
      </c>
      <c r="J234" t="str">
        <f>_xlfn.XLOOKUP(H234,sellers_2026!A:A,sellers_2026!B:B,,0,)</f>
        <v>swanium</v>
      </c>
      <c r="L234" s="10" t="s">
        <v>914</v>
      </c>
      <c r="M234">
        <v>53.8</v>
      </c>
      <c r="O234" s="10" t="s">
        <v>440</v>
      </c>
      <c r="P234">
        <v>2</v>
      </c>
    </row>
    <row r="235" spans="1:16" ht="14.25" customHeight="1" x14ac:dyDescent="0.3">
      <c r="A235" s="2" t="s">
        <v>2778</v>
      </c>
      <c r="B235" s="2" t="s">
        <v>559</v>
      </c>
      <c r="C235" s="2">
        <v>1</v>
      </c>
      <c r="D235" t="str">
        <f>_xlfn.XLOOKUP(order_items!B235,products_2026!A:A,products_2026!C:C,,0,)</f>
        <v>Outdoor</v>
      </c>
      <c r="E235">
        <f>_xlfn.XLOOKUP(B235,products_2026!A:A,products_2026!D:D,,0,)</f>
        <v>51.74</v>
      </c>
      <c r="F235">
        <f t="shared" si="3"/>
        <v>51.74</v>
      </c>
      <c r="G235" t="str">
        <f>_xlfn.XLOOKUP(B235,products_2026!A:A,products_2026!B:B,,0,)</f>
        <v>Garden Ornament Frog</v>
      </c>
      <c r="H235" t="str">
        <f>_xlfn.XLOOKUP(B235,products_2026!A:A,products_2026!E:E,,0,)</f>
        <v>SELL0077</v>
      </c>
      <c r="I235" t="str">
        <f>IFERROR(_xlfn.XLOOKUP(H235,sellers_2026!A:A,sellers_2026!G:G,,0,), "unknown/inactive")</f>
        <v>ACT</v>
      </c>
      <c r="J235" t="str">
        <f>_xlfn.XLOOKUP(H235,sellers_2026!A:A,sellers_2026!B:B,,0,)</f>
        <v>doorsyout</v>
      </c>
      <c r="L235" s="10" t="s">
        <v>782</v>
      </c>
      <c r="M235">
        <v>53.489999999999995</v>
      </c>
      <c r="O235" s="10" t="s">
        <v>157</v>
      </c>
      <c r="P235">
        <v>2</v>
      </c>
    </row>
    <row r="236" spans="1:16" ht="14.25" customHeight="1" x14ac:dyDescent="0.3">
      <c r="A236" s="2" t="s">
        <v>2778</v>
      </c>
      <c r="B236" s="2" t="s">
        <v>907</v>
      </c>
      <c r="C236" s="2">
        <v>2</v>
      </c>
      <c r="D236" t="str">
        <f>_xlfn.XLOOKUP(order_items!B236,products_2026!A:A,products_2026!C:C,,0,)</f>
        <v>Outdoor</v>
      </c>
      <c r="E236">
        <f>_xlfn.XLOOKUP(B236,products_2026!A:A,products_2026!D:D,,0,)</f>
        <v>63.89</v>
      </c>
      <c r="F236">
        <f t="shared" si="3"/>
        <v>127.78</v>
      </c>
      <c r="G236" t="str">
        <f>_xlfn.XLOOKUP(B236,products_2026!A:A,products_2026!B:B,,0,)</f>
        <v>Camping Kettle 5L Navy</v>
      </c>
      <c r="H236" t="str">
        <f>_xlfn.XLOOKUP(B236,products_2026!A:A,products_2026!E:E,,0,)</f>
        <v>SELL0093</v>
      </c>
      <c r="I236" t="str">
        <f>IFERROR(_xlfn.XLOOKUP(H236,sellers_2026!A:A,sellers_2026!G:G,,0,), "unknown/inactive")</f>
        <v>NT</v>
      </c>
      <c r="J236" t="str">
        <f>_xlfn.XLOOKUP(H236,sellers_2026!A:A,sellers_2026!B:B,,0,)</f>
        <v>millies-outdoor-shop</v>
      </c>
      <c r="L236" s="10" t="s">
        <v>556</v>
      </c>
      <c r="M236">
        <v>53.46</v>
      </c>
      <c r="O236" s="10" t="s">
        <v>117</v>
      </c>
      <c r="P236">
        <v>2</v>
      </c>
    </row>
    <row r="237" spans="1:16" ht="14.25" customHeight="1" x14ac:dyDescent="0.3">
      <c r="A237" s="2" t="s">
        <v>2779</v>
      </c>
      <c r="B237" s="2" t="s">
        <v>57</v>
      </c>
      <c r="C237" s="2">
        <v>1</v>
      </c>
      <c r="D237" t="str">
        <f>_xlfn.XLOOKUP(order_items!B237,products_2026!A:A,products_2026!C:C,,0,)</f>
        <v>Outdoor</v>
      </c>
      <c r="E237">
        <f>_xlfn.XLOOKUP(B237,products_2026!A:A,products_2026!D:D,,0,)</f>
        <v>13.71</v>
      </c>
      <c r="F237">
        <f t="shared" si="3"/>
        <v>13.71</v>
      </c>
      <c r="G237" t="str">
        <f>_xlfn.XLOOKUP(B237,products_2026!A:A,products_2026!B:B,,0,)</f>
        <v>BBQ Skewers - 12 pack (Bamboo)</v>
      </c>
      <c r="H237" t="str">
        <f>_xlfn.XLOOKUP(B237,products_2026!A:A,products_2026!E:E,,0,)</f>
        <v>SELL0016</v>
      </c>
      <c r="I237" t="str">
        <f>IFERROR(_xlfn.XLOOKUP(H237,sellers_2026!A:A,sellers_2026!G:G,,0,), "unknown/inactive")</f>
        <v>TAS</v>
      </c>
      <c r="J237" t="str">
        <f>_xlfn.XLOOKUP(H237,sellers_2026!A:A,sellers_2026!B:B,,0,)</f>
        <v>abracadabra_002</v>
      </c>
      <c r="L237" s="10" t="s">
        <v>665</v>
      </c>
      <c r="M237">
        <v>53.17</v>
      </c>
      <c r="O237" s="10" t="s">
        <v>655</v>
      </c>
      <c r="P237">
        <v>2</v>
      </c>
    </row>
    <row r="238" spans="1:16" ht="14.25" customHeight="1" x14ac:dyDescent="0.3">
      <c r="A238" s="2" t="s">
        <v>2779</v>
      </c>
      <c r="B238" s="2" t="s">
        <v>253</v>
      </c>
      <c r="C238" s="2">
        <v>1</v>
      </c>
      <c r="D238" t="str">
        <f>_xlfn.XLOOKUP(order_items!B238,products_2026!A:A,products_2026!C:C,,0,)</f>
        <v>Outdoor</v>
      </c>
      <c r="E238">
        <f>_xlfn.XLOOKUP(B238,products_2026!A:A,products_2026!D:D,,0,)</f>
        <v>44.42</v>
      </c>
      <c r="F238">
        <f t="shared" si="3"/>
        <v>44.42</v>
      </c>
      <c r="G238" t="str">
        <f>_xlfn.XLOOKUP(B238,products_2026!A:A,products_2026!B:B,,0,)</f>
        <v>OutdoorOven Oven Gloves (Green)</v>
      </c>
      <c r="H238" t="str">
        <f>_xlfn.XLOOKUP(B238,products_2026!A:A,products_2026!E:E,,0,)</f>
        <v>SELL0041</v>
      </c>
      <c r="I238" t="str">
        <f>IFERROR(_xlfn.XLOOKUP(H238,sellers_2026!A:A,sellers_2026!G:G,,0,), "unknown/inactive")</f>
        <v>NT</v>
      </c>
      <c r="J238" t="str">
        <f>_xlfn.XLOOKUP(H238,sellers_2026!A:A,sellers_2026!B:B,,0,)</f>
        <v>wcs62ctlxh</v>
      </c>
      <c r="L238" s="10" t="s">
        <v>493</v>
      </c>
      <c r="M238">
        <v>53.17</v>
      </c>
      <c r="O238" s="10" t="s">
        <v>209</v>
      </c>
      <c r="P238">
        <v>2</v>
      </c>
    </row>
    <row r="239" spans="1:16" ht="14.25" customHeight="1" x14ac:dyDescent="0.3">
      <c r="A239" s="2" t="s">
        <v>2779</v>
      </c>
      <c r="B239" s="2" t="s">
        <v>401</v>
      </c>
      <c r="C239" s="2">
        <v>2</v>
      </c>
      <c r="D239" t="str">
        <f>_xlfn.XLOOKUP(order_items!B239,products_2026!A:A,products_2026!C:C,,0,)</f>
        <v>Outdoor</v>
      </c>
      <c r="E239">
        <f>_xlfn.XLOOKUP(B239,products_2026!A:A,products_2026!D:D,,0,)</f>
        <v>75.239999999999995</v>
      </c>
      <c r="F239">
        <f t="shared" si="3"/>
        <v>150.47999999999999</v>
      </c>
      <c r="G239" t="str">
        <f>_xlfn.XLOOKUP(B239,products_2026!A:A,products_2026!B:B,,0,)</f>
        <v>Ice bucket outdoor beers garden picnic</v>
      </c>
      <c r="H239" t="str">
        <f>_xlfn.XLOOKUP(B239,products_2026!A:A,products_2026!E:E,,0,)</f>
        <v>SELL0058</v>
      </c>
      <c r="I239" t="str">
        <f>IFERROR(_xlfn.XLOOKUP(H239,sellers_2026!A:A,sellers_2026!G:G,,0,), "unknown/inactive")</f>
        <v>QLD</v>
      </c>
      <c r="J239" t="str">
        <f>_xlfn.XLOOKUP(H239,sellers_2026!A:A,sellers_2026!B:B,,0,)</f>
        <v>au6ynzdcy5</v>
      </c>
      <c r="L239" s="10" t="s">
        <v>152</v>
      </c>
      <c r="M239">
        <v>53.16</v>
      </c>
      <c r="O239" s="10" t="s">
        <v>518</v>
      </c>
      <c r="P239">
        <v>2</v>
      </c>
    </row>
    <row r="240" spans="1:16" ht="14.25" customHeight="1" x14ac:dyDescent="0.3">
      <c r="A240" s="2" t="s">
        <v>2779</v>
      </c>
      <c r="B240" s="2" t="s">
        <v>760</v>
      </c>
      <c r="C240" s="2">
        <v>1</v>
      </c>
      <c r="D240" t="str">
        <f>_xlfn.XLOOKUP(order_items!B240,products_2026!A:A,products_2026!C:C,,0,)</f>
        <v>Health</v>
      </c>
      <c r="E240">
        <f>_xlfn.XLOOKUP(B240,products_2026!A:A,products_2026!D:D,,0,)</f>
        <v>23.35</v>
      </c>
      <c r="F240">
        <f t="shared" si="3"/>
        <v>23.35</v>
      </c>
      <c r="G240" t="str">
        <f>_xlfn.XLOOKUP(B240,products_2026!A:A,products_2026!B:B,,0,)</f>
        <v>Adjustable Dumbbell 10kg</v>
      </c>
      <c r="H240" t="str">
        <f>_xlfn.XLOOKUP(B240,products_2026!A:A,products_2026!E:E,,0,)</f>
        <v>SELL0051</v>
      </c>
      <c r="I240" t="str">
        <f>IFERROR(_xlfn.XLOOKUP(H240,sellers_2026!A:A,sellers_2026!G:G,,0,), "unknown/inactive")</f>
        <v>NT</v>
      </c>
      <c r="J240" t="str">
        <f>_xlfn.XLOOKUP(H240,sellers_2026!A:A,sellers_2026!B:B,,0,)</f>
        <v>healthway</v>
      </c>
      <c r="L240" s="10" t="s">
        <v>631</v>
      </c>
      <c r="M240">
        <v>53</v>
      </c>
      <c r="O240" s="10" t="s">
        <v>944</v>
      </c>
      <c r="P240">
        <v>2</v>
      </c>
    </row>
    <row r="241" spans="1:16" ht="14.25" customHeight="1" x14ac:dyDescent="0.3">
      <c r="A241" s="2" t="s">
        <v>2780</v>
      </c>
      <c r="B241" s="2" t="s">
        <v>64</v>
      </c>
      <c r="C241" s="2">
        <v>1</v>
      </c>
      <c r="D241" t="str">
        <f>_xlfn.XLOOKUP(order_items!B241,products_2026!A:A,products_2026!C:C,,0,)</f>
        <v>Outdoor</v>
      </c>
      <c r="E241">
        <f>_xlfn.XLOOKUP(B241,products_2026!A:A,products_2026!D:D,,0,)</f>
        <v>15.05</v>
      </c>
      <c r="F241">
        <f t="shared" si="3"/>
        <v>15.05</v>
      </c>
      <c r="G241" t="str">
        <f>_xlfn.XLOOKUP(B241,products_2026!A:A,products_2026!B:B,,0,)</f>
        <v>BBQ Skewers - 12 pack (Stainless Steel)</v>
      </c>
      <c r="H241" t="str">
        <f>_xlfn.XLOOKUP(B241,products_2026!A:A,products_2026!E:E,,0,)</f>
        <v>SELL0009</v>
      </c>
      <c r="I241" t="str">
        <f>IFERROR(_xlfn.XLOOKUP(H241,sellers_2026!A:A,sellers_2026!G:G,,0,), "unknown/inactive")</f>
        <v>QLD</v>
      </c>
      <c r="J241" t="str">
        <f>_xlfn.XLOOKUP(H241,sellers_2026!A:A,sellers_2026!B:B,,0,)</f>
        <v>bootsandcamping</v>
      </c>
      <c r="L241" s="10" t="s">
        <v>265</v>
      </c>
      <c r="M241">
        <v>52.64</v>
      </c>
      <c r="O241" s="10" t="s">
        <v>981</v>
      </c>
      <c r="P241">
        <v>2</v>
      </c>
    </row>
    <row r="242" spans="1:16" ht="14.25" customHeight="1" x14ac:dyDescent="0.3">
      <c r="A242" s="2" t="s">
        <v>2781</v>
      </c>
      <c r="B242" s="2" t="s">
        <v>54</v>
      </c>
      <c r="C242" s="2">
        <v>1</v>
      </c>
      <c r="D242" t="str">
        <f>_xlfn.XLOOKUP(order_items!B242,products_2026!A:A,products_2026!C:C,,0,)</f>
        <v>Outdoor</v>
      </c>
      <c r="E242">
        <f>_xlfn.XLOOKUP(B242,products_2026!A:A,products_2026!D:D,,0,)</f>
        <v>73.55</v>
      </c>
      <c r="F242">
        <f t="shared" si="3"/>
        <v>73.55</v>
      </c>
      <c r="G242" t="str">
        <f>_xlfn.XLOOKUP(B242,products_2026!A:A,products_2026!B:B,,0,)</f>
        <v>Stainless Steel Grill Basket XL</v>
      </c>
      <c r="H242" t="str">
        <f>_xlfn.XLOOKUP(B242,products_2026!A:A,products_2026!E:E,,0,)</f>
        <v>SELL0015</v>
      </c>
      <c r="I242" t="str">
        <f>IFERROR(_xlfn.XLOOKUP(H242,sellers_2026!A:A,sellers_2026!G:G,,0,), "unknown/inactive")</f>
        <v>NSW</v>
      </c>
      <c r="J242" t="str">
        <f>_xlfn.XLOOKUP(H242,sellers_2026!A:A,sellers_2026!B:B,,0,)</f>
        <v>outhomelovely</v>
      </c>
      <c r="L242" s="10" t="s">
        <v>481</v>
      </c>
      <c r="M242">
        <v>52.53</v>
      </c>
      <c r="O242" s="10" t="s">
        <v>500</v>
      </c>
      <c r="P242">
        <v>2</v>
      </c>
    </row>
    <row r="243" spans="1:16" ht="14.25" customHeight="1" x14ac:dyDescent="0.3">
      <c r="A243" s="2" t="s">
        <v>2781</v>
      </c>
      <c r="B243" s="2" t="s">
        <v>879</v>
      </c>
      <c r="C243" s="2">
        <v>1</v>
      </c>
      <c r="D243" t="str">
        <f>_xlfn.XLOOKUP(order_items!B243,products_2026!A:A,products_2026!C:C,,0,)</f>
        <v>Jewellery</v>
      </c>
      <c r="E243">
        <f>_xlfn.XLOOKUP(B243,products_2026!A:A,products_2026!D:D,,0,)</f>
        <v>21.1</v>
      </c>
      <c r="F243">
        <f t="shared" si="3"/>
        <v>21.1</v>
      </c>
      <c r="G243" t="str">
        <f>_xlfn.XLOOKUP(B243,products_2026!A:A,products_2026!B:B,,0,)</f>
        <v>Gold-plated Hoop Earrings Crystal Clip</v>
      </c>
      <c r="H243" t="str">
        <f>_xlfn.XLOOKUP(B243,products_2026!A:A,products_2026!E:E,,0,)</f>
        <v>SELL0092</v>
      </c>
      <c r="I243" t="str">
        <f>IFERROR(_xlfn.XLOOKUP(H243,sellers_2026!A:A,sellers_2026!G:G,,0,), "unknown/inactive")</f>
        <v>VIC</v>
      </c>
      <c r="J243" t="str">
        <f>_xlfn.XLOOKUP(H243,sellers_2026!A:A,sellers_2026!B:B,,0,)</f>
        <v>dress4beauty</v>
      </c>
      <c r="L243" s="10" t="s">
        <v>458</v>
      </c>
      <c r="M243">
        <v>51.56</v>
      </c>
      <c r="O243" s="10" t="s">
        <v>756</v>
      </c>
      <c r="P243">
        <v>2</v>
      </c>
    </row>
    <row r="244" spans="1:16" ht="14.25" customHeight="1" x14ac:dyDescent="0.3">
      <c r="A244" s="2" t="s">
        <v>2782</v>
      </c>
      <c r="B244" s="2" t="s">
        <v>83</v>
      </c>
      <c r="C244" s="2">
        <v>1</v>
      </c>
      <c r="D244" t="str">
        <f>_xlfn.XLOOKUP(order_items!B244,products_2026!A:A,products_2026!C:C,,0,)</f>
        <v>Stationery</v>
      </c>
      <c r="E244">
        <f>_xlfn.XLOOKUP(B244,products_2026!A:A,products_2026!D:D,,0,)</f>
        <v>8.39</v>
      </c>
      <c r="F244">
        <f t="shared" si="3"/>
        <v>8.39</v>
      </c>
      <c r="G244" t="str">
        <f>_xlfn.XLOOKUP(B244,products_2026!A:A,products_2026!B:B,,0,)</f>
        <v>Permanent markers 6 pack black</v>
      </c>
      <c r="H244" t="str">
        <f>_xlfn.XLOOKUP(B244,products_2026!A:A,products_2026!E:E,,0,)</f>
        <v>SELL0019</v>
      </c>
      <c r="I244" t="str">
        <f>IFERROR(_xlfn.XLOOKUP(H244,sellers_2026!A:A,sellers_2026!G:G,,0,), "unknown/inactive")</f>
        <v>QLD</v>
      </c>
      <c r="J244" t="str">
        <f>_xlfn.XLOOKUP(H244,sellers_2026!A:A,sellers_2026!B:B,,0,)</f>
        <v>buyingtime</v>
      </c>
      <c r="L244" s="10" t="s">
        <v>287</v>
      </c>
      <c r="M244">
        <v>51.49</v>
      </c>
      <c r="O244" s="10" t="s">
        <v>400</v>
      </c>
      <c r="P244">
        <v>2</v>
      </c>
    </row>
    <row r="245" spans="1:16" ht="14.25" customHeight="1" x14ac:dyDescent="0.3">
      <c r="A245" s="2" t="s">
        <v>2782</v>
      </c>
      <c r="B245" s="2" t="s">
        <v>961</v>
      </c>
      <c r="C245" s="2">
        <v>1</v>
      </c>
      <c r="D245" t="str">
        <f>_xlfn.XLOOKUP(order_items!B245,products_2026!A:A,products_2026!C:C,,0,)</f>
        <v>Outdoor</v>
      </c>
      <c r="E245">
        <f>_xlfn.XLOOKUP(B245,products_2026!A:A,products_2026!D:D,,0,)</f>
        <v>80.069999999999993</v>
      </c>
      <c r="F245">
        <f t="shared" si="3"/>
        <v>80.069999999999993</v>
      </c>
      <c r="G245" t="str">
        <f>_xlfn.XLOOKUP(B245,products_2026!A:A,products_2026!B:B,,0,)</f>
        <v>BBQ Apron - Blue</v>
      </c>
      <c r="H245" t="str">
        <f>_xlfn.XLOOKUP(B245,products_2026!A:A,products_2026!E:E,,0,)</f>
        <v>SELL0094</v>
      </c>
      <c r="I245" t="str">
        <f>IFERROR(_xlfn.XLOOKUP(H245,sellers_2026!A:A,sellers_2026!G:G,,0,), "unknown/inactive")</f>
        <v>WA</v>
      </c>
      <c r="J245" t="str">
        <f>_xlfn.XLOOKUP(H245,sellers_2026!A:A,sellers_2026!B:B,,0,)</f>
        <v>excelinall</v>
      </c>
      <c r="L245" s="10" t="s">
        <v>491</v>
      </c>
      <c r="M245">
        <v>50.7</v>
      </c>
      <c r="O245" s="10" t="s">
        <v>246</v>
      </c>
      <c r="P245">
        <v>2</v>
      </c>
    </row>
    <row r="246" spans="1:16" ht="14.25" customHeight="1" x14ac:dyDescent="0.3">
      <c r="A246" s="2" t="s">
        <v>2783</v>
      </c>
      <c r="B246" s="2" t="s">
        <v>105</v>
      </c>
      <c r="C246" s="2">
        <v>1</v>
      </c>
      <c r="D246" t="str">
        <f>_xlfn.XLOOKUP(order_items!B246,products_2026!A:A,products_2026!C:C,,0,)</f>
        <v>Outdoor</v>
      </c>
      <c r="E246">
        <f>_xlfn.XLOOKUP(B246,products_2026!A:A,products_2026!D:D,,0,)</f>
        <v>45.46</v>
      </c>
      <c r="F246">
        <f t="shared" si="3"/>
        <v>45.46</v>
      </c>
      <c r="G246" t="str">
        <f>_xlfn.XLOOKUP(B246,products_2026!A:A,products_2026!B:B,,0,)</f>
        <v>Outdoor Oven Gloves (Pink)</v>
      </c>
      <c r="H246" t="str">
        <f>_xlfn.XLOOKUP(B246,products_2026!A:A,products_2026!E:E,,0,)</f>
        <v>SELL0022</v>
      </c>
      <c r="I246" t="str">
        <f>IFERROR(_xlfn.XLOOKUP(H246,sellers_2026!A:A,sellers_2026!G:G,,0,), "unknown/inactive")</f>
        <v>WA</v>
      </c>
      <c r="J246" t="str">
        <f>_xlfn.XLOOKUP(H246,sellers_2026!A:A,sellers_2026!B:B,,0,)</f>
        <v>g5x9v55sct</v>
      </c>
      <c r="L246" s="10" t="s">
        <v>920</v>
      </c>
      <c r="M246">
        <v>50.15</v>
      </c>
      <c r="O246" s="10" t="s">
        <v>318</v>
      </c>
      <c r="P246">
        <v>1</v>
      </c>
    </row>
    <row r="247" spans="1:16" ht="14.25" customHeight="1" x14ac:dyDescent="0.3">
      <c r="A247" s="2" t="s">
        <v>2783</v>
      </c>
      <c r="B247" s="2" t="s">
        <v>401</v>
      </c>
      <c r="C247" s="2">
        <v>1</v>
      </c>
      <c r="D247" t="str">
        <f>_xlfn.XLOOKUP(order_items!B247,products_2026!A:A,products_2026!C:C,,0,)</f>
        <v>Outdoor</v>
      </c>
      <c r="E247">
        <f>_xlfn.XLOOKUP(B247,products_2026!A:A,products_2026!D:D,,0,)</f>
        <v>75.239999999999995</v>
      </c>
      <c r="F247">
        <f t="shared" si="3"/>
        <v>75.239999999999995</v>
      </c>
      <c r="G247" t="str">
        <f>_xlfn.XLOOKUP(B247,products_2026!A:A,products_2026!B:B,,0,)</f>
        <v>Ice bucket outdoor beers garden picnic</v>
      </c>
      <c r="H247" t="str">
        <f>_xlfn.XLOOKUP(B247,products_2026!A:A,products_2026!E:E,,0,)</f>
        <v>SELL0058</v>
      </c>
      <c r="I247" t="str">
        <f>IFERROR(_xlfn.XLOOKUP(H247,sellers_2026!A:A,sellers_2026!G:G,,0,), "unknown/inactive")</f>
        <v>QLD</v>
      </c>
      <c r="J247" t="str">
        <f>_xlfn.XLOOKUP(H247,sellers_2026!A:A,sellers_2026!B:B,,0,)</f>
        <v>au6ynzdcy5</v>
      </c>
      <c r="L247" s="10" t="s">
        <v>538</v>
      </c>
      <c r="M247">
        <v>50</v>
      </c>
      <c r="O247" s="10" t="s">
        <v>256</v>
      </c>
      <c r="P247">
        <v>1</v>
      </c>
    </row>
    <row r="248" spans="1:16" ht="14.25" customHeight="1" x14ac:dyDescent="0.3">
      <c r="A248" s="2" t="s">
        <v>2784</v>
      </c>
      <c r="B248" s="2" t="s">
        <v>241</v>
      </c>
      <c r="C248" s="2">
        <v>1</v>
      </c>
      <c r="D248" t="str">
        <f>_xlfn.XLOOKUP(order_items!B248,products_2026!A:A,products_2026!C:C,,0,)</f>
        <v>Outdoor</v>
      </c>
      <c r="E248">
        <f>_xlfn.XLOOKUP(B248,products_2026!A:A,products_2026!D:D,,0,)</f>
        <v>115.39</v>
      </c>
      <c r="F248">
        <f t="shared" si="3"/>
        <v>115.39</v>
      </c>
      <c r="G248" t="str">
        <f>_xlfn.XLOOKUP(B248,products_2026!A:A,products_2026!B:B,,0,)</f>
        <v>Solar Garden Light Set (8 pack)</v>
      </c>
      <c r="H248" t="str">
        <f>_xlfn.XLOOKUP(B248,products_2026!A:A,products_2026!E:E,,0,)</f>
        <v>SELL0021</v>
      </c>
      <c r="I248" t="str">
        <f>IFERROR(_xlfn.XLOOKUP(H248,sellers_2026!A:A,sellers_2026!G:G,,0,), "unknown/inactive")</f>
        <v>VIC</v>
      </c>
      <c r="J248" t="str">
        <f>_xlfn.XLOOKUP(H248,sellers_2026!A:A,sellers_2026!B:B,,0,)</f>
        <v>stuff-on-sale</v>
      </c>
      <c r="L248" s="10" t="s">
        <v>990</v>
      </c>
      <c r="M248">
        <v>49.84</v>
      </c>
      <c r="O248" s="10" t="s">
        <v>876</v>
      </c>
      <c r="P248">
        <v>1</v>
      </c>
    </row>
    <row r="249" spans="1:16" ht="14.25" customHeight="1" x14ac:dyDescent="0.3">
      <c r="A249" s="2" t="s">
        <v>2784</v>
      </c>
      <c r="B249" s="2" t="s">
        <v>903</v>
      </c>
      <c r="C249" s="2">
        <v>1</v>
      </c>
      <c r="D249" t="str">
        <f>_xlfn.XLOOKUP(order_items!B249,products_2026!A:A,products_2026!C:C,,0,)</f>
        <v>Outdoor</v>
      </c>
      <c r="E249">
        <f>_xlfn.XLOOKUP(B249,products_2026!A:A,products_2026!D:D,,0,)</f>
        <v>67.33</v>
      </c>
      <c r="F249">
        <f t="shared" si="3"/>
        <v>67.33</v>
      </c>
      <c r="G249" t="str">
        <f>_xlfn.XLOOKUP(B249,products_2026!A:A,products_2026!B:B,,0,)</f>
        <v>Camping Kettle 2L Navy</v>
      </c>
      <c r="H249" t="str">
        <f>_xlfn.XLOOKUP(B249,products_2026!A:A,products_2026!E:E,,0,)</f>
        <v>SELL0093</v>
      </c>
      <c r="I249" t="str">
        <f>IFERROR(_xlfn.XLOOKUP(H249,sellers_2026!A:A,sellers_2026!G:G,,0,), "unknown/inactive")</f>
        <v>NT</v>
      </c>
      <c r="J249" t="str">
        <f>_xlfn.XLOOKUP(H249,sellers_2026!A:A,sellers_2026!B:B,,0,)</f>
        <v>millies-outdoor-shop</v>
      </c>
      <c r="L249" s="10" t="s">
        <v>719</v>
      </c>
      <c r="M249">
        <v>49.84</v>
      </c>
      <c r="O249" s="10" t="s">
        <v>789</v>
      </c>
      <c r="P249">
        <v>1</v>
      </c>
    </row>
    <row r="250" spans="1:16" ht="14.25" customHeight="1" x14ac:dyDescent="0.3">
      <c r="A250" s="2" t="s">
        <v>2785</v>
      </c>
      <c r="B250" s="2" t="s">
        <v>302</v>
      </c>
      <c r="C250" s="2">
        <v>1</v>
      </c>
      <c r="D250" t="str">
        <f>_xlfn.XLOOKUP(order_items!B250,products_2026!A:A,products_2026!C:C,,0,)</f>
        <v>Stationery</v>
      </c>
      <c r="E250">
        <f>_xlfn.XLOOKUP(B250,products_2026!A:A,products_2026!D:D,,0,)</f>
        <v>5.49</v>
      </c>
      <c r="F250">
        <f t="shared" si="3"/>
        <v>5.49</v>
      </c>
      <c r="G250" t="str">
        <f>_xlfn.XLOOKUP(B250,products_2026!A:A,products_2026!B:B,,0,)</f>
        <v>Whiteboard Markers 6pc</v>
      </c>
      <c r="H250" t="str">
        <f>_xlfn.XLOOKUP(B250,products_2026!A:A,products_2026!E:E,,0,)</f>
        <v>SELL0046</v>
      </c>
      <c r="I250" t="str">
        <f>IFERROR(_xlfn.XLOOKUP(H250,sellers_2026!A:A,sellers_2026!G:G,,0,), "unknown/inactive")</f>
        <v>TAS</v>
      </c>
      <c r="J250" t="str">
        <f>_xlfn.XLOOKUP(H250,sellers_2026!A:A,sellers_2026!B:B,,0,)</f>
        <v>find_what_u_need</v>
      </c>
      <c r="L250" s="10" t="s">
        <v>741</v>
      </c>
      <c r="M250">
        <v>49.8</v>
      </c>
      <c r="O250" s="10" t="s">
        <v>665</v>
      </c>
      <c r="P250">
        <v>1</v>
      </c>
    </row>
    <row r="251" spans="1:16" ht="14.25" customHeight="1" x14ac:dyDescent="0.3">
      <c r="A251" s="2" t="s">
        <v>2786</v>
      </c>
      <c r="B251" s="2" t="s">
        <v>394</v>
      </c>
      <c r="C251" s="2">
        <v>1</v>
      </c>
      <c r="D251" t="str">
        <f>_xlfn.XLOOKUP(order_items!B251,products_2026!A:A,products_2026!C:C,,0,)</f>
        <v>Stationery</v>
      </c>
      <c r="E251">
        <f>_xlfn.XLOOKUP(B251,products_2026!A:A,products_2026!D:D,,0,)</f>
        <v>12.82</v>
      </c>
      <c r="F251">
        <f t="shared" si="3"/>
        <v>12.82</v>
      </c>
      <c r="G251" t="str">
        <f>_xlfn.XLOOKUP(B251,products_2026!A:A,products_2026!B:B,,0,)</f>
        <v>Scented gel pen 20 pack pastel party</v>
      </c>
      <c r="H251" t="str">
        <f>_xlfn.XLOOKUP(B251,products_2026!A:A,products_2026!E:E,,0,)</f>
        <v>SELL0057</v>
      </c>
      <c r="I251" t="str">
        <f>IFERROR(_xlfn.XLOOKUP(H251,sellers_2026!A:A,sellers_2026!G:G,,0,), "unknown/inactive")</f>
        <v>TAS</v>
      </c>
      <c r="J251" t="str">
        <f>_xlfn.XLOOKUP(H251,sellers_2026!A:A,sellers_2026!B:B,,0,)</f>
        <v>buildmydream</v>
      </c>
      <c r="L251" s="10" t="s">
        <v>440</v>
      </c>
      <c r="M251">
        <v>49.4</v>
      </c>
      <c r="O251" s="10" t="s">
        <v>824</v>
      </c>
      <c r="P251">
        <v>1</v>
      </c>
    </row>
    <row r="252" spans="1:16" ht="14.25" customHeight="1" x14ac:dyDescent="0.3">
      <c r="A252" s="2" t="s">
        <v>2786</v>
      </c>
      <c r="B252" s="2" t="s">
        <v>863</v>
      </c>
      <c r="C252" s="2">
        <v>1</v>
      </c>
      <c r="D252" t="str">
        <f>_xlfn.XLOOKUP(order_items!B252,products_2026!A:A,products_2026!C:C,,0,)</f>
        <v>Jewellery</v>
      </c>
      <c r="E252">
        <f>_xlfn.XLOOKUP(B252,products_2026!A:A,products_2026!D:D,,0,)</f>
        <v>32.96</v>
      </c>
      <c r="F252">
        <f t="shared" si="3"/>
        <v>32.96</v>
      </c>
      <c r="G252" t="str">
        <f>_xlfn.XLOOKUP(B252,products_2026!A:A,products_2026!B:B,,0,)</f>
        <v>Crystal Earrings Stud</v>
      </c>
      <c r="H252" t="str">
        <f>_xlfn.XLOOKUP(B252,products_2026!A:A,products_2026!E:E,,0,)</f>
        <v>SELL0092</v>
      </c>
      <c r="I252" t="str">
        <f>IFERROR(_xlfn.XLOOKUP(H252,sellers_2026!A:A,sellers_2026!G:G,,0,), "unknown/inactive")</f>
        <v>VIC</v>
      </c>
      <c r="J252" t="str">
        <f>_xlfn.XLOOKUP(H252,sellers_2026!A:A,sellers_2026!B:B,,0,)</f>
        <v>dress4beauty</v>
      </c>
      <c r="L252" s="10" t="s">
        <v>944</v>
      </c>
      <c r="M252">
        <v>48.88</v>
      </c>
      <c r="O252" s="10" t="s">
        <v>969</v>
      </c>
      <c r="P252">
        <v>1</v>
      </c>
    </row>
    <row r="253" spans="1:16" ht="14.25" customHeight="1" x14ac:dyDescent="0.3">
      <c r="A253" s="2" t="s">
        <v>2786</v>
      </c>
      <c r="B253" s="2" t="s">
        <v>907</v>
      </c>
      <c r="C253" s="2">
        <v>1</v>
      </c>
      <c r="D253" t="str">
        <f>_xlfn.XLOOKUP(order_items!B253,products_2026!A:A,products_2026!C:C,,0,)</f>
        <v>Outdoor</v>
      </c>
      <c r="E253">
        <f>_xlfn.XLOOKUP(B253,products_2026!A:A,products_2026!D:D,,0,)</f>
        <v>63.89</v>
      </c>
      <c r="F253">
        <f t="shared" si="3"/>
        <v>63.89</v>
      </c>
      <c r="G253" t="str">
        <f>_xlfn.XLOOKUP(B253,products_2026!A:A,products_2026!B:B,,0,)</f>
        <v>Camping Kettle 5L Navy</v>
      </c>
      <c r="H253" t="str">
        <f>_xlfn.XLOOKUP(B253,products_2026!A:A,products_2026!E:E,,0,)</f>
        <v>SELL0093</v>
      </c>
      <c r="I253" t="str">
        <f>IFERROR(_xlfn.XLOOKUP(H253,sellers_2026!A:A,sellers_2026!G:G,,0,), "unknown/inactive")</f>
        <v>NT</v>
      </c>
      <c r="J253" t="str">
        <f>_xlfn.XLOOKUP(H253,sellers_2026!A:A,sellers_2026!B:B,,0,)</f>
        <v>millies-outdoor-shop</v>
      </c>
      <c r="L253" s="10" t="s">
        <v>882</v>
      </c>
      <c r="M253">
        <v>48.82</v>
      </c>
      <c r="O253" s="10" t="s">
        <v>404</v>
      </c>
      <c r="P253">
        <v>1</v>
      </c>
    </row>
    <row r="254" spans="1:16" ht="14.25" customHeight="1" x14ac:dyDescent="0.3">
      <c r="A254" s="2" t="s">
        <v>2787</v>
      </c>
      <c r="B254" s="2" t="s">
        <v>47</v>
      </c>
      <c r="C254" s="2">
        <v>1</v>
      </c>
      <c r="D254" t="str">
        <f>_xlfn.XLOOKUP(order_items!B254,products_2026!A:A,products_2026!C:C,,0,)</f>
        <v>Outdoor</v>
      </c>
      <c r="E254">
        <f>_xlfn.XLOOKUP(B254,products_2026!A:A,products_2026!D:D,,0,)</f>
        <v>46.45</v>
      </c>
      <c r="F254">
        <f t="shared" si="3"/>
        <v>46.45</v>
      </c>
      <c r="G254" t="str">
        <f>_xlfn.XLOOKUP(B254,products_2026!A:A,products_2026!B:B,,0,)</f>
        <v>Waterproof Picnic Mat 100x100</v>
      </c>
      <c r="H254" t="str">
        <f>_xlfn.XLOOKUP(B254,products_2026!A:A,products_2026!E:E,,0,)</f>
        <v>SELL0012</v>
      </c>
      <c r="I254" t="str">
        <f>IFERROR(_xlfn.XLOOKUP(H254,sellers_2026!A:A,sellers_2026!G:G,,0,), "unknown/inactive")</f>
        <v>WA</v>
      </c>
      <c r="J254" t="str">
        <f>_xlfn.XLOOKUP(H254,sellers_2026!A:A,sellers_2026!B:B,,0,)</f>
        <v>jane-outside</v>
      </c>
      <c r="L254" s="10" t="s">
        <v>364</v>
      </c>
      <c r="M254">
        <v>48.8</v>
      </c>
      <c r="O254" s="10" t="s">
        <v>595</v>
      </c>
      <c r="P254">
        <v>1</v>
      </c>
    </row>
    <row r="255" spans="1:16" ht="14.25" customHeight="1" x14ac:dyDescent="0.3">
      <c r="A255" s="2" t="s">
        <v>2787</v>
      </c>
      <c r="B255" s="2" t="s">
        <v>415</v>
      </c>
      <c r="C255" s="2">
        <v>1</v>
      </c>
      <c r="D255" t="str">
        <f>_xlfn.XLOOKUP(order_items!B255,products_2026!A:A,products_2026!C:C,,0,)</f>
        <v>Outdoor</v>
      </c>
      <c r="E255">
        <f>_xlfn.XLOOKUP(B255,products_2026!A:A,products_2026!D:D,,0,)</f>
        <v>34.86</v>
      </c>
      <c r="F255">
        <f t="shared" si="3"/>
        <v>34.86</v>
      </c>
      <c r="G255" t="str">
        <f>_xlfn.XLOOKUP(B255,products_2026!A:A,products_2026!B:B,,0,)</f>
        <v>Steel Grill Basket</v>
      </c>
      <c r="H255" t="str">
        <f>_xlfn.XLOOKUP(B255,products_2026!A:A,products_2026!E:E,,0,)</f>
        <v>SELL0060</v>
      </c>
      <c r="I255" t="str">
        <f>IFERROR(_xlfn.XLOOKUP(H255,sellers_2026!A:A,sellers_2026!G:G,,0,), "unknown/inactive")</f>
        <v>VIC</v>
      </c>
      <c r="J255" t="str">
        <f>_xlfn.XLOOKUP(H255,sellers_2026!A:A,sellers_2026!B:B,,0,)</f>
        <v>shop689</v>
      </c>
      <c r="L255" s="10" t="s">
        <v>446</v>
      </c>
      <c r="M255">
        <v>48.51</v>
      </c>
      <c r="O255" s="10" t="s">
        <v>364</v>
      </c>
      <c r="P255">
        <v>1</v>
      </c>
    </row>
    <row r="256" spans="1:16" ht="14.25" customHeight="1" x14ac:dyDescent="0.3">
      <c r="A256" s="2" t="s">
        <v>2787</v>
      </c>
      <c r="B256" s="2" t="s">
        <v>788</v>
      </c>
      <c r="C256" s="2">
        <v>1</v>
      </c>
      <c r="D256" t="str">
        <f>_xlfn.XLOOKUP(order_items!B256,products_2026!A:A,products_2026!C:C,,0,)</f>
        <v>Health</v>
      </c>
      <c r="E256">
        <f>_xlfn.XLOOKUP(B256,products_2026!A:A,products_2026!D:D,,0,)</f>
        <v>43.01</v>
      </c>
      <c r="F256">
        <f t="shared" si="3"/>
        <v>43.01</v>
      </c>
      <c r="G256" t="str">
        <f>_xlfn.XLOOKUP(B256,products_2026!A:A,products_2026!B:B,,0,)</f>
        <v>Foam Roller - Firm Black</v>
      </c>
      <c r="H256" t="str">
        <f>_xlfn.XLOOKUP(B256,products_2026!A:A,products_2026!E:E,,0,)</f>
        <v>SELL0090</v>
      </c>
      <c r="I256" t="str">
        <f>IFERROR(_xlfn.XLOOKUP(H256,sellers_2026!A:A,sellers_2026!G:G,,0,), "unknown/inactive")</f>
        <v>TAS</v>
      </c>
      <c r="J256" t="str">
        <f>_xlfn.XLOOKUP(H256,sellers_2026!A:A,sellers_2026!B:B,,0,)</f>
        <v>housenice</v>
      </c>
      <c r="L256" s="10" t="s">
        <v>672</v>
      </c>
      <c r="M256">
        <v>47.75</v>
      </c>
      <c r="O256" s="10" t="s">
        <v>366</v>
      </c>
      <c r="P256">
        <v>1</v>
      </c>
    </row>
    <row r="257" spans="1:16" ht="14.25" customHeight="1" x14ac:dyDescent="0.3">
      <c r="A257" s="2" t="s">
        <v>2787</v>
      </c>
      <c r="B257" s="2" t="s">
        <v>923</v>
      </c>
      <c r="C257" s="2">
        <v>1</v>
      </c>
      <c r="D257" t="str">
        <f>_xlfn.XLOOKUP(order_items!B257,products_2026!A:A,products_2026!C:C,,0,)</f>
        <v>Outdoor</v>
      </c>
      <c r="E257">
        <f>_xlfn.XLOOKUP(B257,products_2026!A:A,products_2026!D:D,,0,)</f>
        <v>25.41</v>
      </c>
      <c r="F257">
        <f t="shared" si="3"/>
        <v>25.41</v>
      </c>
      <c r="G257" t="str">
        <f>_xlfn.XLOOKUP(B257,products_2026!A:A,products_2026!B:B,,0,)</f>
        <v>Stainless Steel BBQ Tools Set (Navy)</v>
      </c>
      <c r="H257" t="str">
        <f>_xlfn.XLOOKUP(B257,products_2026!A:A,products_2026!E:E,,0,)</f>
        <v>SELL0093</v>
      </c>
      <c r="I257" t="str">
        <f>IFERROR(_xlfn.XLOOKUP(H257,sellers_2026!A:A,sellers_2026!G:G,,0,), "unknown/inactive")</f>
        <v>NT</v>
      </c>
      <c r="J257" t="str">
        <f>_xlfn.XLOOKUP(H257,sellers_2026!A:A,sellers_2026!B:B,,0,)</f>
        <v>millies-outdoor-shop</v>
      </c>
      <c r="L257" s="10" t="s">
        <v>518</v>
      </c>
      <c r="M257">
        <v>47.480000000000004</v>
      </c>
      <c r="O257" s="10" t="s">
        <v>179</v>
      </c>
      <c r="P257">
        <v>1</v>
      </c>
    </row>
    <row r="258" spans="1:16" ht="14.25" customHeight="1" x14ac:dyDescent="0.3">
      <c r="A258" s="2" t="s">
        <v>2788</v>
      </c>
      <c r="B258" s="2" t="s">
        <v>57</v>
      </c>
      <c r="C258" s="2">
        <v>1</v>
      </c>
      <c r="D258" t="str">
        <f>_xlfn.XLOOKUP(order_items!B258,products_2026!A:A,products_2026!C:C,,0,)</f>
        <v>Outdoor</v>
      </c>
      <c r="E258">
        <f>_xlfn.XLOOKUP(B258,products_2026!A:A,products_2026!D:D,,0,)</f>
        <v>13.71</v>
      </c>
      <c r="F258">
        <f t="shared" si="3"/>
        <v>13.71</v>
      </c>
      <c r="G258" t="str">
        <f>_xlfn.XLOOKUP(B258,products_2026!A:A,products_2026!B:B,,0,)</f>
        <v>BBQ Skewers - 12 pack (Bamboo)</v>
      </c>
      <c r="H258" t="str">
        <f>_xlfn.XLOOKUP(B258,products_2026!A:A,products_2026!E:E,,0,)</f>
        <v>SELL0016</v>
      </c>
      <c r="I258" t="str">
        <f>IFERROR(_xlfn.XLOOKUP(H258,sellers_2026!A:A,sellers_2026!G:G,,0,), "unknown/inactive")</f>
        <v>TAS</v>
      </c>
      <c r="J258" t="str">
        <f>_xlfn.XLOOKUP(H258,sellers_2026!A:A,sellers_2026!B:B,,0,)</f>
        <v>abracadabra_002</v>
      </c>
      <c r="L258" s="10" t="s">
        <v>448</v>
      </c>
      <c r="M258">
        <v>47.32</v>
      </c>
      <c r="O258" s="10" t="s">
        <v>146</v>
      </c>
      <c r="P258">
        <v>1</v>
      </c>
    </row>
    <row r="259" spans="1:16" ht="14.25" customHeight="1" x14ac:dyDescent="0.3">
      <c r="A259" s="2" t="s">
        <v>2789</v>
      </c>
      <c r="B259" s="2" t="s">
        <v>887</v>
      </c>
      <c r="C259" s="2">
        <v>1</v>
      </c>
      <c r="D259" t="str">
        <f>_xlfn.XLOOKUP(order_items!B259,products_2026!A:A,products_2026!C:C,,0,)</f>
        <v>Outdoor</v>
      </c>
      <c r="E259">
        <f>_xlfn.XLOOKUP(B259,products_2026!A:A,products_2026!D:D,,0,)</f>
        <v>23.33</v>
      </c>
      <c r="F259">
        <f t="shared" ref="F259:F322" si="4">C259*E259</f>
        <v>23.33</v>
      </c>
      <c r="G259" t="str">
        <f>_xlfn.XLOOKUP(B259,products_2026!A:A,products_2026!B:B,,0,)</f>
        <v>Solar Garden Light Set</v>
      </c>
      <c r="H259" t="str">
        <f>_xlfn.XLOOKUP(B259,products_2026!A:A,products_2026!E:E,,0,)</f>
        <v>SELL0092</v>
      </c>
      <c r="I259" t="str">
        <f>IFERROR(_xlfn.XLOOKUP(H259,sellers_2026!A:A,sellers_2026!G:G,,0,), "unknown/inactive")</f>
        <v>VIC</v>
      </c>
      <c r="J259" t="str">
        <f>_xlfn.XLOOKUP(H259,sellers_2026!A:A,sellers_2026!B:B,,0,)</f>
        <v>dress4beauty</v>
      </c>
      <c r="L259" s="10" t="s">
        <v>496</v>
      </c>
      <c r="M259">
        <v>44.94</v>
      </c>
      <c r="O259" s="10" t="s">
        <v>395</v>
      </c>
      <c r="P259">
        <v>1</v>
      </c>
    </row>
    <row r="260" spans="1:16" ht="14.25" customHeight="1" x14ac:dyDescent="0.3">
      <c r="A260" s="2" t="s">
        <v>2790</v>
      </c>
      <c r="B260" s="2" t="s">
        <v>889</v>
      </c>
      <c r="C260" s="2">
        <v>1</v>
      </c>
      <c r="D260" t="str">
        <f>_xlfn.XLOOKUP(order_items!B260,products_2026!A:A,products_2026!C:C,,0,)</f>
        <v>Outdoor</v>
      </c>
      <c r="E260">
        <f>_xlfn.XLOOKUP(B260,products_2026!A:A,products_2026!D:D,,0,)</f>
        <v>10.07</v>
      </c>
      <c r="F260">
        <f t="shared" si="4"/>
        <v>10.07</v>
      </c>
      <c r="G260" t="str">
        <f>_xlfn.XLOOKUP(B260,products_2026!A:A,products_2026!B:B,,0,)</f>
        <v>Bamboo Picnic Rug Recycled Material</v>
      </c>
      <c r="H260" t="str">
        <f>_xlfn.XLOOKUP(B260,products_2026!A:A,products_2026!E:E,,0,)</f>
        <v>SELL0092</v>
      </c>
      <c r="I260" t="str">
        <f>IFERROR(_xlfn.XLOOKUP(H260,sellers_2026!A:A,sellers_2026!G:G,,0,), "unknown/inactive")</f>
        <v>VIC</v>
      </c>
      <c r="J260" t="str">
        <f>_xlfn.XLOOKUP(H260,sellers_2026!A:A,sellers_2026!B:B,,0,)</f>
        <v>dress4beauty</v>
      </c>
      <c r="L260" s="10" t="s">
        <v>789</v>
      </c>
      <c r="M260">
        <v>43.01</v>
      </c>
      <c r="O260" s="10" t="s">
        <v>280</v>
      </c>
      <c r="P260">
        <v>1</v>
      </c>
    </row>
    <row r="261" spans="1:16" ht="14.25" customHeight="1" x14ac:dyDescent="0.3">
      <c r="A261" s="2" t="s">
        <v>2791</v>
      </c>
      <c r="B261" s="2" t="s">
        <v>85</v>
      </c>
      <c r="C261" s="2">
        <v>1</v>
      </c>
      <c r="D261" t="str">
        <f>_xlfn.XLOOKUP(order_items!B261,products_2026!A:A,products_2026!C:C,,0,)</f>
        <v>Stationery</v>
      </c>
      <c r="E261">
        <f>_xlfn.XLOOKUP(B261,products_2026!A:A,products_2026!D:D,,0,)</f>
        <v>10.39</v>
      </c>
      <c r="F261">
        <f t="shared" si="4"/>
        <v>10.39</v>
      </c>
      <c r="G261" t="str">
        <f>_xlfn.XLOOKUP(B261,products_2026!A:A,products_2026!B:B,,0,)</f>
        <v>Permanent markers 6 pack blue</v>
      </c>
      <c r="H261" t="str">
        <f>_xlfn.XLOOKUP(B261,products_2026!A:A,products_2026!E:E,,0,)</f>
        <v>SELL0020</v>
      </c>
      <c r="I261" t="str">
        <f>IFERROR(_xlfn.XLOOKUP(H261,sellers_2026!A:A,sellers_2026!G:G,,0,), "unknown/inactive")</f>
        <v>NT</v>
      </c>
      <c r="J261" t="str">
        <f>_xlfn.XLOOKUP(H261,sellers_2026!A:A,sellers_2026!B:B,,0,)</f>
        <v>staion-bonanza</v>
      </c>
      <c r="L261" s="10" t="s">
        <v>84</v>
      </c>
      <c r="M261">
        <v>41.95</v>
      </c>
      <c r="O261" s="10" t="s">
        <v>830</v>
      </c>
      <c r="P261">
        <v>1</v>
      </c>
    </row>
    <row r="262" spans="1:16" ht="14.25" customHeight="1" x14ac:dyDescent="0.3">
      <c r="A262" s="2" t="s">
        <v>2792</v>
      </c>
      <c r="B262" s="2" t="s">
        <v>324</v>
      </c>
      <c r="C262" s="2">
        <v>2</v>
      </c>
      <c r="D262" t="str">
        <f>_xlfn.XLOOKUP(order_items!B262,products_2026!A:A,products_2026!C:C,,0,)</f>
        <v>Toys</v>
      </c>
      <c r="E262">
        <f>_xlfn.XLOOKUP(B262,products_2026!A:A,products_2026!D:D,,0,)</f>
        <v>20.309999999999999</v>
      </c>
      <c r="F262">
        <f t="shared" si="4"/>
        <v>40.619999999999997</v>
      </c>
      <c r="G262" t="str">
        <f>_xlfn.XLOOKUP(B262,products_2026!A:A,products_2026!B:B,,0,)</f>
        <v>Rainbow Kite - Light-Up</v>
      </c>
      <c r="H262" t="str">
        <f>_xlfn.XLOOKUP(B262,products_2026!A:A,products_2026!E:E,,0,)</f>
        <v>SELL0049</v>
      </c>
      <c r="I262" t="str">
        <f>IFERROR(_xlfn.XLOOKUP(H262,sellers_2026!A:A,sellers_2026!G:G,,0,), "unknown/inactive")</f>
        <v>VIC</v>
      </c>
      <c r="J262" t="str">
        <f>_xlfn.XLOOKUP(H262,sellers_2026!A:A,sellers_2026!B:B,,0,)</f>
        <v>beautifullife472</v>
      </c>
      <c r="L262" s="10" t="s">
        <v>876</v>
      </c>
      <c r="M262">
        <v>41.73</v>
      </c>
      <c r="O262" s="10" t="s">
        <v>672</v>
      </c>
      <c r="P262">
        <v>1</v>
      </c>
    </row>
    <row r="263" spans="1:16" ht="14.25" customHeight="1" x14ac:dyDescent="0.3">
      <c r="A263" s="2" t="s">
        <v>2793</v>
      </c>
      <c r="B263" s="2" t="s">
        <v>961</v>
      </c>
      <c r="C263" s="2">
        <v>1</v>
      </c>
      <c r="D263" t="str">
        <f>_xlfn.XLOOKUP(order_items!B263,products_2026!A:A,products_2026!C:C,,0,)</f>
        <v>Outdoor</v>
      </c>
      <c r="E263">
        <f>_xlfn.XLOOKUP(B263,products_2026!A:A,products_2026!D:D,,0,)</f>
        <v>80.069999999999993</v>
      </c>
      <c r="F263">
        <f t="shared" si="4"/>
        <v>80.069999999999993</v>
      </c>
      <c r="G263" t="str">
        <f>_xlfn.XLOOKUP(B263,products_2026!A:A,products_2026!B:B,,0,)</f>
        <v>BBQ Apron - Blue</v>
      </c>
      <c r="H263" t="str">
        <f>_xlfn.XLOOKUP(B263,products_2026!A:A,products_2026!E:E,,0,)</f>
        <v>SELL0094</v>
      </c>
      <c r="I263" t="str">
        <f>IFERROR(_xlfn.XLOOKUP(H263,sellers_2026!A:A,sellers_2026!G:G,,0,), "unknown/inactive")</f>
        <v>WA</v>
      </c>
      <c r="J263" t="str">
        <f>_xlfn.XLOOKUP(H263,sellers_2026!A:A,sellers_2026!B:B,,0,)</f>
        <v>excelinall</v>
      </c>
      <c r="L263" s="10" t="s">
        <v>547</v>
      </c>
      <c r="M263">
        <v>41.5</v>
      </c>
      <c r="O263" s="10" t="s">
        <v>292</v>
      </c>
      <c r="P263">
        <v>1</v>
      </c>
    </row>
    <row r="264" spans="1:16" ht="14.25" customHeight="1" x14ac:dyDescent="0.3">
      <c r="A264" s="2" t="s">
        <v>2794</v>
      </c>
      <c r="B264" s="2" t="s">
        <v>472</v>
      </c>
      <c r="C264" s="2">
        <v>1</v>
      </c>
      <c r="D264" t="str">
        <f>_xlfn.XLOOKUP(order_items!B264,products_2026!A:A,products_2026!C:C,,0,)</f>
        <v>Outdoor</v>
      </c>
      <c r="E264">
        <f>_xlfn.XLOOKUP(B264,products_2026!A:A,products_2026!D:D,,0,)</f>
        <v>72.790000000000006</v>
      </c>
      <c r="F264">
        <f t="shared" si="4"/>
        <v>72.790000000000006</v>
      </c>
      <c r="G264" t="str">
        <f>_xlfn.XLOOKUP(B264,products_2026!A:A,products_2026!B:B,,0,)</f>
        <v>BBQ Cleaning Brush XXL</v>
      </c>
      <c r="H264" t="str">
        <f>_xlfn.XLOOKUP(B264,products_2026!A:A,products_2026!E:E,,0,)</f>
        <v>SELL0067</v>
      </c>
      <c r="I264" t="str">
        <f>IFERROR(_xlfn.XLOOKUP(H264,sellers_2026!A:A,sellers_2026!G:G,,0,), "unknown/inactive")</f>
        <v>WA</v>
      </c>
      <c r="J264" t="str">
        <f>_xlfn.XLOOKUP(H264,sellers_2026!A:A,sellers_2026!B:B,,0,)</f>
        <v>w71bv3mee1</v>
      </c>
      <c r="L264" s="10" t="s">
        <v>301</v>
      </c>
      <c r="M264">
        <v>41.37</v>
      </c>
      <c r="O264" s="10" t="s">
        <v>121</v>
      </c>
      <c r="P264">
        <v>1</v>
      </c>
    </row>
    <row r="265" spans="1:16" ht="14.25" customHeight="1" x14ac:dyDescent="0.3">
      <c r="A265" s="2" t="s">
        <v>2794</v>
      </c>
      <c r="B265" s="2" t="s">
        <v>817</v>
      </c>
      <c r="C265" s="2">
        <v>1</v>
      </c>
      <c r="D265" t="str">
        <f>_xlfn.XLOOKUP(order_items!B265,products_2026!A:A,products_2026!C:C,,0,)</f>
        <v>Home</v>
      </c>
      <c r="E265">
        <f>_xlfn.XLOOKUP(B265,products_2026!A:A,products_2026!D:D,,0,)</f>
        <v>107.11</v>
      </c>
      <c r="F265">
        <f t="shared" si="4"/>
        <v>107.11</v>
      </c>
      <c r="G265" t="str">
        <f>_xlfn.XLOOKUP(B265,products_2026!A:A,products_2026!B:B,,0,)</f>
        <v>Rug 200cm x 180cm</v>
      </c>
      <c r="H265" t="str">
        <f>_xlfn.XLOOKUP(B265,products_2026!A:A,products_2026!E:E,,0,)</f>
        <v>SELL0027</v>
      </c>
      <c r="I265" t="str">
        <f>IFERROR(_xlfn.XLOOKUP(H265,sellers_2026!A:A,sellers_2026!G:G,,0,), "unknown/inactive")</f>
        <v>QLD</v>
      </c>
      <c r="J265" t="str">
        <f>_xlfn.XLOOKUP(H265,sellers_2026!A:A,sellers_2026!B:B,,0,)</f>
        <v>home458</v>
      </c>
      <c r="L265" s="10" t="s">
        <v>404</v>
      </c>
      <c r="M265">
        <v>40.28</v>
      </c>
      <c r="O265" s="10" t="s">
        <v>767</v>
      </c>
      <c r="P265">
        <v>1</v>
      </c>
    </row>
    <row r="266" spans="1:16" ht="14.25" customHeight="1" x14ac:dyDescent="0.3">
      <c r="A266" s="2" t="s">
        <v>2795</v>
      </c>
      <c r="B266" s="2" t="s">
        <v>583</v>
      </c>
      <c r="C266" s="2">
        <v>1</v>
      </c>
      <c r="D266" t="str">
        <f>_xlfn.XLOOKUP(order_items!B266,products_2026!A:A,products_2026!C:C,,0,)</f>
        <v>Stationery</v>
      </c>
      <c r="E266">
        <f>_xlfn.XLOOKUP(B266,products_2026!A:A,products_2026!D:D,,0,)</f>
        <v>6.18</v>
      </c>
      <c r="F266">
        <f t="shared" si="4"/>
        <v>6.18</v>
      </c>
      <c r="G266" t="str">
        <f>_xlfn.XLOOKUP(B266,products_2026!A:A,products_2026!B:B,,0,)</f>
        <v>Highlighter 4pc Yellow</v>
      </c>
      <c r="H266" t="str">
        <f>_xlfn.XLOOKUP(B266,products_2026!A:A,products_2026!E:E,,0,)</f>
        <v>SELL0080</v>
      </c>
      <c r="I266" t="str">
        <f>IFERROR(_xlfn.XLOOKUP(H266,sellers_2026!A:A,sellers_2026!G:G,,0,), "unknown/inactive")</f>
        <v>TAS</v>
      </c>
      <c r="J266" t="str">
        <f>_xlfn.XLOOKUP(H266,sellers_2026!A:A,sellers_2026!B:B,,0,)</f>
        <v>cpghfp370y</v>
      </c>
      <c r="L266" s="10" t="s">
        <v>429</v>
      </c>
      <c r="M266">
        <v>39.99</v>
      </c>
      <c r="O266" s="10" t="s">
        <v>948</v>
      </c>
      <c r="P266">
        <v>1</v>
      </c>
    </row>
    <row r="267" spans="1:16" ht="14.25" customHeight="1" x14ac:dyDescent="0.3">
      <c r="A267" s="2" t="s">
        <v>2795</v>
      </c>
      <c r="B267" s="2" t="s">
        <v>945</v>
      </c>
      <c r="C267" s="2">
        <v>1</v>
      </c>
      <c r="D267" t="str">
        <f>_xlfn.XLOOKUP(order_items!B267,products_2026!A:A,products_2026!C:C,,0,)</f>
        <v>Health</v>
      </c>
      <c r="E267">
        <f>_xlfn.XLOOKUP(B267,products_2026!A:A,products_2026!D:D,,0,)</f>
        <v>28.76</v>
      </c>
      <c r="F267">
        <f t="shared" si="4"/>
        <v>28.76</v>
      </c>
      <c r="G267" t="str">
        <f>_xlfn.XLOOKUP(B267,products_2026!A:A,products_2026!B:B,,0,)</f>
        <v>Hand Grip Strengthener (Red)</v>
      </c>
      <c r="H267" t="str">
        <f>_xlfn.XLOOKUP(B267,products_2026!A:A,products_2026!E:E,,0,)</f>
        <v>SELL0051</v>
      </c>
      <c r="I267" t="str">
        <f>IFERROR(_xlfn.XLOOKUP(H267,sellers_2026!A:A,sellers_2026!G:G,,0,), "unknown/inactive")</f>
        <v>NT</v>
      </c>
      <c r="J267" t="str">
        <f>_xlfn.XLOOKUP(H267,sellers_2026!A:A,sellers_2026!B:B,,0,)</f>
        <v>healthway</v>
      </c>
      <c r="L267" s="10" t="s">
        <v>184</v>
      </c>
      <c r="M267">
        <v>39.85</v>
      </c>
      <c r="O267" s="10" t="s">
        <v>305</v>
      </c>
      <c r="P267">
        <v>1</v>
      </c>
    </row>
    <row r="268" spans="1:16" ht="14.25" customHeight="1" x14ac:dyDescent="0.3">
      <c r="A268" s="2" t="s">
        <v>2796</v>
      </c>
      <c r="B268" s="2" t="s">
        <v>64</v>
      </c>
      <c r="C268" s="2">
        <v>1</v>
      </c>
      <c r="D268" t="str">
        <f>_xlfn.XLOOKUP(order_items!B268,products_2026!A:A,products_2026!C:C,,0,)</f>
        <v>Outdoor</v>
      </c>
      <c r="E268">
        <f>_xlfn.XLOOKUP(B268,products_2026!A:A,products_2026!D:D,,0,)</f>
        <v>15.05</v>
      </c>
      <c r="F268">
        <f t="shared" si="4"/>
        <v>15.05</v>
      </c>
      <c r="G268" t="str">
        <f>_xlfn.XLOOKUP(B268,products_2026!A:A,products_2026!B:B,,0,)</f>
        <v>BBQ Skewers - 12 pack (Stainless Steel)</v>
      </c>
      <c r="H268" t="str">
        <f>_xlfn.XLOOKUP(B268,products_2026!A:A,products_2026!E:E,,0,)</f>
        <v>SELL0009</v>
      </c>
      <c r="I268" t="str">
        <f>IFERROR(_xlfn.XLOOKUP(H268,sellers_2026!A:A,sellers_2026!G:G,,0,), "unknown/inactive")</f>
        <v>QLD</v>
      </c>
      <c r="J268" t="str">
        <f>_xlfn.XLOOKUP(H268,sellers_2026!A:A,sellers_2026!B:B,,0,)</f>
        <v>bootsandcamping</v>
      </c>
      <c r="L268" s="10" t="s">
        <v>629</v>
      </c>
      <c r="M268">
        <v>38.74</v>
      </c>
      <c r="O268" s="10" t="s">
        <v>356</v>
      </c>
      <c r="P268">
        <v>1</v>
      </c>
    </row>
    <row r="269" spans="1:16" ht="14.25" customHeight="1" x14ac:dyDescent="0.3">
      <c r="A269" s="2" t="s">
        <v>2797</v>
      </c>
      <c r="B269" s="2" t="s">
        <v>501</v>
      </c>
      <c r="C269" s="2">
        <v>1</v>
      </c>
      <c r="D269" t="str">
        <f>_xlfn.XLOOKUP(order_items!B269,products_2026!A:A,products_2026!C:C,,0,)</f>
        <v>Outdoor</v>
      </c>
      <c r="E269">
        <f>_xlfn.XLOOKUP(B269,products_2026!A:A,products_2026!D:D,,0,)</f>
        <v>32.67</v>
      </c>
      <c r="F269">
        <f t="shared" si="4"/>
        <v>32.67</v>
      </c>
      <c r="G269" t="str">
        <f>_xlfn.XLOOKUP(B269,products_2026!A:A,products_2026!B:B,,0,)</f>
        <v>Snorkel Set - Adult Small</v>
      </c>
      <c r="H269" t="str">
        <f>_xlfn.XLOOKUP(B269,products_2026!A:A,products_2026!E:E,,0,)</f>
        <v>SELL0070</v>
      </c>
      <c r="I269" t="str">
        <f>IFERROR(_xlfn.XLOOKUP(H269,sellers_2026!A:A,sellers_2026!G:G,,0,), "unknown/inactive")</f>
        <v>QLD</v>
      </c>
      <c r="J269" t="str">
        <f>_xlfn.XLOOKUP(H269,sellers_2026!A:A,sellers_2026!B:B,,0,)</f>
        <v>homeandaways</v>
      </c>
      <c r="L269" s="10" t="s">
        <v>986</v>
      </c>
      <c r="M269">
        <v>38.72</v>
      </c>
      <c r="O269" s="10" t="s">
        <v>28</v>
      </c>
      <c r="P269">
        <v>1</v>
      </c>
    </row>
    <row r="270" spans="1:16" ht="14.25" customHeight="1" x14ac:dyDescent="0.3">
      <c r="A270" s="2" t="s">
        <v>2798</v>
      </c>
      <c r="B270" s="2" t="s">
        <v>994</v>
      </c>
      <c r="C270" s="2">
        <v>1</v>
      </c>
      <c r="D270" t="str">
        <f>_xlfn.XLOOKUP(order_items!B270,products_2026!A:A,products_2026!C:C,,0,)</f>
        <v>Toys</v>
      </c>
      <c r="E270">
        <f>_xlfn.XLOOKUP(B270,products_2026!A:A,products_2026!D:D,,0,)</f>
        <v>13.7</v>
      </c>
      <c r="F270">
        <f t="shared" si="4"/>
        <v>13.7</v>
      </c>
      <c r="G270" t="str">
        <f>_xlfn.XLOOKUP(B270,products_2026!A:A,products_2026!B:B,,0,)</f>
        <v>Kids Paint Kit (Green)</v>
      </c>
      <c r="H270" t="str">
        <f>_xlfn.XLOOKUP(B270,products_2026!A:A,products_2026!E:E,,0,)</f>
        <v>SELL0095</v>
      </c>
      <c r="I270" t="str">
        <f>IFERROR(_xlfn.XLOOKUP(H270,sellers_2026!A:A,sellers_2026!G:G,,0,), "unknown/inactive")</f>
        <v>TAS</v>
      </c>
      <c r="J270" t="str">
        <f>_xlfn.XLOOKUP(H270,sellers_2026!A:A,sellers_2026!B:B,,0,)</f>
        <v>toybuy</v>
      </c>
      <c r="L270" s="10" t="s">
        <v>102</v>
      </c>
      <c r="M270">
        <v>38.630000000000003</v>
      </c>
      <c r="O270" s="10" t="s">
        <v>86</v>
      </c>
      <c r="P270">
        <v>1</v>
      </c>
    </row>
    <row r="271" spans="1:16" ht="14.25" customHeight="1" x14ac:dyDescent="0.3">
      <c r="A271" s="2" t="s">
        <v>2799</v>
      </c>
      <c r="B271" s="2" t="s">
        <v>47</v>
      </c>
      <c r="C271" s="2">
        <v>1</v>
      </c>
      <c r="D271" t="str">
        <f>_xlfn.XLOOKUP(order_items!B271,products_2026!A:A,products_2026!C:C,,0,)</f>
        <v>Outdoor</v>
      </c>
      <c r="E271">
        <f>_xlfn.XLOOKUP(B271,products_2026!A:A,products_2026!D:D,,0,)</f>
        <v>46.45</v>
      </c>
      <c r="F271">
        <f t="shared" si="4"/>
        <v>46.45</v>
      </c>
      <c r="G271" t="str">
        <f>_xlfn.XLOOKUP(B271,products_2026!A:A,products_2026!B:B,,0,)</f>
        <v>Waterproof Picnic Mat 100x100</v>
      </c>
      <c r="H271" t="str">
        <f>_xlfn.XLOOKUP(B271,products_2026!A:A,products_2026!E:E,,0,)</f>
        <v>SELL0012</v>
      </c>
      <c r="I271" t="str">
        <f>IFERROR(_xlfn.XLOOKUP(H271,sellers_2026!A:A,sellers_2026!G:G,,0,), "unknown/inactive")</f>
        <v>WA</v>
      </c>
      <c r="J271" t="str">
        <f>_xlfn.XLOOKUP(H271,sellers_2026!A:A,sellers_2026!B:B,,0,)</f>
        <v>jane-outside</v>
      </c>
      <c r="L271" s="10" t="s">
        <v>28</v>
      </c>
      <c r="M271">
        <v>38.25</v>
      </c>
      <c r="O271" s="10" t="s">
        <v>769</v>
      </c>
      <c r="P271">
        <v>1</v>
      </c>
    </row>
    <row r="272" spans="1:16" ht="14.25" customHeight="1" x14ac:dyDescent="0.3">
      <c r="A272" s="2" t="s">
        <v>2799</v>
      </c>
      <c r="B272" s="2" t="s">
        <v>742</v>
      </c>
      <c r="C272" s="2">
        <v>1</v>
      </c>
      <c r="D272" t="str">
        <f>_xlfn.XLOOKUP(order_items!B272,products_2026!A:A,products_2026!C:C,,0,)</f>
        <v>Gift_Sets</v>
      </c>
      <c r="E272">
        <f>_xlfn.XLOOKUP(B272,products_2026!A:A,products_2026!D:D,,0,)</f>
        <v>32.89</v>
      </c>
      <c r="F272">
        <f t="shared" si="4"/>
        <v>32.89</v>
      </c>
      <c r="G272" t="str">
        <f>_xlfn.XLOOKUP(B272,products_2026!A:A,products_2026!B:B,,0,)</f>
        <v>Baby Shower Gift Bundle (Blue)</v>
      </c>
      <c r="H272" t="str">
        <f>_xlfn.XLOOKUP(B272,products_2026!A:A,products_2026!E:E,,0,)</f>
        <v>SELL0088</v>
      </c>
      <c r="I272" t="str">
        <f>IFERROR(_xlfn.XLOOKUP(H272,sellers_2026!A:A,sellers_2026!G:G,,0,), "unknown/inactive")</f>
        <v>TAS</v>
      </c>
      <c r="J272" t="str">
        <f>_xlfn.XLOOKUP(H272,sellers_2026!A:A,sellers_2026!B:B,,0,)</f>
        <v>7ti9lfa6h5</v>
      </c>
      <c r="L272" s="10" t="s">
        <v>438</v>
      </c>
      <c r="M272">
        <v>37.979999999999997</v>
      </c>
      <c r="O272" s="10" t="s">
        <v>298</v>
      </c>
      <c r="P272">
        <v>1</v>
      </c>
    </row>
    <row r="273" spans="1:16" ht="14.25" customHeight="1" x14ac:dyDescent="0.3">
      <c r="A273" s="2" t="s">
        <v>2800</v>
      </c>
      <c r="B273" s="2" t="s">
        <v>181</v>
      </c>
      <c r="C273" s="2">
        <v>1</v>
      </c>
      <c r="D273" t="str">
        <f>_xlfn.XLOOKUP(order_items!B273,products_2026!A:A,products_2026!C:C,,0,)</f>
        <v>Outdoor</v>
      </c>
      <c r="E273">
        <f>_xlfn.XLOOKUP(B273,products_2026!A:A,products_2026!D:D,,0,)</f>
        <v>117.79</v>
      </c>
      <c r="F273">
        <f t="shared" si="4"/>
        <v>117.79</v>
      </c>
      <c r="G273" t="str">
        <f>_xlfn.XLOOKUP(B273,products_2026!A:A,products_2026!B:B,,0,)</f>
        <v>Portable Mini Grill</v>
      </c>
      <c r="H273" t="str">
        <f>_xlfn.XLOOKUP(B273,products_2026!A:A,products_2026!E:E,,0,)</f>
        <v>SELL0035</v>
      </c>
      <c r="I273" t="str">
        <f>IFERROR(_xlfn.XLOOKUP(H273,sellers_2026!A:A,sellers_2026!G:G,,0,), "unknown/inactive")</f>
        <v>ACT</v>
      </c>
      <c r="J273" t="str">
        <f>_xlfn.XLOOKUP(H273,sellers_2026!A:A,sellers_2026!B:B,,0,)</f>
        <v>maddie-sells</v>
      </c>
      <c r="L273" s="10" t="s">
        <v>314</v>
      </c>
      <c r="M273">
        <v>37.72</v>
      </c>
      <c r="O273" s="10" t="s">
        <v>940</v>
      </c>
      <c r="P273">
        <v>1</v>
      </c>
    </row>
    <row r="274" spans="1:16" ht="14.25" customHeight="1" x14ac:dyDescent="0.3">
      <c r="A274" s="2" t="s">
        <v>2801</v>
      </c>
      <c r="B274" s="2" t="s">
        <v>376</v>
      </c>
      <c r="C274" s="2">
        <v>1</v>
      </c>
      <c r="D274" t="str">
        <f>_xlfn.XLOOKUP(order_items!B274,products_2026!A:A,products_2026!C:C,,0,)</f>
        <v>Electronics</v>
      </c>
      <c r="E274">
        <f>_xlfn.XLOOKUP(B274,products_2026!A:A,products_2026!D:D,,0,)</f>
        <v>88.29</v>
      </c>
      <c r="F274">
        <f t="shared" si="4"/>
        <v>88.29</v>
      </c>
      <c r="G274" t="str">
        <f>_xlfn.XLOOKUP(B274,products_2026!A:A,products_2026!B:B,,0,)</f>
        <v>LED Light Bulb Reusable</v>
      </c>
      <c r="H274" t="str">
        <f>_xlfn.XLOOKUP(B274,products_2026!A:A,products_2026!E:E,,0,)</f>
        <v>SELL0057</v>
      </c>
      <c r="I274" t="str">
        <f>IFERROR(_xlfn.XLOOKUP(H274,sellers_2026!A:A,sellers_2026!G:G,,0,), "unknown/inactive")</f>
        <v>TAS</v>
      </c>
      <c r="J274" t="str">
        <f>_xlfn.XLOOKUP(H274,sellers_2026!A:A,sellers_2026!B:B,,0,)</f>
        <v>buildmydream</v>
      </c>
      <c r="L274" s="10" t="s">
        <v>229</v>
      </c>
      <c r="M274">
        <v>37.630000000000003</v>
      </c>
      <c r="O274" s="10" t="s">
        <v>622</v>
      </c>
      <c r="P274">
        <v>1</v>
      </c>
    </row>
    <row r="275" spans="1:16" ht="14.25" customHeight="1" x14ac:dyDescent="0.3">
      <c r="A275" s="2" t="s">
        <v>2802</v>
      </c>
      <c r="B275" s="2" t="s">
        <v>228</v>
      </c>
      <c r="C275" s="2">
        <v>1</v>
      </c>
      <c r="D275" t="str">
        <f>_xlfn.XLOOKUP(order_items!B275,products_2026!A:A,products_2026!C:C,,0,)</f>
        <v>Gift_Sets</v>
      </c>
      <c r="E275">
        <f>_xlfn.XLOOKUP(B275,products_2026!A:A,products_2026!D:D,,0,)</f>
        <v>37.630000000000003</v>
      </c>
      <c r="F275">
        <f t="shared" si="4"/>
        <v>37.630000000000003</v>
      </c>
      <c r="G275" t="str">
        <f>_xlfn.XLOOKUP(B275,products_2026!A:A,products_2026!B:B,,0,)</f>
        <v>Luxury Skincare Set Shea Vitamin</v>
      </c>
      <c r="H275" t="str">
        <f>_xlfn.XLOOKUP(B275,products_2026!A:A,products_2026!E:E,,0,)</f>
        <v>SELL0040</v>
      </c>
      <c r="I275" t="str">
        <f>IFERROR(_xlfn.XLOOKUP(H275,sellers_2026!A:A,sellers_2026!G:G,,0,), "unknown/inactive")</f>
        <v>TAS</v>
      </c>
      <c r="J275" t="str">
        <f>_xlfn.XLOOKUP(H275,sellers_2026!A:A,sellers_2026!B:B,,0,)</f>
        <v>cheapandgood27</v>
      </c>
      <c r="L275" s="10" t="s">
        <v>713</v>
      </c>
      <c r="M275">
        <v>36.57</v>
      </c>
      <c r="O275" s="10" t="s">
        <v>176</v>
      </c>
      <c r="P275">
        <v>1</v>
      </c>
    </row>
    <row r="276" spans="1:16" ht="14.25" customHeight="1" x14ac:dyDescent="0.3">
      <c r="A276" s="2" t="s">
        <v>2802</v>
      </c>
      <c r="B276" s="2" t="s">
        <v>760</v>
      </c>
      <c r="C276" s="2">
        <v>2</v>
      </c>
      <c r="D276" t="str">
        <f>_xlfn.XLOOKUP(order_items!B276,products_2026!A:A,products_2026!C:C,,0,)</f>
        <v>Health</v>
      </c>
      <c r="E276">
        <f>_xlfn.XLOOKUP(B276,products_2026!A:A,products_2026!D:D,,0,)</f>
        <v>23.35</v>
      </c>
      <c r="F276">
        <f t="shared" si="4"/>
        <v>46.7</v>
      </c>
      <c r="G276" t="str">
        <f>_xlfn.XLOOKUP(B276,products_2026!A:A,products_2026!B:B,,0,)</f>
        <v>Adjustable Dumbbell 10kg</v>
      </c>
      <c r="H276" t="str">
        <f>_xlfn.XLOOKUP(B276,products_2026!A:A,products_2026!E:E,,0,)</f>
        <v>SELL0051</v>
      </c>
      <c r="I276" t="str">
        <f>IFERROR(_xlfn.XLOOKUP(H276,sellers_2026!A:A,sellers_2026!G:G,,0,), "unknown/inactive")</f>
        <v>NT</v>
      </c>
      <c r="J276" t="str">
        <f>_xlfn.XLOOKUP(H276,sellers_2026!A:A,sellers_2026!B:B,,0,)</f>
        <v>healthway</v>
      </c>
      <c r="L276" s="10" t="s">
        <v>635</v>
      </c>
      <c r="M276">
        <v>36.49</v>
      </c>
      <c r="O276" s="10" t="s">
        <v>455</v>
      </c>
      <c r="P276">
        <v>1</v>
      </c>
    </row>
    <row r="277" spans="1:16" ht="14.25" customHeight="1" x14ac:dyDescent="0.3">
      <c r="A277" s="2" t="s">
        <v>2802</v>
      </c>
      <c r="B277" s="2" t="s">
        <v>807</v>
      </c>
      <c r="C277" s="2">
        <v>6</v>
      </c>
      <c r="D277" t="str">
        <f>_xlfn.XLOOKUP(order_items!B277,products_2026!A:A,products_2026!C:C,,0,)</f>
        <v>Home</v>
      </c>
      <c r="E277">
        <f>_xlfn.XLOOKUP(B277,products_2026!A:A,products_2026!D:D,,0,)</f>
        <v>34.11</v>
      </c>
      <c r="F277">
        <f t="shared" si="4"/>
        <v>204.66</v>
      </c>
      <c r="G277" t="str">
        <f>_xlfn.XLOOKUP(B277,products_2026!A:A,products_2026!B:B,,0,)</f>
        <v>Beeswax Candle - Mint Rosemary</v>
      </c>
      <c r="H277" t="str">
        <f>_xlfn.XLOOKUP(B277,products_2026!A:A,products_2026!E:E,,0,)</f>
        <v>SELL0027</v>
      </c>
      <c r="I277" t="str">
        <f>IFERROR(_xlfn.XLOOKUP(H277,sellers_2026!A:A,sellers_2026!G:G,,0,), "unknown/inactive")</f>
        <v>QLD</v>
      </c>
      <c r="J277" t="str">
        <f>_xlfn.XLOOKUP(H277,sellers_2026!A:A,sellers_2026!B:B,,0,)</f>
        <v>home458</v>
      </c>
      <c r="L277" s="10" t="s">
        <v>155</v>
      </c>
      <c r="M277">
        <v>36.26</v>
      </c>
      <c r="O277" s="10" t="s">
        <v>690</v>
      </c>
      <c r="P277">
        <v>1</v>
      </c>
    </row>
    <row r="278" spans="1:16" ht="14.25" customHeight="1" x14ac:dyDescent="0.3">
      <c r="A278" s="2" t="s">
        <v>2803</v>
      </c>
      <c r="B278" s="2" t="s">
        <v>722</v>
      </c>
      <c r="C278" s="2">
        <v>1</v>
      </c>
      <c r="D278" t="str">
        <f>_xlfn.XLOOKUP(order_items!B278,products_2026!A:A,products_2026!C:C,,0,)</f>
        <v>Gift_Sets</v>
      </c>
      <c r="E278">
        <f>_xlfn.XLOOKUP(B278,products_2026!A:A,products_2026!D:D,,0,)</f>
        <v>32.33</v>
      </c>
      <c r="F278">
        <f t="shared" si="4"/>
        <v>32.33</v>
      </c>
      <c r="G278" t="str">
        <f>_xlfn.XLOOKUP(B278,products_2026!A:A,products_2026!B:B,,0,)</f>
        <v>Tea Lovers Hamper Darjelling</v>
      </c>
      <c r="H278" t="str">
        <f>_xlfn.XLOOKUP(B278,products_2026!A:A,products_2026!E:E,,0,)</f>
        <v>SELL0088</v>
      </c>
      <c r="I278" t="str">
        <f>IFERROR(_xlfn.XLOOKUP(H278,sellers_2026!A:A,sellers_2026!G:G,,0,), "unknown/inactive")</f>
        <v>TAS</v>
      </c>
      <c r="J278" t="str">
        <f>_xlfn.XLOOKUP(H278,sellers_2026!A:A,sellers_2026!B:B,,0,)</f>
        <v>7ti9lfa6h5</v>
      </c>
      <c r="L278" s="10" t="s">
        <v>318</v>
      </c>
      <c r="M278">
        <v>35.11</v>
      </c>
      <c r="O278" s="10" t="s">
        <v>95</v>
      </c>
      <c r="P278">
        <v>1</v>
      </c>
    </row>
    <row r="279" spans="1:16" ht="14.25" customHeight="1" x14ac:dyDescent="0.3">
      <c r="A279" s="2" t="s">
        <v>2804</v>
      </c>
      <c r="B279" s="2" t="s">
        <v>460</v>
      </c>
      <c r="C279" s="2">
        <v>1</v>
      </c>
      <c r="D279" t="str">
        <f>_xlfn.XLOOKUP(order_items!B279,products_2026!A:A,products_2026!C:C,,0,)</f>
        <v>Toys</v>
      </c>
      <c r="E279">
        <f>_xlfn.XLOOKUP(B279,products_2026!A:A,products_2026!D:D,,0,)</f>
        <v>37.9</v>
      </c>
      <c r="F279">
        <f t="shared" si="4"/>
        <v>37.9</v>
      </c>
      <c r="G279" t="str">
        <f>_xlfn.XLOOKUP(B279,products_2026!A:A,products_2026!B:B,,0,)</f>
        <v>Kite Rainbow</v>
      </c>
      <c r="H279" t="str">
        <f>_xlfn.XLOOKUP(B279,products_2026!A:A,products_2026!E:E,,0,)</f>
        <v>SELL0065</v>
      </c>
      <c r="I279" t="str">
        <f>IFERROR(_xlfn.XLOOKUP(H279,sellers_2026!A:A,sellers_2026!G:G,,0,), "unknown/inactive")</f>
        <v>ACT</v>
      </c>
      <c r="J279" t="str">
        <f>_xlfn.XLOOKUP(H279,sellers_2026!A:A,sellers_2026!B:B,,0,)</f>
        <v>fq9rb8o3qr</v>
      </c>
      <c r="L279" s="10" t="s">
        <v>444</v>
      </c>
      <c r="M279">
        <v>35.08</v>
      </c>
      <c r="O279" s="10" t="s">
        <v>184</v>
      </c>
      <c r="P279">
        <v>1</v>
      </c>
    </row>
    <row r="280" spans="1:16" ht="14.25" customHeight="1" x14ac:dyDescent="0.3">
      <c r="A280" s="2" t="s">
        <v>2804</v>
      </c>
      <c r="B280" s="2" t="s">
        <v>728</v>
      </c>
      <c r="C280" s="2">
        <v>1</v>
      </c>
      <c r="D280" t="str">
        <f>_xlfn.XLOOKUP(order_items!B280,products_2026!A:A,products_2026!C:C,,0,)</f>
        <v>Gift_Sets</v>
      </c>
      <c r="E280">
        <f>_xlfn.XLOOKUP(B280,products_2026!A:A,products_2026!D:D,,0,)</f>
        <v>33.89</v>
      </c>
      <c r="F280">
        <f t="shared" si="4"/>
        <v>33.89</v>
      </c>
      <c r="G280" t="str">
        <f>_xlfn.XLOOKUP(B280,products_2026!A:A,products_2026!B:B,,0,)</f>
        <v>Mini Plant Starter Kit (Diasy)</v>
      </c>
      <c r="H280" t="str">
        <f>_xlfn.XLOOKUP(B280,products_2026!A:A,products_2026!E:E,,0,)</f>
        <v>SELL0088</v>
      </c>
      <c r="I280" t="str">
        <f>IFERROR(_xlfn.XLOOKUP(H280,sellers_2026!A:A,sellers_2026!G:G,,0,), "unknown/inactive")</f>
        <v>TAS</v>
      </c>
      <c r="J280" t="str">
        <f>_xlfn.XLOOKUP(H280,sellers_2026!A:A,sellers_2026!B:B,,0,)</f>
        <v>7ti9lfa6h5</v>
      </c>
      <c r="L280" s="10" t="s">
        <v>354</v>
      </c>
      <c r="M280">
        <v>35.020000000000003</v>
      </c>
      <c r="O280" s="10" t="s">
        <v>713</v>
      </c>
      <c r="P280">
        <v>1</v>
      </c>
    </row>
    <row r="281" spans="1:16" ht="14.25" customHeight="1" x14ac:dyDescent="0.3">
      <c r="A281" s="2" t="s">
        <v>2805</v>
      </c>
      <c r="B281" s="2" t="s">
        <v>98</v>
      </c>
      <c r="C281" s="2">
        <v>1</v>
      </c>
      <c r="D281" t="str">
        <f>_xlfn.XLOOKUP(order_items!B281,products_2026!A:A,products_2026!C:C,,0,)</f>
        <v>Toys</v>
      </c>
      <c r="E281">
        <f>_xlfn.XLOOKUP(B281,products_2026!A:A,products_2026!D:D,,0,)</f>
        <v>17.940000000000001</v>
      </c>
      <c r="F281">
        <f t="shared" si="4"/>
        <v>17.940000000000001</v>
      </c>
      <c r="G281" t="str">
        <f>_xlfn.XLOOKUP(B281,products_2026!A:A,products_2026!B:B,,0,)</f>
        <v>Snorkel Set - Child</v>
      </c>
      <c r="H281" t="str">
        <f>_xlfn.XLOOKUP(B281,products_2026!A:A,products_2026!E:E,,0,)</f>
        <v>SELL0022</v>
      </c>
      <c r="I281" t="str">
        <f>IFERROR(_xlfn.XLOOKUP(H281,sellers_2026!A:A,sellers_2026!G:G,,0,), "unknown/inactive")</f>
        <v>WA</v>
      </c>
      <c r="J281" t="str">
        <f>_xlfn.XLOOKUP(H281,sellers_2026!A:A,sellers_2026!B:B,,0,)</f>
        <v>g5x9v55sct</v>
      </c>
      <c r="L281" s="10" t="s">
        <v>6</v>
      </c>
      <c r="M281">
        <v>33.08</v>
      </c>
      <c r="O281" s="10" t="s">
        <v>155</v>
      </c>
      <c r="P281">
        <v>1</v>
      </c>
    </row>
    <row r="282" spans="1:16" ht="14.25" customHeight="1" x14ac:dyDescent="0.3">
      <c r="A282" s="2" t="s">
        <v>2805</v>
      </c>
      <c r="B282" s="2" t="s">
        <v>449</v>
      </c>
      <c r="C282" s="2">
        <v>1</v>
      </c>
      <c r="D282" t="str">
        <f>_xlfn.XLOOKUP(order_items!B282,products_2026!A:A,products_2026!C:C,,0,)</f>
        <v>Electronics</v>
      </c>
      <c r="E282">
        <f>_xlfn.XLOOKUP(B282,products_2026!A:A,products_2026!D:D,,0,)</f>
        <v>40.97</v>
      </c>
      <c r="F282">
        <f t="shared" si="4"/>
        <v>40.97</v>
      </c>
      <c r="G282" t="str">
        <f>_xlfn.XLOOKUP(B282,products_2026!A:A,products_2026!B:B,,0,)</f>
        <v>Smart Home Hub</v>
      </c>
      <c r="H282" t="str">
        <f>_xlfn.XLOOKUP(B282,products_2026!A:A,products_2026!E:E,,0,)</f>
        <v>SELL0063</v>
      </c>
      <c r="I282" t="str">
        <f>IFERROR(_xlfn.XLOOKUP(H282,sellers_2026!A:A,sellers_2026!G:G,,0,), "unknown/inactive")</f>
        <v>SA</v>
      </c>
      <c r="J282" t="str">
        <f>_xlfn.XLOOKUP(H282,sellers_2026!A:A,sellers_2026!B:B,,0,)</f>
        <v>uqcoiiv4s9</v>
      </c>
      <c r="L282" s="10" t="s">
        <v>745</v>
      </c>
      <c r="M282">
        <v>32.99</v>
      </c>
      <c r="O282" s="10" t="s">
        <v>330</v>
      </c>
      <c r="P282">
        <v>1</v>
      </c>
    </row>
    <row r="283" spans="1:16" ht="14.25" customHeight="1" x14ac:dyDescent="0.3">
      <c r="A283" s="2" t="s">
        <v>2806</v>
      </c>
      <c r="B283" s="2" t="s">
        <v>83</v>
      </c>
      <c r="C283" s="2">
        <v>1</v>
      </c>
      <c r="D283" t="str">
        <f>_xlfn.XLOOKUP(order_items!B283,products_2026!A:A,products_2026!C:C,,0,)</f>
        <v>Stationery</v>
      </c>
      <c r="E283">
        <f>_xlfn.XLOOKUP(B283,products_2026!A:A,products_2026!D:D,,0,)</f>
        <v>8.39</v>
      </c>
      <c r="F283">
        <f t="shared" si="4"/>
        <v>8.39</v>
      </c>
      <c r="G283" t="str">
        <f>_xlfn.XLOOKUP(B283,products_2026!A:A,products_2026!B:B,,0,)</f>
        <v>Permanent markers 6 pack black</v>
      </c>
      <c r="H283" t="str">
        <f>_xlfn.XLOOKUP(B283,products_2026!A:A,products_2026!E:E,,0,)</f>
        <v>SELL0019</v>
      </c>
      <c r="I283" t="str">
        <f>IFERROR(_xlfn.XLOOKUP(H283,sellers_2026!A:A,sellers_2026!G:G,,0,), "unknown/inactive")</f>
        <v>QLD</v>
      </c>
      <c r="J283" t="str">
        <f>_xlfn.XLOOKUP(H283,sellers_2026!A:A,sellers_2026!B:B,,0,)</f>
        <v>buyingtime</v>
      </c>
      <c r="L283" s="10" t="s">
        <v>743</v>
      </c>
      <c r="M283">
        <v>32.89</v>
      </c>
      <c r="O283" s="10" t="s">
        <v>754</v>
      </c>
      <c r="P283">
        <v>1</v>
      </c>
    </row>
    <row r="284" spans="1:16" ht="14.25" customHeight="1" x14ac:dyDescent="0.3">
      <c r="A284" s="2" t="s">
        <v>2806</v>
      </c>
      <c r="B284" s="2" t="s">
        <v>351</v>
      </c>
      <c r="C284" s="2">
        <v>1</v>
      </c>
      <c r="D284" t="str">
        <f>_xlfn.XLOOKUP(order_items!B284,products_2026!A:A,products_2026!C:C,,0,)</f>
        <v>Outdoor</v>
      </c>
      <c r="E284">
        <f>_xlfn.XLOOKUP(B284,products_2026!A:A,products_2026!D:D,,0,)</f>
        <v>88.21</v>
      </c>
      <c r="F284">
        <f t="shared" si="4"/>
        <v>88.21</v>
      </c>
      <c r="G284" t="str">
        <f>_xlfn.XLOOKUP(B284,products_2026!A:A,products_2026!B:B,,0,)</f>
        <v>Portable Mini Grill Gas Fire</v>
      </c>
      <c r="H284" t="str">
        <f>_xlfn.XLOOKUP(B284,products_2026!A:A,products_2026!E:E,,0,)</f>
        <v>SELL0053</v>
      </c>
      <c r="I284" t="str">
        <f>IFERROR(_xlfn.XLOOKUP(H284,sellers_2026!A:A,sellers_2026!G:G,,0,), "unknown/inactive")</f>
        <v>ACT</v>
      </c>
      <c r="J284" t="str">
        <f>_xlfn.XLOOKUP(H284,sellers_2026!A:A,sellers_2026!B:B,,0,)</f>
        <v>homedeliver</v>
      </c>
      <c r="L284" s="10" t="s">
        <v>62</v>
      </c>
      <c r="M284">
        <v>32.82</v>
      </c>
      <c r="O284" s="10" t="s">
        <v>763</v>
      </c>
      <c r="P284">
        <v>1</v>
      </c>
    </row>
    <row r="285" spans="1:16" ht="14.25" customHeight="1" x14ac:dyDescent="0.3">
      <c r="A285" s="2" t="s">
        <v>2807</v>
      </c>
      <c r="B285" s="2" t="s">
        <v>688</v>
      </c>
      <c r="C285" s="2">
        <v>1</v>
      </c>
      <c r="D285" t="str">
        <f>_xlfn.XLOOKUP(order_items!B285,products_2026!A:A,products_2026!C:C,,0,)</f>
        <v>Clothes</v>
      </c>
      <c r="E285">
        <f>_xlfn.XLOOKUP(B285,products_2026!A:A,products_2026!D:D,,0,)</f>
        <v>53.17</v>
      </c>
      <c r="F285">
        <f t="shared" si="4"/>
        <v>53.17</v>
      </c>
      <c r="G285" t="str">
        <f>_xlfn.XLOOKUP(B285,products_2026!A:A,products_2026!B:B,,0,)</f>
        <v>Unisex Hoodie - Yellow L</v>
      </c>
      <c r="H285" t="str">
        <f>_xlfn.XLOOKUP(B285,products_2026!A:A,products_2026!E:E,,0,)</f>
        <v>SELL0039</v>
      </c>
      <c r="I285" t="str">
        <f>IFERROR(_xlfn.XLOOKUP(H285,sellers_2026!A:A,sellers_2026!G:G,,0,), "unknown/inactive")</f>
        <v>QLD</v>
      </c>
      <c r="J285" t="str">
        <f>_xlfn.XLOOKUP(H285,sellers_2026!A:A,sellers_2026!B:B,,0,)</f>
        <v>zmkizlf6t6</v>
      </c>
      <c r="L285" s="10" t="s">
        <v>653</v>
      </c>
      <c r="M285">
        <v>32.76</v>
      </c>
      <c r="O285" s="10" t="s">
        <v>444</v>
      </c>
      <c r="P285">
        <v>1</v>
      </c>
    </row>
    <row r="286" spans="1:16" ht="14.25" customHeight="1" x14ac:dyDescent="0.3">
      <c r="A286" s="2" t="s">
        <v>2807</v>
      </c>
      <c r="B286" s="2" t="s">
        <v>970</v>
      </c>
      <c r="C286" s="2">
        <v>1</v>
      </c>
      <c r="D286" t="str">
        <f>_xlfn.XLOOKUP(order_items!B286,products_2026!A:A,products_2026!C:C,,0,)</f>
        <v>Stationery</v>
      </c>
      <c r="E286">
        <f>_xlfn.XLOOKUP(B286,products_2026!A:A,products_2026!D:D,,0,)</f>
        <v>5.1100000000000003</v>
      </c>
      <c r="F286">
        <f t="shared" si="4"/>
        <v>5.1100000000000003</v>
      </c>
      <c r="G286" t="str">
        <f>_xlfn.XLOOKUP(B286,products_2026!A:A,products_2026!B:B,,0,)</f>
        <v>Sticky Notes Cube 200pc</v>
      </c>
      <c r="H286" t="str">
        <f>_xlfn.XLOOKUP(B286,products_2026!A:A,products_2026!E:E,,0,)</f>
        <v>SELL0094</v>
      </c>
      <c r="I286" t="str">
        <f>IFERROR(_xlfn.XLOOKUP(H286,sellers_2026!A:A,sellers_2026!G:G,,0,), "unknown/inactive")</f>
        <v>WA</v>
      </c>
      <c r="J286" t="str">
        <f>_xlfn.XLOOKUP(H286,sellers_2026!A:A,sellers_2026!B:B,,0,)</f>
        <v>excelinall</v>
      </c>
      <c r="L286" s="10" t="s">
        <v>733</v>
      </c>
      <c r="M286">
        <v>32.71</v>
      </c>
      <c r="O286" s="10" t="s">
        <v>229</v>
      </c>
      <c r="P286">
        <v>1</v>
      </c>
    </row>
    <row r="287" spans="1:16" ht="14.25" customHeight="1" x14ac:dyDescent="0.3">
      <c r="A287" s="2" t="s">
        <v>2808</v>
      </c>
      <c r="B287" s="2" t="s">
        <v>284</v>
      </c>
      <c r="C287" s="2">
        <v>1</v>
      </c>
      <c r="D287" t="str">
        <f>_xlfn.XLOOKUP(order_items!B287,products_2026!A:A,products_2026!C:C,,0,)</f>
        <v>Clothes</v>
      </c>
      <c r="E287">
        <f>_xlfn.XLOOKUP(B287,products_2026!A:A,products_2026!D:D,,0,)</f>
        <v>53.17</v>
      </c>
      <c r="F287">
        <f t="shared" si="4"/>
        <v>53.17</v>
      </c>
      <c r="G287" t="str">
        <f>_xlfn.XLOOKUP(B287,products_2026!A:A,products_2026!B:B,,0,)</f>
        <v>Unisex Hoodie - Black XXL</v>
      </c>
      <c r="H287" t="str">
        <f>_xlfn.XLOOKUP(B287,products_2026!A:A,products_2026!E:E,,0,)</f>
        <v>SELL0044</v>
      </c>
      <c r="I287" t="str">
        <f>IFERROR(_xlfn.XLOOKUP(H287,sellers_2026!A:A,sellers_2026!G:G,,0,), "unknown/inactive")</f>
        <v>QLD</v>
      </c>
      <c r="J287" t="str">
        <f>_xlfn.XLOOKUP(H287,sellers_2026!A:A,sellers_2026!B:B,,0,)</f>
        <v>everything_nmore</v>
      </c>
      <c r="L287" s="10" t="s">
        <v>369</v>
      </c>
      <c r="M287">
        <v>32.44</v>
      </c>
      <c r="O287" s="10" t="s">
        <v>339</v>
      </c>
      <c r="P287">
        <v>1</v>
      </c>
    </row>
    <row r="288" spans="1:16" ht="14.25" customHeight="1" x14ac:dyDescent="0.3">
      <c r="A288" s="2" t="s">
        <v>2808</v>
      </c>
      <c r="B288" s="2" t="s">
        <v>304</v>
      </c>
      <c r="C288" s="2">
        <v>1</v>
      </c>
      <c r="D288" t="str">
        <f>_xlfn.XLOOKUP(order_items!B288,products_2026!A:A,products_2026!C:C,,0,)</f>
        <v>Outdoor</v>
      </c>
      <c r="E288">
        <f>_xlfn.XLOOKUP(B288,products_2026!A:A,products_2026!D:D,,0,)</f>
        <v>92.15</v>
      </c>
      <c r="F288">
        <f t="shared" si="4"/>
        <v>92.15</v>
      </c>
      <c r="G288" t="str">
        <f>_xlfn.XLOOKUP(B288,products_2026!A:A,products_2026!B:B,,0,)</f>
        <v>Hickory Wood Chips Large Bag</v>
      </c>
      <c r="H288" t="str">
        <f>_xlfn.XLOOKUP(B288,products_2026!A:A,products_2026!E:E,,0,)</f>
        <v>SELL0046</v>
      </c>
      <c r="I288" t="str">
        <f>IFERROR(_xlfn.XLOOKUP(H288,sellers_2026!A:A,sellers_2026!G:G,,0,), "unknown/inactive")</f>
        <v>TAS</v>
      </c>
      <c r="J288" t="str">
        <f>_xlfn.XLOOKUP(H288,sellers_2026!A:A,sellers_2026!B:B,,0,)</f>
        <v>find_what_u_need</v>
      </c>
      <c r="L288" s="10" t="s">
        <v>374</v>
      </c>
      <c r="M288">
        <v>32.299999999999997</v>
      </c>
      <c r="O288" s="10" t="s">
        <v>6</v>
      </c>
      <c r="P288">
        <v>1</v>
      </c>
    </row>
    <row r="289" spans="1:16" ht="14.25" customHeight="1" x14ac:dyDescent="0.3">
      <c r="A289" s="2" t="s">
        <v>2808</v>
      </c>
      <c r="B289" s="2" t="s">
        <v>596</v>
      </c>
      <c r="C289" s="2">
        <v>5</v>
      </c>
      <c r="D289" t="str">
        <f>_xlfn.XLOOKUP(order_items!B289,products_2026!A:A,products_2026!C:C,,0,)</f>
        <v>Outdoor</v>
      </c>
      <c r="E289">
        <f>_xlfn.XLOOKUP(B289,products_2026!A:A,products_2026!D:D,,0,)</f>
        <v>48.14</v>
      </c>
      <c r="F289">
        <f t="shared" si="4"/>
        <v>240.7</v>
      </c>
      <c r="G289" t="str">
        <f>_xlfn.XLOOKUP(B289,products_2026!A:A,products_2026!B:B,,0,)</f>
        <v>Disposible Mini Grill</v>
      </c>
      <c r="H289" t="str">
        <f>_xlfn.XLOOKUP(B289,products_2026!A:A,products_2026!E:E,,0,)</f>
        <v>SELL0081</v>
      </c>
      <c r="I289" t="str">
        <f>IFERROR(_xlfn.XLOOKUP(H289,sellers_2026!A:A,sellers_2026!G:G,,0,), "unknown/inactive")</f>
        <v>QLD</v>
      </c>
      <c r="J289" t="str">
        <f>_xlfn.XLOOKUP(H289,sellers_2026!A:A,sellers_2026!B:B,,0,)</f>
        <v>brizzy_bonanza_48</v>
      </c>
      <c r="L289" s="10" t="s">
        <v>486</v>
      </c>
      <c r="M289">
        <v>32.01</v>
      </c>
      <c r="O289" s="10" t="s">
        <v>486</v>
      </c>
      <c r="P289">
        <v>1</v>
      </c>
    </row>
    <row r="290" spans="1:16" ht="14.25" customHeight="1" x14ac:dyDescent="0.3">
      <c r="A290" s="2" t="s">
        <v>2809</v>
      </c>
      <c r="B290" s="2" t="s">
        <v>120</v>
      </c>
      <c r="C290" s="2">
        <v>1</v>
      </c>
      <c r="D290" t="str">
        <f>_xlfn.XLOOKUP(order_items!B290,products_2026!A:A,products_2026!C:C,,0,)</f>
        <v>Electronics</v>
      </c>
      <c r="E290">
        <f>_xlfn.XLOOKUP(B290,products_2026!A:A,products_2026!D:D,,0,)</f>
        <v>62.94</v>
      </c>
      <c r="F290">
        <f t="shared" si="4"/>
        <v>62.94</v>
      </c>
      <c r="G290" t="str">
        <f>_xlfn.XLOOKUP(B290,products_2026!A:A,products_2026!B:B,,0,)</f>
        <v>Wireless Keyboard (Yellow)</v>
      </c>
      <c r="H290" t="str">
        <f>_xlfn.XLOOKUP(B290,products_2026!A:A,products_2026!E:E,,0,)</f>
        <v>SELL0024</v>
      </c>
      <c r="I290" t="str">
        <f>IFERROR(_xlfn.XLOOKUP(H290,sellers_2026!A:A,sellers_2026!G:G,,0,), "unknown/inactive")</f>
        <v>VIC</v>
      </c>
      <c r="J290" t="str">
        <f>_xlfn.XLOOKUP(H290,sellers_2026!A:A,sellers_2026!B:B,,0,)</f>
        <v>ELEC25B</v>
      </c>
      <c r="L290" s="10" t="s">
        <v>595</v>
      </c>
      <c r="M290">
        <v>31.66</v>
      </c>
      <c r="O290" s="10" t="s">
        <v>481</v>
      </c>
      <c r="P290">
        <v>1</v>
      </c>
    </row>
    <row r="291" spans="1:16" ht="14.25" customHeight="1" x14ac:dyDescent="0.3">
      <c r="A291" s="2" t="s">
        <v>2809</v>
      </c>
      <c r="B291" s="2" t="s">
        <v>273</v>
      </c>
      <c r="C291" s="2">
        <v>1</v>
      </c>
      <c r="D291" t="str">
        <f>_xlfn.XLOOKUP(order_items!B291,products_2026!A:A,products_2026!C:C,,0,)</f>
        <v>Clothes</v>
      </c>
      <c r="E291">
        <f>_xlfn.XLOOKUP(B291,products_2026!A:A,products_2026!D:D,,0,)</f>
        <v>53.5</v>
      </c>
      <c r="F291">
        <f t="shared" si="4"/>
        <v>53.5</v>
      </c>
      <c r="G291" t="str">
        <f>_xlfn.XLOOKUP(B291,products_2026!A:A,products_2026!B:B,,0,)</f>
        <v>Rain Jacket Red XS</v>
      </c>
      <c r="H291" t="str">
        <f>_xlfn.XLOOKUP(B291,products_2026!A:A,products_2026!E:E,,0,)</f>
        <v>SELL0043</v>
      </c>
      <c r="I291" t="str">
        <f>IFERROR(_xlfn.XLOOKUP(H291,sellers_2026!A:A,sellers_2026!G:G,,0,), "unknown/inactive")</f>
        <v>WA</v>
      </c>
      <c r="J291" t="str">
        <f>_xlfn.XLOOKUP(H291,sellers_2026!A:A,sellers_2026!B:B,,0,)</f>
        <v>g9x1rt9dw8</v>
      </c>
      <c r="L291" s="10" t="s">
        <v>778</v>
      </c>
      <c r="M291">
        <v>31.66</v>
      </c>
      <c r="O291" s="10" t="s">
        <v>102</v>
      </c>
      <c r="P291">
        <v>1</v>
      </c>
    </row>
    <row r="292" spans="1:16" ht="14.25" customHeight="1" x14ac:dyDescent="0.3">
      <c r="A292" s="2" t="s">
        <v>2809</v>
      </c>
      <c r="B292" s="2" t="s">
        <v>552</v>
      </c>
      <c r="C292" s="2">
        <v>1</v>
      </c>
      <c r="D292" t="str">
        <f>_xlfn.XLOOKUP(order_items!B292,products_2026!A:A,products_2026!C:C,,0,)</f>
        <v>Stationery</v>
      </c>
      <c r="E292">
        <f>_xlfn.XLOOKUP(B292,products_2026!A:A,products_2026!D:D,,0,)</f>
        <v>2.1800000000000002</v>
      </c>
      <c r="F292">
        <f t="shared" si="4"/>
        <v>2.1800000000000002</v>
      </c>
      <c r="G292" t="str">
        <f>_xlfn.XLOOKUP(B292,products_2026!A:A,products_2026!B:B,,0,)</f>
        <v>Ballpoint pen 6 pack</v>
      </c>
      <c r="H292" t="str">
        <f>_xlfn.XLOOKUP(B292,products_2026!A:A,products_2026!E:E,,0,)</f>
        <v>SELL0076</v>
      </c>
      <c r="I292" t="str">
        <f>IFERROR(_xlfn.XLOOKUP(H292,sellers_2026!A:A,sellers_2026!G:G,,0,), "unknown/inactive")</f>
        <v>QLD</v>
      </c>
      <c r="J292" t="str">
        <f>_xlfn.XLOOKUP(H292,sellers_2026!A:A,sellers_2026!B:B,,0,)</f>
        <v>generalstuff</v>
      </c>
      <c r="L292" s="10" t="s">
        <v>139</v>
      </c>
      <c r="M292">
        <v>30.88</v>
      </c>
      <c r="O292" s="10" t="s">
        <v>979</v>
      </c>
      <c r="P292">
        <v>1</v>
      </c>
    </row>
    <row r="293" spans="1:16" ht="14.25" customHeight="1" x14ac:dyDescent="0.3">
      <c r="A293" s="2" t="s">
        <v>2810</v>
      </c>
      <c r="B293" s="2" t="s">
        <v>548</v>
      </c>
      <c r="C293" s="2">
        <v>1</v>
      </c>
      <c r="D293" t="str">
        <f>_xlfn.XLOOKUP(order_items!B293,products_2026!A:A,products_2026!C:C,,0,)</f>
        <v>Clothes</v>
      </c>
      <c r="E293">
        <f>_xlfn.XLOOKUP(B293,products_2026!A:A,products_2026!D:D,,0,)</f>
        <v>20.75</v>
      </c>
      <c r="F293">
        <f t="shared" si="4"/>
        <v>20.75</v>
      </c>
      <c r="G293" t="str">
        <f>_xlfn.XLOOKUP(B293,products_2026!A:A,products_2026!B:B,,0,)</f>
        <v>Wool Beanie - Blue</v>
      </c>
      <c r="H293" t="str">
        <f>_xlfn.XLOOKUP(B293,products_2026!A:A,products_2026!E:E,,0,)</f>
        <v>SELL0039</v>
      </c>
      <c r="I293" t="str">
        <f>IFERROR(_xlfn.XLOOKUP(H293,sellers_2026!A:A,sellers_2026!G:G,,0,), "unknown/inactive")</f>
        <v>QLD</v>
      </c>
      <c r="J293" t="str">
        <f>_xlfn.XLOOKUP(H293,sellers_2026!A:A,sellers_2026!B:B,,0,)</f>
        <v>zmkizlf6t6</v>
      </c>
      <c r="L293" s="10" t="s">
        <v>146</v>
      </c>
      <c r="M293">
        <v>30.74</v>
      </c>
      <c r="O293" s="10" t="s">
        <v>287</v>
      </c>
      <c r="P293">
        <v>1</v>
      </c>
    </row>
    <row r="294" spans="1:16" ht="14.25" customHeight="1" x14ac:dyDescent="0.3">
      <c r="A294" s="2" t="s">
        <v>2811</v>
      </c>
      <c r="B294" s="2" t="s">
        <v>353</v>
      </c>
      <c r="C294" s="2">
        <v>1</v>
      </c>
      <c r="D294" t="str">
        <f>_xlfn.XLOOKUP(order_items!B294,products_2026!A:A,products_2026!C:C,,0,)</f>
        <v>Jewellery</v>
      </c>
      <c r="E294">
        <f>_xlfn.XLOOKUP(B294,products_2026!A:A,products_2026!D:D,,0,)</f>
        <v>35.020000000000003</v>
      </c>
      <c r="F294">
        <f t="shared" si="4"/>
        <v>35.020000000000003</v>
      </c>
      <c r="G294" t="str">
        <f>_xlfn.XLOOKUP(B294,products_2026!A:A,products_2026!B:B,,0,)</f>
        <v>Jewellery Box Birch</v>
      </c>
      <c r="H294" t="str">
        <f>_xlfn.XLOOKUP(B294,products_2026!A:A,products_2026!E:E,,0,)</f>
        <v>SELL0053</v>
      </c>
      <c r="I294" t="str">
        <f>IFERROR(_xlfn.XLOOKUP(H294,sellers_2026!A:A,sellers_2026!G:G,,0,), "unknown/inactive")</f>
        <v>ACT</v>
      </c>
      <c r="J294" t="str">
        <f>_xlfn.XLOOKUP(H294,sellers_2026!A:A,sellers_2026!B:B,,0,)</f>
        <v>homedeliver</v>
      </c>
      <c r="L294" s="10" t="s">
        <v>157</v>
      </c>
      <c r="M294">
        <v>30.08</v>
      </c>
      <c r="O294" s="10" t="s">
        <v>283</v>
      </c>
      <c r="P294">
        <v>1</v>
      </c>
    </row>
    <row r="295" spans="1:16" ht="14.25" customHeight="1" x14ac:dyDescent="0.3">
      <c r="A295" s="2" t="s">
        <v>2811</v>
      </c>
      <c r="B295" s="2" t="s">
        <v>991</v>
      </c>
      <c r="C295" s="2">
        <v>1</v>
      </c>
      <c r="D295" t="str">
        <f>_xlfn.XLOOKUP(order_items!B295,products_2026!A:A,products_2026!C:C,,0,)</f>
        <v>Toys</v>
      </c>
      <c r="E295">
        <f>_xlfn.XLOOKUP(B295,products_2026!A:A,products_2026!D:D,,0,)</f>
        <v>21.04</v>
      </c>
      <c r="F295">
        <f t="shared" si="4"/>
        <v>21.04</v>
      </c>
      <c r="G295" t="str">
        <f>_xlfn.XLOOKUP(B295,products_2026!A:A,products_2026!B:B,,0,)</f>
        <v>Talking doll happy smile matching outfit</v>
      </c>
      <c r="H295" t="str">
        <f>_xlfn.XLOOKUP(B295,products_2026!A:A,products_2026!E:E,,0,)</f>
        <v>SELL0095</v>
      </c>
      <c r="I295" t="str">
        <f>IFERROR(_xlfn.XLOOKUP(H295,sellers_2026!A:A,sellers_2026!G:G,,0,), "unknown/inactive")</f>
        <v>TAS</v>
      </c>
      <c r="J295" t="str">
        <f>_xlfn.XLOOKUP(H295,sellers_2026!A:A,sellers_2026!B:B,,0,)</f>
        <v>toybuy</v>
      </c>
      <c r="L295" s="10" t="s">
        <v>810</v>
      </c>
      <c r="M295">
        <v>29.46</v>
      </c>
      <c r="O295" s="10" t="s">
        <v>141</v>
      </c>
      <c r="P295">
        <v>1</v>
      </c>
    </row>
    <row r="296" spans="1:16" ht="14.25" customHeight="1" x14ac:dyDescent="0.3">
      <c r="A296" s="2" t="s">
        <v>2812</v>
      </c>
      <c r="B296" s="2" t="s">
        <v>293</v>
      </c>
      <c r="C296" s="2">
        <v>1</v>
      </c>
      <c r="D296" t="str">
        <f>_xlfn.XLOOKUP(order_items!B296,products_2026!A:A,products_2026!C:C,,0,)</f>
        <v>Beauty</v>
      </c>
      <c r="E296">
        <f>_xlfn.XLOOKUP(B296,products_2026!A:A,products_2026!D:D,,0,)</f>
        <v>9.81</v>
      </c>
      <c r="F296">
        <f t="shared" si="4"/>
        <v>9.81</v>
      </c>
      <c r="G296" t="str">
        <f>_xlfn.XLOOKUP(B296,products_2026!A:A,products_2026!B:B,,0,)</f>
        <v>Scented Candle Rose</v>
      </c>
      <c r="H296" t="str">
        <f>_xlfn.XLOOKUP(B296,products_2026!A:A,products_2026!E:E,,0,)</f>
        <v>SELL0045</v>
      </c>
      <c r="I296" t="str">
        <f>IFERROR(_xlfn.XLOOKUP(H296,sellers_2026!A:A,sellers_2026!G:G,,0,), "unknown/inactive")</f>
        <v>NT</v>
      </c>
      <c r="J296" t="str">
        <f>_xlfn.XLOOKUP(H296,sellers_2026!A:A,sellers_2026!B:B,,0,)</f>
        <v>s22ods7z5m</v>
      </c>
      <c r="L296" s="10" t="s">
        <v>455</v>
      </c>
      <c r="M296">
        <v>29.09</v>
      </c>
      <c r="O296" s="10" t="s">
        <v>920</v>
      </c>
      <c r="P296">
        <v>1</v>
      </c>
    </row>
    <row r="297" spans="1:16" ht="14.25" customHeight="1" x14ac:dyDescent="0.3">
      <c r="A297" s="2" t="s">
        <v>2812</v>
      </c>
      <c r="B297" s="2" t="s">
        <v>718</v>
      </c>
      <c r="C297" s="2">
        <v>1</v>
      </c>
      <c r="D297" t="str">
        <f>_xlfn.XLOOKUP(order_items!B297,products_2026!A:A,products_2026!C:C,,0,)</f>
        <v>Gift_Sets</v>
      </c>
      <c r="E297">
        <f>_xlfn.XLOOKUP(B297,products_2026!A:A,products_2026!D:D,,0,)</f>
        <v>24.92</v>
      </c>
      <c r="F297">
        <f t="shared" si="4"/>
        <v>24.92</v>
      </c>
      <c r="G297" t="str">
        <f>_xlfn.XLOOKUP(B297,products_2026!A:A,products_2026!B:B,,0,)</f>
        <v>Spa Pamper Gift Set Fruity Mix</v>
      </c>
      <c r="H297" t="str">
        <f>_xlfn.XLOOKUP(B297,products_2026!A:A,products_2026!E:E,,0,)</f>
        <v>SELL0088</v>
      </c>
      <c r="I297" t="str">
        <f>IFERROR(_xlfn.XLOOKUP(H297,sellers_2026!A:A,sellers_2026!G:G,,0,), "unknown/inactive")</f>
        <v>TAS</v>
      </c>
      <c r="J297" t="str">
        <f>_xlfn.XLOOKUP(H297,sellers_2026!A:A,sellers_2026!B:B,,0,)</f>
        <v>7ti9lfa6h5</v>
      </c>
      <c r="L297" s="10" t="s">
        <v>981</v>
      </c>
      <c r="M297">
        <v>28.72</v>
      </c>
      <c r="O297" s="10" t="s">
        <v>159</v>
      </c>
      <c r="P297">
        <v>1</v>
      </c>
    </row>
    <row r="298" spans="1:16" ht="14.25" customHeight="1" x14ac:dyDescent="0.3">
      <c r="A298" s="2" t="s">
        <v>2813</v>
      </c>
      <c r="B298" s="2" t="s">
        <v>931</v>
      </c>
      <c r="C298" s="2">
        <v>1</v>
      </c>
      <c r="D298" t="str">
        <f>_xlfn.XLOOKUP(order_items!B298,products_2026!A:A,products_2026!C:C,,0,)</f>
        <v>Outdoor</v>
      </c>
      <c r="E298">
        <f>_xlfn.XLOOKUP(B298,products_2026!A:A,products_2026!D:D,,0,)</f>
        <v>114.11</v>
      </c>
      <c r="F298">
        <f t="shared" si="4"/>
        <v>114.11</v>
      </c>
      <c r="G298" t="str">
        <f>_xlfn.XLOOKUP(B298,products_2026!A:A,products_2026!B:B,,0,)</f>
        <v>Compact Hiking Backpack 20L (Blue)</v>
      </c>
      <c r="H298" t="str">
        <f>_xlfn.XLOOKUP(B298,products_2026!A:A,products_2026!E:E,,0,)</f>
        <v>SELL0093</v>
      </c>
      <c r="I298" t="str">
        <f>IFERROR(_xlfn.XLOOKUP(H298,sellers_2026!A:A,sellers_2026!G:G,,0,), "unknown/inactive")</f>
        <v>NT</v>
      </c>
      <c r="J298" t="str">
        <f>_xlfn.XLOOKUP(H298,sellers_2026!A:A,sellers_2026!B:B,,0,)</f>
        <v>millies-outdoor-shop</v>
      </c>
      <c r="L298" s="10" t="s">
        <v>912</v>
      </c>
      <c r="M298">
        <v>28.3</v>
      </c>
      <c r="O298" s="10" t="s">
        <v>995</v>
      </c>
      <c r="P298">
        <v>1</v>
      </c>
    </row>
    <row r="299" spans="1:16" ht="14.25" customHeight="1" x14ac:dyDescent="0.3">
      <c r="A299" s="2" t="s">
        <v>2814</v>
      </c>
      <c r="B299" s="2" t="s">
        <v>183</v>
      </c>
      <c r="C299" s="2">
        <v>1</v>
      </c>
      <c r="D299" t="str">
        <f>_xlfn.XLOOKUP(order_items!B299,products_2026!A:A,products_2026!C:C,,0,)</f>
        <v>Gift_Sets</v>
      </c>
      <c r="E299">
        <f>_xlfn.XLOOKUP(B299,products_2026!A:A,products_2026!D:D,,0,)</f>
        <v>39.85</v>
      </c>
      <c r="F299">
        <f t="shared" si="4"/>
        <v>39.85</v>
      </c>
      <c r="G299" t="str">
        <f>_xlfn.XLOOKUP(B299,products_2026!A:A,products_2026!B:B,,0,)</f>
        <v>Bath Bomb Variety Pack (Ylang ylang jasmine)</v>
      </c>
      <c r="H299" t="str">
        <f>_xlfn.XLOOKUP(B299,products_2026!A:A,products_2026!E:E,,0,)</f>
        <v>SELL0035</v>
      </c>
      <c r="I299" t="str">
        <f>IFERROR(_xlfn.XLOOKUP(H299,sellers_2026!A:A,sellers_2026!G:G,,0,), "unknown/inactive")</f>
        <v>ACT</v>
      </c>
      <c r="J299" t="str">
        <f>_xlfn.XLOOKUP(H299,sellers_2026!A:A,sellers_2026!B:B,,0,)</f>
        <v>maddie-sells</v>
      </c>
      <c r="L299" s="10" t="s">
        <v>43</v>
      </c>
      <c r="M299">
        <v>28.24</v>
      </c>
      <c r="O299" s="10" t="s">
        <v>110</v>
      </c>
      <c r="P299">
        <v>1</v>
      </c>
    </row>
    <row r="300" spans="1:16" ht="14.25" customHeight="1" x14ac:dyDescent="0.3">
      <c r="A300" s="2" t="s">
        <v>2815</v>
      </c>
      <c r="B300" s="2" t="s">
        <v>555</v>
      </c>
      <c r="C300" s="2">
        <v>1</v>
      </c>
      <c r="D300" t="str">
        <f>_xlfn.XLOOKUP(order_items!B300,products_2026!A:A,products_2026!C:C,,0,)</f>
        <v>Toys</v>
      </c>
      <c r="E300">
        <f>_xlfn.XLOOKUP(B300,products_2026!A:A,products_2026!D:D,,0,)</f>
        <v>26.73</v>
      </c>
      <c r="F300">
        <f t="shared" si="4"/>
        <v>26.73</v>
      </c>
      <c r="G300" t="str">
        <f>_xlfn.XLOOKUP(B300,products_2026!A:A,products_2026!B:B,,0,)</f>
        <v>Skipping Rope</v>
      </c>
      <c r="H300" t="str">
        <f>_xlfn.XLOOKUP(B300,products_2026!A:A,products_2026!E:E,,0,)</f>
        <v>SELL0076</v>
      </c>
      <c r="I300" t="str">
        <f>IFERROR(_xlfn.XLOOKUP(H300,sellers_2026!A:A,sellers_2026!G:G,,0,), "unknown/inactive")</f>
        <v>QLD</v>
      </c>
      <c r="J300" t="str">
        <f>_xlfn.XLOOKUP(H300,sellers_2026!A:A,sellers_2026!B:B,,0,)</f>
        <v>generalstuff</v>
      </c>
      <c r="L300" s="10" t="s">
        <v>141</v>
      </c>
      <c r="M300">
        <v>27.42</v>
      </c>
      <c r="O300" s="10" t="s">
        <v>493</v>
      </c>
      <c r="P300">
        <v>1</v>
      </c>
    </row>
    <row r="301" spans="1:16" ht="14.25" customHeight="1" x14ac:dyDescent="0.3">
      <c r="A301" s="2" t="s">
        <v>2815</v>
      </c>
      <c r="B301" s="2" t="s">
        <v>985</v>
      </c>
      <c r="C301" s="2">
        <v>1</v>
      </c>
      <c r="D301" t="str">
        <f>_xlfn.XLOOKUP(order_items!B301,products_2026!A:A,products_2026!C:C,,0,)</f>
        <v>Toys</v>
      </c>
      <c r="E301">
        <f>_xlfn.XLOOKUP(B301,products_2026!A:A,products_2026!D:D,,0,)</f>
        <v>38.72</v>
      </c>
      <c r="F301">
        <f t="shared" si="4"/>
        <v>38.72</v>
      </c>
      <c r="G301" t="str">
        <f>_xlfn.XLOOKUP(B301,products_2026!A:A,products_2026!B:B,,0,)</f>
        <v>Remote Control Car Vroom Noise</v>
      </c>
      <c r="H301" t="str">
        <f>_xlfn.XLOOKUP(B301,products_2026!A:A,products_2026!E:E,,0,)</f>
        <v>SELL0095</v>
      </c>
      <c r="I301" t="str">
        <f>IFERROR(_xlfn.XLOOKUP(H301,sellers_2026!A:A,sellers_2026!G:G,,0,), "unknown/inactive")</f>
        <v>TAS</v>
      </c>
      <c r="J301" t="str">
        <f>_xlfn.XLOOKUP(H301,sellers_2026!A:A,sellers_2026!B:B,,0,)</f>
        <v>toybuy</v>
      </c>
      <c r="L301" s="10" t="s">
        <v>256</v>
      </c>
      <c r="M301">
        <v>26.98</v>
      </c>
      <c r="O301" s="10" t="s">
        <v>780</v>
      </c>
      <c r="P301">
        <v>1</v>
      </c>
    </row>
    <row r="302" spans="1:16" ht="14.25" customHeight="1" x14ac:dyDescent="0.3">
      <c r="A302" s="2" t="s">
        <v>2816</v>
      </c>
      <c r="B302" s="2" t="s">
        <v>92</v>
      </c>
      <c r="C302" s="2">
        <v>1</v>
      </c>
      <c r="D302" t="str">
        <f>_xlfn.XLOOKUP(order_items!B302,products_2026!A:A,products_2026!C:C,,0,)</f>
        <v>Outdoor</v>
      </c>
      <c r="E302">
        <f>_xlfn.XLOOKUP(B302,products_2026!A:A,products_2026!D:D,,0,)</f>
        <v>115.39</v>
      </c>
      <c r="F302">
        <f t="shared" si="4"/>
        <v>115.39</v>
      </c>
      <c r="G302" t="str">
        <f>_xlfn.XLOOKUP(B302,products_2026!A:A,products_2026!B:B,,0,)</f>
        <v>Solar Garden Light Set (8 pack)</v>
      </c>
      <c r="H302" t="str">
        <f>_xlfn.XLOOKUP(B302,products_2026!A:A,products_2026!E:E,,0,)</f>
        <v>SELL0021</v>
      </c>
      <c r="I302" t="str">
        <f>IFERROR(_xlfn.XLOOKUP(H302,sellers_2026!A:A,sellers_2026!G:G,,0,), "unknown/inactive")</f>
        <v>VIC</v>
      </c>
      <c r="J302" t="str">
        <f>_xlfn.XLOOKUP(H302,sellers_2026!A:A,sellers_2026!B:B,,0,)</f>
        <v>stuff-on-sale</v>
      </c>
      <c r="L302" s="10" t="s">
        <v>110</v>
      </c>
      <c r="M302">
        <v>25.82</v>
      </c>
      <c r="O302" s="10" t="s">
        <v>527</v>
      </c>
      <c r="P302">
        <v>1</v>
      </c>
    </row>
    <row r="303" spans="1:16" ht="14.25" customHeight="1" x14ac:dyDescent="0.3">
      <c r="A303" s="2" t="s">
        <v>2817</v>
      </c>
      <c r="B303" s="2" t="s">
        <v>836</v>
      </c>
      <c r="C303" s="2">
        <v>1</v>
      </c>
      <c r="D303" t="str">
        <f>_xlfn.XLOOKUP(order_items!B303,products_2026!A:A,products_2026!C:C,,0,)</f>
        <v>Home</v>
      </c>
      <c r="E303">
        <f>_xlfn.XLOOKUP(B303,products_2026!A:A,products_2026!D:D,,0,)</f>
        <v>22.63</v>
      </c>
      <c r="F303">
        <f t="shared" si="4"/>
        <v>22.63</v>
      </c>
      <c r="G303" t="str">
        <f>_xlfn.XLOOKUP(B303,products_2026!A:A,products_2026!B:B,,0,)</f>
        <v>Vitamin C Serum 50ml</v>
      </c>
      <c r="H303" t="str">
        <f>_xlfn.XLOOKUP(B303,products_2026!A:A,products_2026!E:E,,0,)</f>
        <v>SELL0091</v>
      </c>
      <c r="I303" t="str">
        <f>IFERROR(_xlfn.XLOOKUP(H303,sellers_2026!A:A,sellers_2026!G:G,,0,), "unknown/inactive")</f>
        <v>TAS</v>
      </c>
      <c r="J303" t="str">
        <f>_xlfn.XLOOKUP(H303,sellers_2026!A:A,sellers_2026!B:B,,0,)</f>
        <v>beautifullhome</v>
      </c>
      <c r="L303" s="10" t="s">
        <v>290</v>
      </c>
      <c r="M303">
        <v>25.48</v>
      </c>
      <c r="O303" s="10" t="s">
        <v>113</v>
      </c>
      <c r="P303">
        <v>1</v>
      </c>
    </row>
    <row r="304" spans="1:16" ht="14.25" customHeight="1" x14ac:dyDescent="0.3">
      <c r="A304" s="2" t="s">
        <v>2818</v>
      </c>
      <c r="B304" s="2" t="s">
        <v>355</v>
      </c>
      <c r="C304" s="2">
        <v>1</v>
      </c>
      <c r="D304" t="str">
        <f>_xlfn.XLOOKUP(order_items!B304,products_2026!A:A,products_2026!C:C,,0,)</f>
        <v>Gift_Sets</v>
      </c>
      <c r="E304">
        <f>_xlfn.XLOOKUP(B304,products_2026!A:A,products_2026!D:D,,0,)</f>
        <v>14.62</v>
      </c>
      <c r="F304">
        <f t="shared" si="4"/>
        <v>14.62</v>
      </c>
      <c r="G304" t="str">
        <f>_xlfn.XLOOKUP(B304,products_2026!A:A,products_2026!B:B,,0,)</f>
        <v>Tea Lovers Hamper Vegemite Edition</v>
      </c>
      <c r="H304" t="str">
        <f>_xlfn.XLOOKUP(B304,products_2026!A:A,products_2026!E:E,,0,)</f>
        <v>SELL0053</v>
      </c>
      <c r="I304" t="str">
        <f>IFERROR(_xlfn.XLOOKUP(H304,sellers_2026!A:A,sellers_2026!G:G,,0,), "unknown/inactive")</f>
        <v>ACT</v>
      </c>
      <c r="J304" t="str">
        <f>_xlfn.XLOOKUP(H304,sellers_2026!A:A,sellers_2026!B:B,,0,)</f>
        <v>homedeliver</v>
      </c>
      <c r="L304" s="10" t="s">
        <v>95</v>
      </c>
      <c r="M304">
        <v>24.94</v>
      </c>
      <c r="O304" s="10" t="s">
        <v>741</v>
      </c>
      <c r="P304">
        <v>1</v>
      </c>
    </row>
    <row r="305" spans="1:16" ht="14.25" customHeight="1" x14ac:dyDescent="0.3">
      <c r="A305" s="2" t="s">
        <v>2819</v>
      </c>
      <c r="B305" s="2" t="s">
        <v>953</v>
      </c>
      <c r="C305" s="2">
        <v>1</v>
      </c>
      <c r="D305" t="str">
        <f>_xlfn.XLOOKUP(order_items!B305,products_2026!A:A,products_2026!C:C,,0,)</f>
        <v>Outdoor</v>
      </c>
      <c r="E305">
        <f>_xlfn.XLOOKUP(B305,products_2026!A:A,products_2026!D:D,,0,)</f>
        <v>60.6</v>
      </c>
      <c r="F305">
        <f t="shared" si="4"/>
        <v>60.6</v>
      </c>
      <c r="G305" t="str">
        <f>_xlfn.XLOOKUP(B305,products_2026!A:A,products_2026!B:B,,0,)</f>
        <v>BBQ Grill Mat - Non‑stick (Blue)</v>
      </c>
      <c r="H305" t="str">
        <f>_xlfn.XLOOKUP(B305,products_2026!A:A,products_2026!E:E,,0,)</f>
        <v>SELL0093</v>
      </c>
      <c r="I305" t="str">
        <f>IFERROR(_xlfn.XLOOKUP(H305,sellers_2026!A:A,sellers_2026!G:G,,0,), "unknown/inactive")</f>
        <v>NT</v>
      </c>
      <c r="J305" t="str">
        <f>_xlfn.XLOOKUP(H305,sellers_2026!A:A,sellers_2026!B:B,,0,)</f>
        <v>millies-outdoor-shop</v>
      </c>
      <c r="L305" s="10" t="s">
        <v>584</v>
      </c>
      <c r="M305">
        <v>24.72</v>
      </c>
      <c r="O305" s="10" t="s">
        <v>743</v>
      </c>
      <c r="P305">
        <v>1</v>
      </c>
    </row>
    <row r="306" spans="1:16" ht="14.25" customHeight="1" x14ac:dyDescent="0.3">
      <c r="A306" s="2" t="s">
        <v>2820</v>
      </c>
      <c r="B306" s="2" t="s">
        <v>134</v>
      </c>
      <c r="C306" s="2">
        <v>1</v>
      </c>
      <c r="D306" t="str">
        <f>_xlfn.XLOOKUP(order_items!B306,products_2026!A:A,products_2026!C:C,,0,)</f>
        <v>Home</v>
      </c>
      <c r="E306">
        <f>_xlfn.XLOOKUP(B306,products_2026!A:A,products_2026!D:D,,0,)</f>
        <v>29.36</v>
      </c>
      <c r="F306">
        <f t="shared" si="4"/>
        <v>29.36</v>
      </c>
      <c r="G306" t="str">
        <f>_xlfn.XLOOKUP(B306,products_2026!A:A,products_2026!B:B,,0,)</f>
        <v>Essential Oil Diffuser</v>
      </c>
      <c r="H306" t="str">
        <f>_xlfn.XLOOKUP(B306,products_2026!A:A,products_2026!E:E,,0,)</f>
        <v>SELL0028</v>
      </c>
      <c r="I306" t="str">
        <f>IFERROR(_xlfn.XLOOKUP(H306,sellers_2026!A:A,sellers_2026!G:G,,0,), "unknown/inactive")</f>
        <v>NT</v>
      </c>
      <c r="J306" t="str">
        <f>_xlfn.XLOOKUP(H306,sellers_2026!A:A,sellers_2026!B:B,,0,)</f>
        <v>goodsahoy</v>
      </c>
      <c r="L306" s="10" t="s">
        <v>366</v>
      </c>
      <c r="M306">
        <v>23.68</v>
      </c>
      <c r="O306" s="10" t="s">
        <v>236</v>
      </c>
      <c r="P306">
        <v>1</v>
      </c>
    </row>
    <row r="307" spans="1:16" ht="14.25" customHeight="1" x14ac:dyDescent="0.3">
      <c r="A307" s="2" t="s">
        <v>2820</v>
      </c>
      <c r="B307" s="2" t="s">
        <v>706</v>
      </c>
      <c r="C307" s="2">
        <v>1</v>
      </c>
      <c r="D307" t="str">
        <f>_xlfn.XLOOKUP(order_items!B307,products_2026!A:A,products_2026!C:C,,0,)</f>
        <v>Electronics</v>
      </c>
      <c r="E307">
        <f>_xlfn.XLOOKUP(B307,products_2026!A:A,products_2026!D:D,,0,)</f>
        <v>63.84</v>
      </c>
      <c r="F307">
        <f t="shared" si="4"/>
        <v>63.84</v>
      </c>
      <c r="G307" t="str">
        <f>_xlfn.XLOOKUP(B307,products_2026!A:A,products_2026!B:B,,0,)</f>
        <v>Noise Cancelling Headphones (Green)</v>
      </c>
      <c r="H307" t="str">
        <f>_xlfn.XLOOKUP(B307,products_2026!A:A,products_2026!E:E,,0,)</f>
        <v>SELL0088</v>
      </c>
      <c r="I307" t="str">
        <f>IFERROR(_xlfn.XLOOKUP(H307,sellers_2026!A:A,sellers_2026!G:G,,0,), "unknown/inactive")</f>
        <v>TAS</v>
      </c>
      <c r="J307" t="str">
        <f>_xlfn.XLOOKUP(H307,sellers_2026!A:A,sellers_2026!B:B,,0,)</f>
        <v>7ti9lfa6h5</v>
      </c>
      <c r="L307" s="10" t="s">
        <v>527</v>
      </c>
      <c r="M307">
        <v>23.36</v>
      </c>
      <c r="O307" s="10" t="s">
        <v>936</v>
      </c>
      <c r="P307">
        <v>1</v>
      </c>
    </row>
    <row r="308" spans="1:16" ht="14.25" customHeight="1" x14ac:dyDescent="0.3">
      <c r="A308" s="2" t="s">
        <v>2821</v>
      </c>
      <c r="B308" s="2" t="s">
        <v>136</v>
      </c>
      <c r="C308" s="2">
        <v>1</v>
      </c>
      <c r="D308" t="str">
        <f>_xlfn.XLOOKUP(order_items!B308,products_2026!A:A,products_2026!C:C,,0,)</f>
        <v>Home</v>
      </c>
      <c r="E308">
        <f>_xlfn.XLOOKUP(B308,products_2026!A:A,products_2026!D:D,,0,)</f>
        <v>30.81</v>
      </c>
      <c r="F308">
        <f t="shared" si="4"/>
        <v>30.81</v>
      </c>
      <c r="G308" t="str">
        <f>_xlfn.XLOOKUP(B308,products_2026!A:A,products_2026!B:B,,0,)</f>
        <v>Protein Shaker Bottle 600ml (Red)</v>
      </c>
      <c r="H308" t="str">
        <f>_xlfn.XLOOKUP(B308,products_2026!A:A,products_2026!E:E,,0,)</f>
        <v>SELL0028</v>
      </c>
      <c r="I308" t="str">
        <f>IFERROR(_xlfn.XLOOKUP(H308,sellers_2026!A:A,sellers_2026!G:G,,0,), "unknown/inactive")</f>
        <v>NT</v>
      </c>
      <c r="J308" t="str">
        <f>_xlfn.XLOOKUP(H308,sellers_2026!A:A,sellers_2026!B:B,,0,)</f>
        <v>goodsahoy</v>
      </c>
      <c r="L308" s="10" t="s">
        <v>328</v>
      </c>
      <c r="M308">
        <v>22.71</v>
      </c>
      <c r="O308" s="10" t="s">
        <v>988</v>
      </c>
      <c r="P308">
        <v>1</v>
      </c>
    </row>
    <row r="309" spans="1:16" ht="14.25" customHeight="1" x14ac:dyDescent="0.3">
      <c r="A309" s="2" t="s">
        <v>2822</v>
      </c>
      <c r="B309" s="2" t="s">
        <v>495</v>
      </c>
      <c r="C309" s="2">
        <v>1</v>
      </c>
      <c r="D309" t="str">
        <f>_xlfn.XLOOKUP(order_items!B309,products_2026!A:A,products_2026!C:C,,0,)</f>
        <v>Home</v>
      </c>
      <c r="E309">
        <f>_xlfn.XLOOKUP(B309,products_2026!A:A,products_2026!D:D,,0,)</f>
        <v>14.98</v>
      </c>
      <c r="F309">
        <f t="shared" si="4"/>
        <v>14.98</v>
      </c>
      <c r="G309" t="str">
        <f>_xlfn.XLOOKUP(B309,products_2026!A:A,products_2026!B:B,,0,)</f>
        <v>Essential Oil Diffuser Mains Powered</v>
      </c>
      <c r="H309" t="str">
        <f>_xlfn.XLOOKUP(B309,products_2026!A:A,products_2026!E:E,,0,)</f>
        <v>SELL0070</v>
      </c>
      <c r="I309" t="str">
        <f>IFERROR(_xlfn.XLOOKUP(H309,sellers_2026!A:A,sellers_2026!G:G,,0,), "unknown/inactive")</f>
        <v>QLD</v>
      </c>
      <c r="J309" t="str">
        <f>_xlfn.XLOOKUP(H309,sellers_2026!A:A,sellers_2026!B:B,,0,)</f>
        <v>homeandaways</v>
      </c>
      <c r="L309" s="10" t="s">
        <v>510</v>
      </c>
      <c r="M309">
        <v>22.23</v>
      </c>
      <c r="O309" s="10" t="s">
        <v>703</v>
      </c>
      <c r="P309">
        <v>1</v>
      </c>
    </row>
    <row r="310" spans="1:16" ht="14.25" customHeight="1" x14ac:dyDescent="0.3">
      <c r="A310" s="2" t="s">
        <v>2823</v>
      </c>
      <c r="B310" s="2" t="s">
        <v>31</v>
      </c>
      <c r="C310" s="2">
        <v>1</v>
      </c>
      <c r="D310" t="str">
        <f>_xlfn.XLOOKUP(order_items!B310,products_2026!A:A,products_2026!C:C,,0,)</f>
        <v>Toys</v>
      </c>
      <c r="E310">
        <f>_xlfn.XLOOKUP(B310,products_2026!A:A,products_2026!D:D,,0,)</f>
        <v>38.25</v>
      </c>
      <c r="F310">
        <f t="shared" si="4"/>
        <v>38.25</v>
      </c>
      <c r="G310" t="str">
        <f>_xlfn.XLOOKUP(B310,products_2026!A:A,products_2026!B:B,,0,)</f>
        <v>Slime Lab Green 8pc</v>
      </c>
      <c r="H310" t="str">
        <f>_xlfn.XLOOKUP(B310,products_2026!A:A,products_2026!E:E,,0,)</f>
        <v>SELL0006</v>
      </c>
      <c r="I310" t="str">
        <f>IFERROR(_xlfn.XLOOKUP(H310,sellers_2026!A:A,sellers_2026!G:G,,0,), "unknown/inactive")</f>
        <v>VIC</v>
      </c>
      <c r="J310" t="str">
        <f>_xlfn.XLOOKUP(H310,sellers_2026!A:A,sellers_2026!B:B,,0,)</f>
        <v>toysyay</v>
      </c>
      <c r="L310" s="10" t="s">
        <v>854</v>
      </c>
      <c r="M310">
        <v>21.89</v>
      </c>
      <c r="O310" s="10" t="s">
        <v>491</v>
      </c>
      <c r="P310">
        <v>1</v>
      </c>
    </row>
    <row r="311" spans="1:16" ht="14.25" customHeight="1" x14ac:dyDescent="0.3">
      <c r="A311" s="2" t="s">
        <v>2824</v>
      </c>
      <c r="B311" s="2" t="s">
        <v>156</v>
      </c>
      <c r="C311" s="2">
        <v>1</v>
      </c>
      <c r="D311" t="str">
        <f>_xlfn.XLOOKUP(order_items!B311,products_2026!A:A,products_2026!C:C,,0,)</f>
        <v>Beauty</v>
      </c>
      <c r="E311">
        <f>_xlfn.XLOOKUP(B311,products_2026!A:A,products_2026!D:D,,0,)</f>
        <v>15.04</v>
      </c>
      <c r="F311">
        <f t="shared" si="4"/>
        <v>15.04</v>
      </c>
      <c r="G311" t="str">
        <f>_xlfn.XLOOKUP(B311,products_2026!A:A,products_2026!B:B,,0,)</f>
        <v>Blending Sponge</v>
      </c>
      <c r="H311" t="str">
        <f>_xlfn.XLOOKUP(B311,products_2026!A:A,products_2026!E:E,,0,)</f>
        <v>SELL0032</v>
      </c>
      <c r="I311" t="str">
        <f>IFERROR(_xlfn.XLOOKUP(H311,sellers_2026!A:A,sellers_2026!G:G,,0,), "unknown/inactive")</f>
        <v>VIC</v>
      </c>
      <c r="J311" t="str">
        <f>_xlfn.XLOOKUP(H311,sellers_2026!A:A,sellers_2026!B:B,,0,)</f>
        <v>buydongxi25</v>
      </c>
      <c r="L311" s="10" t="s">
        <v>948</v>
      </c>
      <c r="M311">
        <v>20.39</v>
      </c>
      <c r="O311" s="10" t="s">
        <v>238</v>
      </c>
      <c r="P311">
        <v>1</v>
      </c>
    </row>
    <row r="312" spans="1:16" ht="14.25" customHeight="1" x14ac:dyDescent="0.3">
      <c r="A312" s="2" t="s">
        <v>2825</v>
      </c>
      <c r="B312" s="2" t="s">
        <v>462</v>
      </c>
      <c r="C312" s="2">
        <v>1</v>
      </c>
      <c r="D312" t="str">
        <f>_xlfn.XLOOKUP(order_items!B312,products_2026!A:A,products_2026!C:C,,0,)</f>
        <v>Health</v>
      </c>
      <c r="E312">
        <f>_xlfn.XLOOKUP(B312,products_2026!A:A,products_2026!D:D,,0,)</f>
        <v>40.75</v>
      </c>
      <c r="F312">
        <f t="shared" si="4"/>
        <v>40.75</v>
      </c>
      <c r="G312" t="str">
        <f>_xlfn.XLOOKUP(B312,products_2026!A:A,products_2026!B:B,,0,)</f>
        <v>Blood Pressure Monitor Digital</v>
      </c>
      <c r="H312" t="str">
        <f>_xlfn.XLOOKUP(B312,products_2026!A:A,products_2026!E:E,,0,)</f>
        <v>SELL0066</v>
      </c>
      <c r="I312" t="str">
        <f>IFERROR(_xlfn.XLOOKUP(H312,sellers_2026!A:A,sellers_2026!G:G,,0,), "unknown/inactive")</f>
        <v>VIC</v>
      </c>
      <c r="J312" t="str">
        <f>_xlfn.XLOOKUP(H312,sellers_2026!A:A,sellers_2026!B:B,,0,)</f>
        <v>healthcarehelp</v>
      </c>
      <c r="L312" s="10" t="s">
        <v>236</v>
      </c>
      <c r="M312">
        <v>20.13</v>
      </c>
      <c r="O312" s="10" t="s">
        <v>745</v>
      </c>
      <c r="P312">
        <v>1</v>
      </c>
    </row>
    <row r="313" spans="1:16" ht="14.25" customHeight="1" x14ac:dyDescent="0.3">
      <c r="A313" s="2" t="s">
        <v>2826</v>
      </c>
      <c r="B313" s="2" t="s">
        <v>368</v>
      </c>
      <c r="C313" s="2">
        <v>1</v>
      </c>
      <c r="D313" t="str">
        <f>_xlfn.XLOOKUP(order_items!B313,products_2026!A:A,products_2026!C:C,,0,)</f>
        <v>Toys</v>
      </c>
      <c r="E313">
        <f>_xlfn.XLOOKUP(B313,products_2026!A:A,products_2026!D:D,,0,)</f>
        <v>16.22</v>
      </c>
      <c r="F313">
        <f t="shared" si="4"/>
        <v>16.22</v>
      </c>
      <c r="G313" t="str">
        <f>_xlfn.XLOOKUP(B313,products_2026!A:A,products_2026!B:B,,0,)</f>
        <v>Kids Paint Kit</v>
      </c>
      <c r="H313" t="str">
        <f>_xlfn.XLOOKUP(B313,products_2026!A:A,products_2026!E:E,,0,)</f>
        <v>SELL0055</v>
      </c>
      <c r="I313" t="str">
        <f>IFERROR(_xlfn.XLOOKUP(H313,sellers_2026!A:A,sellers_2026!G:G,,0,), "unknown/inactive")</f>
        <v>NSW</v>
      </c>
      <c r="J313" t="str">
        <f>_xlfn.XLOOKUP(H313,sellers_2026!A:A,sellers_2026!B:B,,0,)</f>
        <v>hill25doors</v>
      </c>
      <c r="L313" s="10" t="s">
        <v>207</v>
      </c>
      <c r="M313">
        <v>19.89</v>
      </c>
      <c r="O313" s="10" t="s">
        <v>705</v>
      </c>
      <c r="P313">
        <v>1</v>
      </c>
    </row>
    <row r="314" spans="1:16" ht="14.25" customHeight="1" x14ac:dyDescent="0.3">
      <c r="A314" s="2" t="s">
        <v>2827</v>
      </c>
      <c r="B314" s="2" t="s">
        <v>202</v>
      </c>
      <c r="C314" s="2">
        <v>1</v>
      </c>
      <c r="D314" t="str">
        <f>_xlfn.XLOOKUP(order_items!B314,products_2026!A:A,products_2026!C:C,,0,)</f>
        <v>Gift_Sets</v>
      </c>
      <c r="E314">
        <f>_xlfn.XLOOKUP(B314,products_2026!A:A,products_2026!D:D,,0,)</f>
        <v>39.36</v>
      </c>
      <c r="F314">
        <f t="shared" si="4"/>
        <v>39.36</v>
      </c>
      <c r="G314" t="str">
        <f>_xlfn.XLOOKUP(B314,products_2026!A:A,products_2026!B:B,,0,)</f>
        <v>Mini Plant Starter Kit (Tulip)</v>
      </c>
      <c r="H314" t="str">
        <f>_xlfn.XLOOKUP(B314,products_2026!A:A,products_2026!E:E,,0,)</f>
        <v>SELL0037</v>
      </c>
      <c r="I314" t="str">
        <f>IFERROR(_xlfn.XLOOKUP(H314,sellers_2026!A:A,sellers_2026!G:G,,0,), "unknown/inactive")</f>
        <v>VIC</v>
      </c>
      <c r="J314" t="str">
        <f>_xlfn.XLOOKUP(H314,sellers_2026!A:A,sellers_2026!B:B,,0,)</f>
        <v>storeshop</v>
      </c>
      <c r="L314" s="10" t="s">
        <v>294</v>
      </c>
      <c r="M314">
        <v>19.62</v>
      </c>
      <c r="O314" s="10" t="s">
        <v>389</v>
      </c>
      <c r="P314">
        <v>1</v>
      </c>
    </row>
    <row r="315" spans="1:16" ht="14.25" customHeight="1" x14ac:dyDescent="0.3">
      <c r="A315" s="2" t="s">
        <v>2828</v>
      </c>
      <c r="B315" s="2" t="s">
        <v>871</v>
      </c>
      <c r="C315" s="2">
        <v>2</v>
      </c>
      <c r="D315" t="str">
        <f>_xlfn.XLOOKUP(order_items!B315,products_2026!A:A,products_2026!C:C,,0,)</f>
        <v>Jewellery</v>
      </c>
      <c r="E315">
        <f>_xlfn.XLOOKUP(B315,products_2026!A:A,products_2026!D:D,,0,)</f>
        <v>35.5</v>
      </c>
      <c r="F315">
        <f t="shared" si="4"/>
        <v>71</v>
      </c>
      <c r="G315" t="str">
        <f>_xlfn.XLOOKUP(B315,products_2026!A:A,products_2026!B:B,,0,)</f>
        <v>Pendant Necklace - Silver</v>
      </c>
      <c r="H315" t="str">
        <f>_xlfn.XLOOKUP(B315,products_2026!A:A,products_2026!E:E,,0,)</f>
        <v>SELL0092</v>
      </c>
      <c r="I315" t="str">
        <f>IFERROR(_xlfn.XLOOKUP(H315,sellers_2026!A:A,sellers_2026!G:G,,0,), "unknown/inactive")</f>
        <v>VIC</v>
      </c>
      <c r="J315" t="str">
        <f>_xlfn.XLOOKUP(H315,sellers_2026!A:A,sellers_2026!B:B,,0,)</f>
        <v>dress4beauty</v>
      </c>
      <c r="L315" s="10" t="s">
        <v>250</v>
      </c>
      <c r="M315">
        <v>17.66</v>
      </c>
      <c r="O315" s="10" t="s">
        <v>701</v>
      </c>
      <c r="P315">
        <v>1</v>
      </c>
    </row>
    <row r="316" spans="1:16" ht="14.25" customHeight="1" x14ac:dyDescent="0.3">
      <c r="A316" s="2" t="s">
        <v>2829</v>
      </c>
      <c r="B316" s="2" t="s">
        <v>413</v>
      </c>
      <c r="C316" s="2">
        <v>1</v>
      </c>
      <c r="D316" t="str">
        <f>_xlfn.XLOOKUP(order_items!B316,products_2026!A:A,products_2026!C:C,,0,)</f>
        <v>Jewellery</v>
      </c>
      <c r="E316">
        <f>_xlfn.XLOOKUP(B316,products_2026!A:A,products_2026!D:D,,0,)</f>
        <v>36.35</v>
      </c>
      <c r="F316">
        <f t="shared" si="4"/>
        <v>36.35</v>
      </c>
      <c r="G316" t="str">
        <f>_xlfn.XLOOKUP(B316,products_2026!A:A,products_2026!B:B,,0,)</f>
        <v>Pearl Earrings Stud</v>
      </c>
      <c r="H316" t="str">
        <f>_xlfn.XLOOKUP(B316,products_2026!A:A,products_2026!E:E,,0,)</f>
        <v>SELL0060</v>
      </c>
      <c r="I316" t="str">
        <f>IFERROR(_xlfn.XLOOKUP(H316,sellers_2026!A:A,sellers_2026!G:G,,0,), "unknown/inactive")</f>
        <v>VIC</v>
      </c>
      <c r="J316" t="str">
        <f>_xlfn.XLOOKUP(H316,sellers_2026!A:A,sellers_2026!B:B,,0,)</f>
        <v>shop689</v>
      </c>
      <c r="L316" s="10" t="s">
        <v>988</v>
      </c>
      <c r="M316">
        <v>17.5</v>
      </c>
      <c r="O316" s="10" t="s">
        <v>250</v>
      </c>
      <c r="P316">
        <v>1</v>
      </c>
    </row>
    <row r="317" spans="1:16" ht="14.25" customHeight="1" x14ac:dyDescent="0.3">
      <c r="A317" s="2" t="s">
        <v>2830</v>
      </c>
      <c r="B317" s="2" t="s">
        <v>396</v>
      </c>
      <c r="C317" s="2">
        <v>1</v>
      </c>
      <c r="D317" t="str">
        <f>_xlfn.XLOOKUP(order_items!B317,products_2026!A:A,products_2026!C:C,,0,)</f>
        <v>Jewellery</v>
      </c>
      <c r="E317">
        <f>_xlfn.XLOOKUP(B317,products_2026!A:A,products_2026!D:D,,0,)</f>
        <v>33.36</v>
      </c>
      <c r="F317">
        <f t="shared" si="4"/>
        <v>33.36</v>
      </c>
      <c r="G317" t="str">
        <f>_xlfn.XLOOKUP(B317,products_2026!A:A,products_2026!B:B,,0,)</f>
        <v>Pearl Stud Earrings</v>
      </c>
      <c r="H317" t="str">
        <f>_xlfn.XLOOKUP(B317,products_2026!A:A,products_2026!E:E,,0,)</f>
        <v>SELL0058</v>
      </c>
      <c r="I317" t="str">
        <f>IFERROR(_xlfn.XLOOKUP(H317,sellers_2026!A:A,sellers_2026!G:G,,0,), "unknown/inactive")</f>
        <v>QLD</v>
      </c>
      <c r="J317" t="str">
        <f>_xlfn.XLOOKUP(H317,sellers_2026!A:A,sellers_2026!B:B,,0,)</f>
        <v>au6ynzdcy5</v>
      </c>
      <c r="L317" s="10" t="s">
        <v>176</v>
      </c>
      <c r="M317">
        <v>16.940000000000001</v>
      </c>
      <c r="O317" s="10" t="s">
        <v>433</v>
      </c>
      <c r="P317">
        <v>1</v>
      </c>
    </row>
    <row r="318" spans="1:16" ht="14.25" customHeight="1" x14ac:dyDescent="0.3">
      <c r="A318" s="2" t="s">
        <v>2831</v>
      </c>
      <c r="B318" s="2" t="s">
        <v>628</v>
      </c>
      <c r="C318" s="2">
        <v>2</v>
      </c>
      <c r="D318" t="str">
        <f>_xlfn.XLOOKUP(order_items!B318,products_2026!A:A,products_2026!C:C,,0,)</f>
        <v>Beauty</v>
      </c>
      <c r="E318">
        <f>_xlfn.XLOOKUP(B318,products_2026!A:A,products_2026!D:D,,0,)</f>
        <v>19.37</v>
      </c>
      <c r="F318">
        <f t="shared" si="4"/>
        <v>38.74</v>
      </c>
      <c r="G318" t="str">
        <f>_xlfn.XLOOKUP(B318,products_2026!A:A,products_2026!B:B,,0,)</f>
        <v>Aloe Vera Gel 200ml 2 pack</v>
      </c>
      <c r="H318" t="str">
        <f>_xlfn.XLOOKUP(B318,products_2026!A:A,products_2026!E:E,,0,)</f>
        <v>SELL0086</v>
      </c>
      <c r="I318" t="str">
        <f>IFERROR(_xlfn.XLOOKUP(H318,sellers_2026!A:A,sellers_2026!G:G,,0,), "unknown/inactive")</f>
        <v>VIC</v>
      </c>
      <c r="J318" t="str">
        <f>_xlfn.XLOOKUP(H318,sellers_2026!A:A,sellers_2026!B:B,,0,)</f>
        <v>clothesforlife</v>
      </c>
      <c r="L318" s="10" t="s">
        <v>566</v>
      </c>
      <c r="M318">
        <v>16.899999999999999</v>
      </c>
      <c r="O318" s="10" t="s">
        <v>846</v>
      </c>
      <c r="P318">
        <v>1</v>
      </c>
    </row>
    <row r="319" spans="1:16" ht="14.25" customHeight="1" x14ac:dyDescent="0.3">
      <c r="A319" s="2" t="s">
        <v>2832</v>
      </c>
      <c r="B319" s="2" t="s">
        <v>129</v>
      </c>
      <c r="C319" s="2">
        <v>1</v>
      </c>
      <c r="D319" t="str">
        <f>_xlfn.XLOOKUP(order_items!B319,products_2026!A:A,products_2026!C:C,,0,)</f>
        <v>Home</v>
      </c>
      <c r="E319">
        <f>_xlfn.XLOOKUP(B319,products_2026!A:A,products_2026!D:D,,0,)</f>
        <v>34.869999999999997</v>
      </c>
      <c r="F319">
        <f t="shared" si="4"/>
        <v>34.869999999999997</v>
      </c>
      <c r="G319" t="str">
        <f>_xlfn.XLOOKUP(B319,products_2026!A:A,products_2026!B:B,,0,)</f>
        <v>Essential Oil Diffuser</v>
      </c>
      <c r="H319" t="str">
        <f>_xlfn.XLOOKUP(B319,products_2026!A:A,products_2026!E:E,,0,)</f>
        <v>SELL0026</v>
      </c>
      <c r="I319" t="str">
        <f>IFERROR(_xlfn.XLOOKUP(H319,sellers_2026!A:A,sellers_2026!G:G,,0,), "unknown/inactive")</f>
        <v>NSW</v>
      </c>
      <c r="J319" t="str">
        <f>_xlfn.XLOOKUP(H319,sellers_2026!A:A,sellers_2026!B:B,,0,)</f>
        <v>buyeverything-1</v>
      </c>
      <c r="L319" s="10" t="s">
        <v>830</v>
      </c>
      <c r="M319">
        <v>16.88</v>
      </c>
      <c r="O319" s="10" t="s">
        <v>267</v>
      </c>
      <c r="P319">
        <v>1</v>
      </c>
    </row>
    <row r="320" spans="1:16" ht="14.25" customHeight="1" x14ac:dyDescent="0.3">
      <c r="A320" s="2" t="s">
        <v>2832</v>
      </c>
      <c r="B320" s="2" t="s">
        <v>681</v>
      </c>
      <c r="C320" s="2">
        <v>1</v>
      </c>
      <c r="D320" t="str">
        <f>_xlfn.XLOOKUP(order_items!B320,products_2026!A:A,products_2026!C:C,,0,)</f>
        <v>Electronics</v>
      </c>
      <c r="E320">
        <f>_xlfn.XLOOKUP(B320,products_2026!A:A,products_2026!D:D,,0,)</f>
        <v>97.88</v>
      </c>
      <c r="F320">
        <f t="shared" si="4"/>
        <v>97.88</v>
      </c>
      <c r="G320" t="str">
        <f>_xlfn.XLOOKUP(B320,products_2026!A:A,products_2026!B:B,,0,)</f>
        <v>HD Webcam 1080p USB Desktop</v>
      </c>
      <c r="H320" t="str">
        <f>_xlfn.XLOOKUP(B320,products_2026!A:A,products_2026!E:E,,0,)</f>
        <v>SELL0024</v>
      </c>
      <c r="I320" t="str">
        <f>IFERROR(_xlfn.XLOOKUP(H320,sellers_2026!A:A,sellers_2026!G:G,,0,), "unknown/inactive")</f>
        <v>VIC</v>
      </c>
      <c r="J320" t="str">
        <f>_xlfn.XLOOKUP(H320,sellers_2026!A:A,sellers_2026!B:B,,0,)</f>
        <v>ELEC25B</v>
      </c>
      <c r="L320" s="10" t="s">
        <v>292</v>
      </c>
      <c r="M320">
        <v>16.809999999999999</v>
      </c>
      <c r="O320" s="10" t="s">
        <v>314</v>
      </c>
      <c r="P320">
        <v>1</v>
      </c>
    </row>
    <row r="321" spans="1:16" ht="14.25" customHeight="1" x14ac:dyDescent="0.3">
      <c r="A321" s="2" t="s">
        <v>2832</v>
      </c>
      <c r="B321" s="2" t="s">
        <v>945</v>
      </c>
      <c r="C321" s="2">
        <v>1</v>
      </c>
      <c r="D321" t="str">
        <f>_xlfn.XLOOKUP(order_items!B321,products_2026!A:A,products_2026!C:C,,0,)</f>
        <v>Health</v>
      </c>
      <c r="E321">
        <f>_xlfn.XLOOKUP(B321,products_2026!A:A,products_2026!D:D,,0,)</f>
        <v>28.76</v>
      </c>
      <c r="F321">
        <f t="shared" si="4"/>
        <v>28.76</v>
      </c>
      <c r="G321" t="str">
        <f>_xlfn.XLOOKUP(B321,products_2026!A:A,products_2026!B:B,,0,)</f>
        <v>Hand Grip Strengthener (Red)</v>
      </c>
      <c r="H321" t="str">
        <f>_xlfn.XLOOKUP(B321,products_2026!A:A,products_2026!E:E,,0,)</f>
        <v>SELL0051</v>
      </c>
      <c r="I321" t="str">
        <f>IFERROR(_xlfn.XLOOKUP(H321,sellers_2026!A:A,sellers_2026!G:G,,0,), "unknown/inactive")</f>
        <v>NT</v>
      </c>
      <c r="J321" t="str">
        <f>_xlfn.XLOOKUP(H321,sellers_2026!A:A,sellers_2026!B:B,,0,)</f>
        <v>healthway</v>
      </c>
      <c r="L321" s="10" t="s">
        <v>303</v>
      </c>
      <c r="M321">
        <v>16.47</v>
      </c>
      <c r="O321" s="10" t="s">
        <v>798</v>
      </c>
      <c r="P321">
        <v>1</v>
      </c>
    </row>
    <row r="322" spans="1:16" ht="14.25" customHeight="1" x14ac:dyDescent="0.3">
      <c r="A322" s="2" t="s">
        <v>2833</v>
      </c>
      <c r="B322" s="2" t="s">
        <v>187</v>
      </c>
      <c r="C322" s="2">
        <v>1</v>
      </c>
      <c r="D322" t="str">
        <f>_xlfn.XLOOKUP(order_items!B322,products_2026!A:A,products_2026!C:C,,0,)</f>
        <v>Outdoor</v>
      </c>
      <c r="E322">
        <f>_xlfn.XLOOKUP(B322,products_2026!A:A,products_2026!D:D,,0,)</f>
        <v>31.66</v>
      </c>
      <c r="F322">
        <f t="shared" si="4"/>
        <v>31.66</v>
      </c>
      <c r="G322" t="str">
        <f>_xlfn.XLOOKUP(B322,products_2026!A:A,products_2026!B:B,,0,)</f>
        <v>Wood Chips - Oak</v>
      </c>
      <c r="H322" t="str">
        <f>_xlfn.XLOOKUP(B322,products_2026!A:A,products_2026!E:E,,0,)</f>
        <v>SELL0035</v>
      </c>
      <c r="I322" t="str">
        <f>IFERROR(_xlfn.XLOOKUP(H322,sellers_2026!A:A,sellers_2026!G:G,,0,), "unknown/inactive")</f>
        <v>ACT</v>
      </c>
      <c r="J322" t="str">
        <f>_xlfn.XLOOKUP(H322,sellers_2026!A:A,sellers_2026!B:B,,0,)</f>
        <v>maddie-sells</v>
      </c>
      <c r="L322" s="10" t="s">
        <v>622</v>
      </c>
      <c r="M322">
        <v>16.11</v>
      </c>
      <c r="O322" s="10" t="s">
        <v>566</v>
      </c>
      <c r="P322">
        <v>1</v>
      </c>
    </row>
    <row r="323" spans="1:16" ht="14.25" customHeight="1" x14ac:dyDescent="0.3">
      <c r="A323" s="2" t="s">
        <v>2833</v>
      </c>
      <c r="B323" s="2" t="s">
        <v>497</v>
      </c>
      <c r="C323" s="2">
        <v>1</v>
      </c>
      <c r="D323" t="str">
        <f>_xlfn.XLOOKUP(order_items!B323,products_2026!A:A,products_2026!C:C,,0,)</f>
        <v>Toys</v>
      </c>
      <c r="E323">
        <f>_xlfn.XLOOKUP(B323,products_2026!A:A,products_2026!D:D,,0,)</f>
        <v>32.44</v>
      </c>
      <c r="F323">
        <f t="shared" ref="F323:F386" si="5">C323*E323</f>
        <v>32.44</v>
      </c>
      <c r="G323" t="str">
        <f>_xlfn.XLOOKUP(B323,products_2026!A:A,products_2026!B:B,,0,)</f>
        <v>Educational Puzzle - Zoo Animals</v>
      </c>
      <c r="H323" t="str">
        <f>_xlfn.XLOOKUP(B323,products_2026!A:A,products_2026!E:E,,0,)</f>
        <v>SELL0070</v>
      </c>
      <c r="I323" t="str">
        <f>IFERROR(_xlfn.XLOOKUP(H323,sellers_2026!A:A,sellers_2026!G:G,,0,), "unknown/inactive")</f>
        <v>QLD</v>
      </c>
      <c r="J323" t="str">
        <f>_xlfn.XLOOKUP(H323,sellers_2026!A:A,sellers_2026!B:B,,0,)</f>
        <v>homeandaways</v>
      </c>
      <c r="L323" s="10" t="s">
        <v>267</v>
      </c>
      <c r="M323">
        <v>15.99</v>
      </c>
      <c r="O323" s="10" t="s">
        <v>354</v>
      </c>
      <c r="P323">
        <v>1</v>
      </c>
    </row>
    <row r="324" spans="1:16" ht="14.25" customHeight="1" x14ac:dyDescent="0.3">
      <c r="A324" s="2" t="s">
        <v>2834</v>
      </c>
      <c r="B324" s="2" t="s">
        <v>891</v>
      </c>
      <c r="C324" s="2">
        <v>1</v>
      </c>
      <c r="D324" t="str">
        <f>_xlfn.XLOOKUP(order_items!B324,products_2026!A:A,products_2026!C:C,,0,)</f>
        <v>Outdoor</v>
      </c>
      <c r="E324">
        <f>_xlfn.XLOOKUP(B324,products_2026!A:A,products_2026!D:D,,0,)</f>
        <v>73.400000000000006</v>
      </c>
      <c r="F324">
        <f t="shared" si="5"/>
        <v>73.400000000000006</v>
      </c>
      <c r="G324" t="str">
        <f>_xlfn.XLOOKUP(B324,products_2026!A:A,products_2026!B:B,,0,)</f>
        <v>BBQ Meat Thermometer WiFi</v>
      </c>
      <c r="H324" t="str">
        <f>_xlfn.XLOOKUP(B324,products_2026!A:A,products_2026!E:E,,0,)</f>
        <v>SELL0092</v>
      </c>
      <c r="I324" t="str">
        <f>IFERROR(_xlfn.XLOOKUP(H324,sellers_2026!A:A,sellers_2026!G:G,,0,), "unknown/inactive")</f>
        <v>VIC</v>
      </c>
      <c r="J324" t="str">
        <f>_xlfn.XLOOKUP(H324,sellers_2026!A:A,sellers_2026!B:B,,0,)</f>
        <v>dress4beauty</v>
      </c>
      <c r="L324" s="10" t="s">
        <v>971</v>
      </c>
      <c r="M324">
        <v>15.330000000000002</v>
      </c>
      <c r="O324" s="10" t="s">
        <v>429</v>
      </c>
      <c r="P324">
        <v>1</v>
      </c>
    </row>
    <row r="325" spans="1:16" ht="14.25" customHeight="1" x14ac:dyDescent="0.3">
      <c r="A325" s="2" t="s">
        <v>2835</v>
      </c>
      <c r="B325" s="2" t="s">
        <v>214</v>
      </c>
      <c r="C325" s="2">
        <v>1</v>
      </c>
      <c r="D325" t="str">
        <f>_xlfn.XLOOKUP(order_items!B325,products_2026!A:A,products_2026!C:C,,0,)</f>
        <v>Gift_Sets</v>
      </c>
      <c r="E325">
        <f>_xlfn.XLOOKUP(B325,products_2026!A:A,products_2026!D:D,,0,)</f>
        <v>37.840000000000003</v>
      </c>
      <c r="F325">
        <f t="shared" si="5"/>
        <v>37.840000000000003</v>
      </c>
      <c r="G325" t="str">
        <f>_xlfn.XLOOKUP(B325,products_2026!A:A,products_2026!B:B,,0,)</f>
        <v>Bath Bomb Strawberry Vanilla Gift Set</v>
      </c>
      <c r="H325" t="str">
        <f>_xlfn.XLOOKUP(B325,products_2026!A:A,products_2026!E:E,,0,)</f>
        <v>SELL0038</v>
      </c>
      <c r="I325" t="str">
        <f>IFERROR(_xlfn.XLOOKUP(H325,sellers_2026!A:A,sellers_2026!G:G,,0,), "unknown/inactive")</f>
        <v>SA</v>
      </c>
      <c r="J325" t="str">
        <f>_xlfn.XLOOKUP(H325,sellers_2026!A:A,sellers_2026!B:B,,0,)</f>
        <v>compradadonut</v>
      </c>
      <c r="L325" s="10" t="s">
        <v>356</v>
      </c>
      <c r="M325">
        <v>14.62</v>
      </c>
      <c r="O325" s="10" t="s">
        <v>912</v>
      </c>
      <c r="P325">
        <v>1</v>
      </c>
    </row>
    <row r="326" spans="1:16" ht="14.25" customHeight="1" x14ac:dyDescent="0.3">
      <c r="A326" s="2" t="s">
        <v>2835</v>
      </c>
      <c r="B326" s="2" t="s">
        <v>638</v>
      </c>
      <c r="C326" s="2">
        <v>1</v>
      </c>
      <c r="D326" t="str">
        <f>_xlfn.XLOOKUP(order_items!B326,products_2026!A:A,products_2026!C:C,,0,)</f>
        <v>Clothes</v>
      </c>
      <c r="E326">
        <f>_xlfn.XLOOKUP(B326,products_2026!A:A,products_2026!D:D,,0,)</f>
        <v>44.13</v>
      </c>
      <c r="F326">
        <f t="shared" si="5"/>
        <v>44.13</v>
      </c>
      <c r="G326" t="str">
        <f>_xlfn.XLOOKUP(B326,products_2026!A:A,products_2026!B:B,,0,)</f>
        <v>Men’s Chino Shorts XL</v>
      </c>
      <c r="H326" t="str">
        <f>_xlfn.XLOOKUP(B326,products_2026!A:A,products_2026!E:E,,0,)</f>
        <v>SELL0086</v>
      </c>
      <c r="I326" t="str">
        <f>IFERROR(_xlfn.XLOOKUP(H326,sellers_2026!A:A,sellers_2026!G:G,,0,), "unknown/inactive")</f>
        <v>VIC</v>
      </c>
      <c r="J326" t="str">
        <f>_xlfn.XLOOKUP(H326,sellers_2026!A:A,sellers_2026!B:B,,0,)</f>
        <v>clothesforlife</v>
      </c>
      <c r="L326" s="10" t="s">
        <v>113</v>
      </c>
      <c r="M326">
        <v>14.11</v>
      </c>
      <c r="O326" s="10" t="s">
        <v>510</v>
      </c>
      <c r="P326">
        <v>1</v>
      </c>
    </row>
    <row r="327" spans="1:16" ht="14.25" customHeight="1" x14ac:dyDescent="0.3">
      <c r="A327" s="2" t="s">
        <v>2835</v>
      </c>
      <c r="B327" s="2" t="s">
        <v>927</v>
      </c>
      <c r="C327" s="2">
        <v>1</v>
      </c>
      <c r="D327" t="str">
        <f>_xlfn.XLOOKUP(order_items!B327,products_2026!A:A,products_2026!C:C,,0,)</f>
        <v>Outdoor</v>
      </c>
      <c r="E327">
        <f>_xlfn.XLOOKUP(B327,products_2026!A:A,products_2026!D:D,,0,)</f>
        <v>27.32</v>
      </c>
      <c r="F327">
        <f t="shared" si="5"/>
        <v>27.32</v>
      </c>
      <c r="G327" t="str">
        <f>_xlfn.XLOOKUP(B327,products_2026!A:A,products_2026!B:B,,0,)</f>
        <v>Stainless Steel BBQ Tools Set (Green)</v>
      </c>
      <c r="H327" t="str">
        <f>_xlfn.XLOOKUP(B327,products_2026!A:A,products_2026!E:E,,0,)</f>
        <v>SELL0093</v>
      </c>
      <c r="I327" t="str">
        <f>IFERROR(_xlfn.XLOOKUP(H327,sellers_2026!A:A,sellers_2026!G:G,,0,), "unknown/inactive")</f>
        <v>NT</v>
      </c>
      <c r="J327" t="str">
        <f>_xlfn.XLOOKUP(H327,sellers_2026!A:A,sellers_2026!B:B,,0,)</f>
        <v>millies-outdoor-shop</v>
      </c>
      <c r="L327" s="10" t="s">
        <v>283</v>
      </c>
      <c r="M327">
        <v>13.95</v>
      </c>
      <c r="O327" s="10" t="s">
        <v>508</v>
      </c>
      <c r="P327">
        <v>1</v>
      </c>
    </row>
    <row r="328" spans="1:16" ht="14.25" customHeight="1" x14ac:dyDescent="0.3">
      <c r="A328" s="2" t="s">
        <v>2836</v>
      </c>
      <c r="B328" s="2" t="s">
        <v>658</v>
      </c>
      <c r="C328" s="2">
        <v>2</v>
      </c>
      <c r="D328" t="str">
        <f>_xlfn.XLOOKUP(order_items!B328,products_2026!A:A,products_2026!C:C,,0,)</f>
        <v>Clothes</v>
      </c>
      <c r="E328">
        <f>_xlfn.XLOOKUP(B328,products_2026!A:A,products_2026!D:D,,0,)</f>
        <v>54.51</v>
      </c>
      <c r="F328">
        <f t="shared" si="5"/>
        <v>109.02</v>
      </c>
      <c r="G328" t="str">
        <f>_xlfn.XLOOKUP(B328,products_2026!A:A,products_2026!B:B,,0,)</f>
        <v>Women’s Active Leggings (Yellow)</v>
      </c>
      <c r="H328" t="str">
        <f>_xlfn.XLOOKUP(B328,products_2026!A:A,products_2026!E:E,,0,)</f>
        <v>SELL0086</v>
      </c>
      <c r="I328" t="str">
        <f>IFERROR(_xlfn.XLOOKUP(H328,sellers_2026!A:A,sellers_2026!G:G,,0,), "unknown/inactive")</f>
        <v>VIC</v>
      </c>
      <c r="J328" t="str">
        <f>_xlfn.XLOOKUP(H328,sellers_2026!A:A,sellers_2026!B:B,,0,)</f>
        <v>clothesforlife</v>
      </c>
      <c r="L328" s="10" t="s">
        <v>609</v>
      </c>
      <c r="M328">
        <v>13.82</v>
      </c>
      <c r="O328" s="10" t="s">
        <v>733</v>
      </c>
      <c r="P328">
        <v>1</v>
      </c>
    </row>
    <row r="329" spans="1:16" ht="14.25" customHeight="1" x14ac:dyDescent="0.3">
      <c r="A329" s="2" t="s">
        <v>2837</v>
      </c>
      <c r="B329" s="2" t="s">
        <v>103</v>
      </c>
      <c r="C329" s="2">
        <v>1</v>
      </c>
      <c r="D329" t="str">
        <f>_xlfn.XLOOKUP(order_items!B329,products_2026!A:A,products_2026!C:C,,0,)</f>
        <v>Outdoor</v>
      </c>
      <c r="E329">
        <f>_xlfn.XLOOKUP(B329,products_2026!A:A,products_2026!D:D,,0,)</f>
        <v>24.22</v>
      </c>
      <c r="F329">
        <f t="shared" si="5"/>
        <v>24.22</v>
      </c>
      <c r="G329" t="str">
        <f>_xlfn.XLOOKUP(B329,products_2026!A:A,products_2026!B:B,,0,)</f>
        <v>Outdoor Oven Gloves (Red)</v>
      </c>
      <c r="H329" t="str">
        <f>_xlfn.XLOOKUP(B329,products_2026!A:A,products_2026!E:E,,0,)</f>
        <v>SELL0022</v>
      </c>
      <c r="I329" t="str">
        <f>IFERROR(_xlfn.XLOOKUP(H329,sellers_2026!A:A,sellers_2026!G:G,,0,), "unknown/inactive")</f>
        <v>WA</v>
      </c>
      <c r="J329" t="str">
        <f>_xlfn.XLOOKUP(H329,sellers_2026!A:A,sellers_2026!B:B,,0,)</f>
        <v>g5x9v55sct</v>
      </c>
      <c r="L329" s="10" t="s">
        <v>995</v>
      </c>
      <c r="M329">
        <v>13.7</v>
      </c>
      <c r="O329" s="10" t="s">
        <v>68</v>
      </c>
      <c r="P329">
        <v>1</v>
      </c>
    </row>
    <row r="330" spans="1:16" ht="14.25" customHeight="1" x14ac:dyDescent="0.3">
      <c r="A330" s="2" t="s">
        <v>2837</v>
      </c>
      <c r="B330" s="2" t="s">
        <v>300</v>
      </c>
      <c r="C330" s="2">
        <v>1</v>
      </c>
      <c r="D330" t="str">
        <f>_xlfn.XLOOKUP(order_items!B330,products_2026!A:A,products_2026!C:C,,0,)</f>
        <v>Jewellery</v>
      </c>
      <c r="E330">
        <f>_xlfn.XLOOKUP(B330,products_2026!A:A,products_2026!D:D,,0,)</f>
        <v>13.79</v>
      </c>
      <c r="F330">
        <f t="shared" si="5"/>
        <v>13.79</v>
      </c>
      <c r="G330" t="str">
        <f>_xlfn.XLOOKUP(B330,products_2026!A:A,products_2026!B:B,,0,)</f>
        <v>Charm Bracelet gold</v>
      </c>
      <c r="H330" t="str">
        <f>_xlfn.XLOOKUP(B330,products_2026!A:A,products_2026!E:E,,0,)</f>
        <v>SELL0046</v>
      </c>
      <c r="I330" t="str">
        <f>IFERROR(_xlfn.XLOOKUP(H330,sellers_2026!A:A,sellers_2026!G:G,,0,), "unknown/inactive")</f>
        <v>TAS</v>
      </c>
      <c r="J330" t="str">
        <f>_xlfn.XLOOKUP(H330,sellers_2026!A:A,sellers_2026!B:B,,0,)</f>
        <v>find_what_u_need</v>
      </c>
      <c r="L330" s="10" t="s">
        <v>159</v>
      </c>
      <c r="M330">
        <v>13.58</v>
      </c>
      <c r="O330" s="10" t="s">
        <v>290</v>
      </c>
      <c r="P330">
        <v>1</v>
      </c>
    </row>
    <row r="331" spans="1:16" ht="14.25" customHeight="1" x14ac:dyDescent="0.3">
      <c r="A331" s="2" t="s">
        <v>2837</v>
      </c>
      <c r="B331" s="2" t="s">
        <v>799</v>
      </c>
      <c r="C331" s="2">
        <v>1</v>
      </c>
      <c r="D331" t="str">
        <f>_xlfn.XLOOKUP(order_items!B331,products_2026!A:A,products_2026!C:C,,0,)</f>
        <v>Home</v>
      </c>
      <c r="E331">
        <f>_xlfn.XLOOKUP(B331,products_2026!A:A,products_2026!D:D,,0,)</f>
        <v>20.79</v>
      </c>
      <c r="F331">
        <f t="shared" si="5"/>
        <v>20.79</v>
      </c>
      <c r="G331" t="str">
        <f>_xlfn.XLOOKUP(B331,products_2026!A:A,products_2026!B:B,,0,)</f>
        <v>Silicone Laundry Basket - White</v>
      </c>
      <c r="H331" t="str">
        <f>_xlfn.XLOOKUP(B331,products_2026!A:A,products_2026!E:E,,0,)</f>
        <v>SELL0027</v>
      </c>
      <c r="I331" t="str">
        <f>IFERROR(_xlfn.XLOOKUP(H331,sellers_2026!A:A,sellers_2026!G:G,,0,), "unknown/inactive")</f>
        <v>QLD</v>
      </c>
      <c r="J331" t="str">
        <f>_xlfn.XLOOKUP(H331,sellers_2026!A:A,sellers_2026!B:B,,0,)</f>
        <v>home458</v>
      </c>
      <c r="L331" s="10" t="s">
        <v>780</v>
      </c>
      <c r="M331">
        <v>13.58</v>
      </c>
      <c r="O331" s="10" t="s">
        <v>810</v>
      </c>
      <c r="P331">
        <v>1</v>
      </c>
    </row>
    <row r="332" spans="1:16" ht="14.25" customHeight="1" x14ac:dyDescent="0.3">
      <c r="A332" s="2" t="s">
        <v>2838</v>
      </c>
      <c r="B332" s="2" t="s">
        <v>614</v>
      </c>
      <c r="C332" s="2">
        <v>1</v>
      </c>
      <c r="D332" t="str">
        <f>_xlfn.XLOOKUP(order_items!B332,products_2026!A:A,products_2026!C:C,,0,)</f>
        <v>Beauty</v>
      </c>
      <c r="E332">
        <f>_xlfn.XLOOKUP(B332,products_2026!A:A,products_2026!D:D,,0,)</f>
        <v>32.26</v>
      </c>
      <c r="F332">
        <f t="shared" si="5"/>
        <v>32.26</v>
      </c>
      <c r="G332" t="str">
        <f>_xlfn.XLOOKUP(B332,products_2026!A:A,products_2026!B:B,,0,)</f>
        <v>Vitamin C Serum 50ml</v>
      </c>
      <c r="H332" t="str">
        <f>_xlfn.XLOOKUP(B332,products_2026!A:A,products_2026!E:E,,0,)</f>
        <v>SELL0084</v>
      </c>
      <c r="I332" t="str">
        <f>IFERROR(_xlfn.XLOOKUP(H332,sellers_2026!A:A,sellers_2026!G:G,,0,), "unknown/inactive")</f>
        <v>NSW</v>
      </c>
      <c r="J332" t="str">
        <f>_xlfn.XLOOKUP(H332,sellers_2026!A:A,sellers_2026!B:B,,0,)</f>
        <v>lfmk805jw2</v>
      </c>
      <c r="L332" s="10" t="s">
        <v>209</v>
      </c>
      <c r="M332">
        <v>13.56</v>
      </c>
      <c r="O332" s="10" t="s">
        <v>854</v>
      </c>
      <c r="P332">
        <v>1</v>
      </c>
    </row>
    <row r="333" spans="1:16" ht="14.25" customHeight="1" x14ac:dyDescent="0.3">
      <c r="A333" s="2" t="s">
        <v>2838</v>
      </c>
      <c r="B333" s="2" t="s">
        <v>819</v>
      </c>
      <c r="C333" s="2">
        <v>1</v>
      </c>
      <c r="D333" t="str">
        <f>_xlfn.XLOOKUP(order_items!B333,products_2026!A:A,products_2026!C:C,,0,)</f>
        <v>Home</v>
      </c>
      <c r="E333">
        <f>_xlfn.XLOOKUP(B333,products_2026!A:A,products_2026!D:D,,0,)</f>
        <v>24.23</v>
      </c>
      <c r="F333">
        <f t="shared" si="5"/>
        <v>24.23</v>
      </c>
      <c r="G333" t="str">
        <f>_xlfn.XLOOKUP(B333,products_2026!A:A,products_2026!B:B,,0,)</f>
        <v>Rug 200cm x 220cm</v>
      </c>
      <c r="H333" t="str">
        <f>_xlfn.XLOOKUP(B333,products_2026!A:A,products_2026!E:E,,0,)</f>
        <v>SELL0027</v>
      </c>
      <c r="I333" t="str">
        <f>IFERROR(_xlfn.XLOOKUP(H333,sellers_2026!A:A,sellers_2026!G:G,,0,), "unknown/inactive")</f>
        <v>QLD</v>
      </c>
      <c r="J333" t="str">
        <f>_xlfn.XLOOKUP(H333,sellers_2026!A:A,sellers_2026!B:B,,0,)</f>
        <v>home458</v>
      </c>
      <c r="L333" s="10" t="s">
        <v>725</v>
      </c>
      <c r="M333">
        <v>13.54</v>
      </c>
      <c r="O333" s="10" t="s">
        <v>446</v>
      </c>
      <c r="P333">
        <v>1</v>
      </c>
    </row>
    <row r="334" spans="1:16" ht="14.25" customHeight="1" x14ac:dyDescent="0.3">
      <c r="A334" s="2" t="s">
        <v>2839</v>
      </c>
      <c r="B334" s="2" t="s">
        <v>101</v>
      </c>
      <c r="C334" s="2">
        <v>1</v>
      </c>
      <c r="D334" t="str">
        <f>_xlfn.XLOOKUP(order_items!B334,products_2026!A:A,products_2026!C:C,,0,)</f>
        <v>Toys</v>
      </c>
      <c r="E334">
        <f>_xlfn.XLOOKUP(B334,products_2026!A:A,products_2026!D:D,,0,)</f>
        <v>38.630000000000003</v>
      </c>
      <c r="F334">
        <f t="shared" si="5"/>
        <v>38.630000000000003</v>
      </c>
      <c r="G334" t="str">
        <f>_xlfn.XLOOKUP(B334,products_2026!A:A,products_2026!B:B,,0,)</f>
        <v>Snorkel Set - Child Pink</v>
      </c>
      <c r="H334" t="str">
        <f>_xlfn.XLOOKUP(B334,products_2026!A:A,products_2026!E:E,,0,)</f>
        <v>SELL0022</v>
      </c>
      <c r="I334" t="str">
        <f>IFERROR(_xlfn.XLOOKUP(H334,sellers_2026!A:A,sellers_2026!G:G,,0,), "unknown/inactive")</f>
        <v>WA</v>
      </c>
      <c r="J334" t="str">
        <f>_xlfn.XLOOKUP(H334,sellers_2026!A:A,sellers_2026!B:B,,0,)</f>
        <v>g5x9v55sct</v>
      </c>
      <c r="L334" s="10" t="s">
        <v>24</v>
      </c>
      <c r="M334">
        <v>13.41</v>
      </c>
      <c r="O334" s="10" t="s">
        <v>986</v>
      </c>
      <c r="P334">
        <v>1</v>
      </c>
    </row>
    <row r="335" spans="1:16" ht="14.25" customHeight="1" x14ac:dyDescent="0.3">
      <c r="A335" s="2" t="s">
        <v>2840</v>
      </c>
      <c r="B335" s="2" t="s">
        <v>407</v>
      </c>
      <c r="C335" s="2">
        <v>1</v>
      </c>
      <c r="D335" t="str">
        <f>_xlfn.XLOOKUP(order_items!B335,products_2026!A:A,products_2026!C:C,,0,)</f>
        <v>Jewellery</v>
      </c>
      <c r="E335">
        <f>_xlfn.XLOOKUP(B335,products_2026!A:A,products_2026!D:D,,0,)</f>
        <v>29</v>
      </c>
      <c r="F335">
        <f t="shared" si="5"/>
        <v>29</v>
      </c>
      <c r="G335" t="str">
        <f>_xlfn.XLOOKUP(B335,products_2026!A:A,products_2026!B:B,,0,)</f>
        <v>Drop Earrings Dangle Silver</v>
      </c>
      <c r="H335" t="str">
        <f>_xlfn.XLOOKUP(B335,products_2026!A:A,products_2026!E:E,,0,)</f>
        <v>SELL0059</v>
      </c>
      <c r="I335" t="str">
        <f>IFERROR(_xlfn.XLOOKUP(H335,sellers_2026!A:A,sellers_2026!G:G,,0,), "unknown/inactive")</f>
        <v>NSW</v>
      </c>
      <c r="J335" t="str">
        <f>_xlfn.XLOOKUP(H335,sellers_2026!A:A,sellers_2026!B:B,,0,)</f>
        <v>glitterymagpie</v>
      </c>
      <c r="L335" s="10" t="s">
        <v>395</v>
      </c>
      <c r="M335">
        <v>12.82</v>
      </c>
      <c r="O335" s="10" t="s">
        <v>725</v>
      </c>
      <c r="P335">
        <v>1</v>
      </c>
    </row>
    <row r="336" spans="1:16" ht="14.25" customHeight="1" x14ac:dyDescent="0.3">
      <c r="A336" s="2" t="s">
        <v>2840</v>
      </c>
      <c r="B336" s="2" t="s">
        <v>478</v>
      </c>
      <c r="C336" s="2">
        <v>1</v>
      </c>
      <c r="D336" t="str">
        <f>_xlfn.XLOOKUP(order_items!B336,products_2026!A:A,products_2026!C:C,,0,)</f>
        <v>Electronics</v>
      </c>
      <c r="E336">
        <f>_xlfn.XLOOKUP(B336,products_2026!A:A,products_2026!D:D,,0,)</f>
        <v>38.56</v>
      </c>
      <c r="F336">
        <f t="shared" si="5"/>
        <v>38.56</v>
      </c>
      <c r="G336" t="str">
        <f>_xlfn.XLOOKUP(B336,products_2026!A:A,products_2026!B:B,,0,)</f>
        <v>USB C Fast Charger 30W (Black)</v>
      </c>
      <c r="H336" t="str">
        <f>_xlfn.XLOOKUP(B336,products_2026!A:A,products_2026!E:E,,0,)</f>
        <v>SELL0067</v>
      </c>
      <c r="I336" t="str">
        <f>IFERROR(_xlfn.XLOOKUP(H336,sellers_2026!A:A,sellers_2026!G:G,,0,), "unknown/inactive")</f>
        <v>WA</v>
      </c>
      <c r="J336" t="str">
        <f>_xlfn.XLOOKUP(H336,sellers_2026!A:A,sellers_2026!B:B,,0,)</f>
        <v>w71bv3mee1</v>
      </c>
      <c r="L336" s="10" t="s">
        <v>179</v>
      </c>
      <c r="M336">
        <v>11.91</v>
      </c>
      <c r="O336" s="10" t="s">
        <v>635</v>
      </c>
      <c r="P336">
        <v>1</v>
      </c>
    </row>
    <row r="337" spans="1:16" ht="14.25" customHeight="1" x14ac:dyDescent="0.3">
      <c r="A337" s="2" t="s">
        <v>2841</v>
      </c>
      <c r="B337" s="2" t="s">
        <v>166</v>
      </c>
      <c r="C337" s="2">
        <v>1</v>
      </c>
      <c r="D337" t="str">
        <f>_xlfn.XLOOKUP(order_items!B337,products_2026!A:A,products_2026!C:C,,0,)</f>
        <v>Health</v>
      </c>
      <c r="E337">
        <f>_xlfn.XLOOKUP(B337,products_2026!A:A,products_2026!D:D,,0,)</f>
        <v>55.35</v>
      </c>
      <c r="F337">
        <f t="shared" si="5"/>
        <v>55.35</v>
      </c>
      <c r="G337" t="str">
        <f>_xlfn.XLOOKUP(B337,products_2026!A:A,products_2026!B:B,,0,)</f>
        <v>Blood Pressure Monitor (White)</v>
      </c>
      <c r="H337" t="str">
        <f>_xlfn.XLOOKUP(B337,products_2026!A:A,products_2026!E:E,,0,)</f>
        <v>SELL0034</v>
      </c>
      <c r="I337" t="str">
        <f>IFERROR(_xlfn.XLOOKUP(H337,sellers_2026!A:A,sellers_2026!G:G,,0,), "unknown/inactive")</f>
        <v>NT</v>
      </c>
      <c r="J337" t="str">
        <f>_xlfn.XLOOKUP(H337,sellers_2026!A:A,sellers_2026!B:B,,0,)</f>
        <v>outer40</v>
      </c>
      <c r="L337" s="10" t="s">
        <v>86</v>
      </c>
      <c r="M337">
        <v>10.39</v>
      </c>
      <c r="O337" s="10" t="s">
        <v>653</v>
      </c>
      <c r="P337">
        <v>1</v>
      </c>
    </row>
    <row r="338" spans="1:16" ht="14.25" customHeight="1" x14ac:dyDescent="0.3">
      <c r="A338" s="2" t="s">
        <v>2841</v>
      </c>
      <c r="B338" s="2" t="s">
        <v>468</v>
      </c>
      <c r="C338" s="2">
        <v>1</v>
      </c>
      <c r="D338" t="str">
        <f>_xlfn.XLOOKUP(order_items!B338,products_2026!A:A,products_2026!C:C,,0,)</f>
        <v>Clothes</v>
      </c>
      <c r="E338">
        <f>_xlfn.XLOOKUP(B338,products_2026!A:A,products_2026!D:D,,0,)</f>
        <v>32.42</v>
      </c>
      <c r="F338">
        <f t="shared" si="5"/>
        <v>32.42</v>
      </c>
      <c r="G338" t="str">
        <f>_xlfn.XLOOKUP(B338,products_2026!A:A,products_2026!B:B,,0,)</f>
        <v>Rain Jacket - Lightweight</v>
      </c>
      <c r="H338" t="str">
        <f>_xlfn.XLOOKUP(B338,products_2026!A:A,products_2026!E:E,,0,)</f>
        <v>SELL0067</v>
      </c>
      <c r="I338" t="str">
        <f>IFERROR(_xlfn.XLOOKUP(H338,sellers_2026!A:A,sellers_2026!G:G,,0,), "unknown/inactive")</f>
        <v>WA</v>
      </c>
      <c r="J338" t="str">
        <f>_xlfn.XLOOKUP(H338,sellers_2026!A:A,sellers_2026!B:B,,0,)</f>
        <v>w71bv3mee1</v>
      </c>
      <c r="L338" s="10" t="s">
        <v>553</v>
      </c>
      <c r="M338">
        <v>8.7200000000000006</v>
      </c>
      <c r="O338" s="10" t="s">
        <v>826</v>
      </c>
      <c r="P338">
        <v>1</v>
      </c>
    </row>
    <row r="339" spans="1:16" ht="14.25" customHeight="1" x14ac:dyDescent="0.3">
      <c r="A339" s="2" t="s">
        <v>2841</v>
      </c>
      <c r="B339" s="2" t="s">
        <v>863</v>
      </c>
      <c r="C339" s="2">
        <v>1</v>
      </c>
      <c r="D339" t="str">
        <f>_xlfn.XLOOKUP(order_items!B339,products_2026!A:A,products_2026!C:C,,0,)</f>
        <v>Jewellery</v>
      </c>
      <c r="E339">
        <f>_xlfn.XLOOKUP(B339,products_2026!A:A,products_2026!D:D,,0,)</f>
        <v>32.96</v>
      </c>
      <c r="F339">
        <f t="shared" si="5"/>
        <v>32.96</v>
      </c>
      <c r="G339" t="str">
        <f>_xlfn.XLOOKUP(B339,products_2026!A:A,products_2026!B:B,,0,)</f>
        <v>Crystal Earrings Stud</v>
      </c>
      <c r="H339" t="str">
        <f>_xlfn.XLOOKUP(B339,products_2026!A:A,products_2026!E:E,,0,)</f>
        <v>SELL0092</v>
      </c>
      <c r="I339" t="str">
        <f>IFERROR(_xlfn.XLOOKUP(H339,sellers_2026!A:A,sellers_2026!G:G,,0,), "unknown/inactive")</f>
        <v>VIC</v>
      </c>
      <c r="J339" t="str">
        <f>_xlfn.XLOOKUP(H339,sellers_2026!A:A,sellers_2026!B:B,,0,)</f>
        <v>dress4beauty</v>
      </c>
      <c r="L339" s="10" t="s">
        <v>330</v>
      </c>
      <c r="M339">
        <v>8.36</v>
      </c>
      <c r="O339" s="10" t="s">
        <v>882</v>
      </c>
      <c r="P339">
        <v>1</v>
      </c>
    </row>
    <row r="340" spans="1:16" ht="14.25" customHeight="1" x14ac:dyDescent="0.3">
      <c r="A340" s="2" t="s">
        <v>2842</v>
      </c>
      <c r="B340" s="2" t="s">
        <v>123</v>
      </c>
      <c r="C340" s="2">
        <v>1</v>
      </c>
      <c r="D340" t="str">
        <f>_xlfn.XLOOKUP(order_items!B340,products_2026!A:A,products_2026!C:C,,0,)</f>
        <v>Clothes</v>
      </c>
      <c r="E340">
        <f>_xlfn.XLOOKUP(B340,products_2026!A:A,products_2026!D:D,,0,)</f>
        <v>54.17</v>
      </c>
      <c r="F340">
        <f t="shared" si="5"/>
        <v>54.17</v>
      </c>
      <c r="G340" t="str">
        <f>_xlfn.XLOOKUP(B340,products_2026!A:A,products_2026!B:B,,0,)</f>
        <v>Unisex Hoodie - Black XXXL</v>
      </c>
      <c r="H340" t="str">
        <f>_xlfn.XLOOKUP(B340,products_2026!A:A,products_2026!E:E,,0,)</f>
        <v>SELL0025</v>
      </c>
      <c r="I340" t="str">
        <f>IFERROR(_xlfn.XLOOKUP(H340,sellers_2026!A:A,sellers_2026!G:G,,0,), "unknown/inactive")</f>
        <v>VIC</v>
      </c>
      <c r="J340" t="str">
        <f>_xlfn.XLOOKUP(H340,sellers_2026!A:A,sellers_2026!B:B,,0,)</f>
        <v>clothes832</v>
      </c>
      <c r="L340" s="10" t="s">
        <v>238</v>
      </c>
      <c r="M340">
        <v>7.88</v>
      </c>
      <c r="O340" s="10" t="s">
        <v>818</v>
      </c>
      <c r="P340">
        <v>1</v>
      </c>
    </row>
    <row r="341" spans="1:16" ht="14.25" customHeight="1" x14ac:dyDescent="0.3">
      <c r="A341" s="2" t="s">
        <v>2842</v>
      </c>
      <c r="B341" s="2" t="s">
        <v>214</v>
      </c>
      <c r="C341" s="2">
        <v>1</v>
      </c>
      <c r="D341" t="str">
        <f>_xlfn.XLOOKUP(order_items!B341,products_2026!A:A,products_2026!C:C,,0,)</f>
        <v>Gift_Sets</v>
      </c>
      <c r="E341">
        <f>_xlfn.XLOOKUP(B341,products_2026!A:A,products_2026!D:D,,0,)</f>
        <v>37.840000000000003</v>
      </c>
      <c r="F341">
        <f t="shared" si="5"/>
        <v>37.840000000000003</v>
      </c>
      <c r="G341" t="str">
        <f>_xlfn.XLOOKUP(B341,products_2026!A:A,products_2026!B:B,,0,)</f>
        <v>Bath Bomb Strawberry Vanilla Gift Set</v>
      </c>
      <c r="H341" t="str">
        <f>_xlfn.XLOOKUP(B341,products_2026!A:A,products_2026!E:E,,0,)</f>
        <v>SELL0038</v>
      </c>
      <c r="I341" t="str">
        <f>IFERROR(_xlfn.XLOOKUP(H341,sellers_2026!A:A,sellers_2026!G:G,,0,), "unknown/inactive")</f>
        <v>SA</v>
      </c>
      <c r="J341" t="str">
        <f>_xlfn.XLOOKUP(H341,sellers_2026!A:A,sellers_2026!B:B,,0,)</f>
        <v>compradadonut</v>
      </c>
      <c r="L341" s="10" t="s">
        <v>979</v>
      </c>
      <c r="M341">
        <v>7.32</v>
      </c>
      <c r="O341" s="10" t="s">
        <v>207</v>
      </c>
      <c r="P341">
        <v>1</v>
      </c>
    </row>
    <row r="342" spans="1:16" ht="14.25" customHeight="1" x14ac:dyDescent="0.3">
      <c r="A342" s="2" t="s">
        <v>2842</v>
      </c>
      <c r="B342" s="2" t="s">
        <v>616</v>
      </c>
      <c r="C342" s="2">
        <v>1</v>
      </c>
      <c r="D342" t="str">
        <f>_xlfn.XLOOKUP(order_items!B342,products_2026!A:A,products_2026!C:C,,0,)</f>
        <v>Beauty</v>
      </c>
      <c r="E342">
        <f>_xlfn.XLOOKUP(B342,products_2026!A:A,products_2026!D:D,,0,)</f>
        <v>22.24</v>
      </c>
      <c r="F342">
        <f t="shared" si="5"/>
        <v>22.24</v>
      </c>
      <c r="G342" t="str">
        <f>_xlfn.XLOOKUP(B342,products_2026!A:A,products_2026!B:B,,0,)</f>
        <v>Vitamin C Serum 30ml</v>
      </c>
      <c r="H342" t="str">
        <f>_xlfn.XLOOKUP(B342,products_2026!A:A,products_2026!E:E,,0,)</f>
        <v>SELL0084</v>
      </c>
      <c r="I342" t="str">
        <f>IFERROR(_xlfn.XLOOKUP(H342,sellers_2026!A:A,sellers_2026!G:G,,0,), "unknown/inactive")</f>
        <v>NSW</v>
      </c>
      <c r="J342" t="str">
        <f>_xlfn.XLOOKUP(H342,sellers_2026!A:A,sellers_2026!B:B,,0,)</f>
        <v>lfmk805jw2</v>
      </c>
      <c r="L342" s="10" t="s">
        <v>969</v>
      </c>
      <c r="M342">
        <v>3.23</v>
      </c>
      <c r="O342" s="10" t="s">
        <v>448</v>
      </c>
      <c r="P342">
        <v>1</v>
      </c>
    </row>
    <row r="343" spans="1:16" ht="14.25" customHeight="1" x14ac:dyDescent="0.3">
      <c r="A343" s="2" t="s">
        <v>2842</v>
      </c>
      <c r="B343" s="2" t="s">
        <v>704</v>
      </c>
      <c r="C343" s="2">
        <v>1</v>
      </c>
      <c r="D343" t="str">
        <f>_xlfn.XLOOKUP(order_items!B343,products_2026!A:A,products_2026!C:C,,0,)</f>
        <v>Electronics</v>
      </c>
      <c r="E343">
        <f>_xlfn.XLOOKUP(B343,products_2026!A:A,products_2026!D:D,,0,)</f>
        <v>113.45</v>
      </c>
      <c r="F343">
        <f t="shared" si="5"/>
        <v>113.45</v>
      </c>
      <c r="G343" t="str">
        <f>_xlfn.XLOOKUP(B343,products_2026!A:A,products_2026!B:B,,0,)</f>
        <v>Noise Cancelling Headphones (White)</v>
      </c>
      <c r="H343" t="str">
        <f>_xlfn.XLOOKUP(B343,products_2026!A:A,products_2026!E:E,,0,)</f>
        <v>SELL0088</v>
      </c>
      <c r="I343" t="str">
        <f>IFERROR(_xlfn.XLOOKUP(H343,sellers_2026!A:A,sellers_2026!G:G,,0,), "unknown/inactive")</f>
        <v>TAS</v>
      </c>
      <c r="J343" t="str">
        <f>_xlfn.XLOOKUP(H343,sellers_2026!A:A,sellers_2026!B:B,,0,)</f>
        <v>7ti9lfa6h5</v>
      </c>
      <c r="L343" s="10" t="s">
        <v>1092</v>
      </c>
      <c r="O343" s="10" t="s">
        <v>1092</v>
      </c>
    </row>
    <row r="344" spans="1:16" ht="14.25" customHeight="1" x14ac:dyDescent="0.3">
      <c r="A344" s="2" t="s">
        <v>2843</v>
      </c>
      <c r="B344" s="2" t="s">
        <v>138</v>
      </c>
      <c r="C344" s="2">
        <v>3</v>
      </c>
      <c r="D344" t="str">
        <f>_xlfn.XLOOKUP(order_items!B344,products_2026!A:A,products_2026!C:C,,0,)</f>
        <v>Stationery</v>
      </c>
      <c r="E344">
        <f>_xlfn.XLOOKUP(B344,products_2026!A:A,products_2026!D:D,,0,)</f>
        <v>7.72</v>
      </c>
      <c r="F344">
        <f t="shared" si="5"/>
        <v>23.16</v>
      </c>
      <c r="G344" t="str">
        <f>_xlfn.XLOOKUP(B344,products_2026!A:A,products_2026!B:B,,0,)</f>
        <v>Glitter Gel Pens 4 pack</v>
      </c>
      <c r="H344" t="str">
        <f>_xlfn.XLOOKUP(B344,products_2026!A:A,products_2026!E:E,,0,)</f>
        <v>SELL0028</v>
      </c>
      <c r="I344" t="str">
        <f>IFERROR(_xlfn.XLOOKUP(H344,sellers_2026!A:A,sellers_2026!G:G,,0,), "unknown/inactive")</f>
        <v>NT</v>
      </c>
      <c r="J344" t="str">
        <f>_xlfn.XLOOKUP(H344,sellers_2026!A:A,sellers_2026!B:B,,0,)</f>
        <v>goodsahoy</v>
      </c>
      <c r="L344" s="10" t="s">
        <v>1016</v>
      </c>
      <c r="M344">
        <v>39697.210000000021</v>
      </c>
      <c r="O344" s="10" t="s">
        <v>1016</v>
      </c>
      <c r="P344">
        <v>940</v>
      </c>
    </row>
    <row r="345" spans="1:16" ht="14.25" customHeight="1" x14ac:dyDescent="0.3">
      <c r="A345" s="2" t="s">
        <v>2843</v>
      </c>
      <c r="B345" s="2" t="s">
        <v>855</v>
      </c>
      <c r="C345" s="2">
        <v>1</v>
      </c>
      <c r="D345" t="str">
        <f>_xlfn.XLOOKUP(order_items!B345,products_2026!A:A,products_2026!C:C,,0,)</f>
        <v>Home</v>
      </c>
      <c r="E345">
        <f>_xlfn.XLOOKUP(B345,products_2026!A:A,products_2026!D:D,,0,)</f>
        <v>66.88</v>
      </c>
      <c r="F345">
        <f t="shared" si="5"/>
        <v>66.88</v>
      </c>
      <c r="G345" t="str">
        <f>_xlfn.XLOOKUP(B345,products_2026!A:A,products_2026!B:B,,0,)</f>
        <v>Wall Clock - Minimalist (Blue)</v>
      </c>
      <c r="H345" t="str">
        <f>_xlfn.XLOOKUP(B345,products_2026!A:A,products_2026!E:E,,0,)</f>
        <v>SELL0091</v>
      </c>
      <c r="I345" t="str">
        <f>IFERROR(_xlfn.XLOOKUP(H345,sellers_2026!A:A,sellers_2026!G:G,,0,), "unknown/inactive")</f>
        <v>TAS</v>
      </c>
      <c r="J345" t="str">
        <f>_xlfn.XLOOKUP(H345,sellers_2026!A:A,sellers_2026!B:B,,0,)</f>
        <v>beautifullhome</v>
      </c>
    </row>
    <row r="346" spans="1:16" ht="14.25" customHeight="1" x14ac:dyDescent="0.3">
      <c r="A346" s="2" t="s">
        <v>2844</v>
      </c>
      <c r="B346" s="2" t="s">
        <v>454</v>
      </c>
      <c r="C346" s="2">
        <v>1</v>
      </c>
      <c r="D346" t="str">
        <f>_xlfn.XLOOKUP(order_items!B346,products_2026!A:A,products_2026!C:C,,0,)</f>
        <v>Toys</v>
      </c>
      <c r="E346">
        <f>_xlfn.XLOOKUP(B346,products_2026!A:A,products_2026!D:D,,0,)</f>
        <v>29.09</v>
      </c>
      <c r="F346">
        <f t="shared" si="5"/>
        <v>29.09</v>
      </c>
      <c r="G346" t="str">
        <f>_xlfn.XLOOKUP(B346,products_2026!A:A,products_2026!B:B,,0,)</f>
        <v>Water Gun Set</v>
      </c>
      <c r="H346" t="str">
        <f>_xlfn.XLOOKUP(B346,products_2026!A:A,products_2026!E:E,,0,)</f>
        <v>SELL0064</v>
      </c>
      <c r="I346" t="str">
        <f>IFERROR(_xlfn.XLOOKUP(H346,sellers_2026!A:A,sellers_2026!G:G,,0,), "unknown/inactive")</f>
        <v>SA</v>
      </c>
      <c r="J346" t="str">
        <f>_xlfn.XLOOKUP(H346,sellers_2026!A:A,sellers_2026!B:B,,0,)</f>
        <v>fungamesandtoys</v>
      </c>
    </row>
    <row r="347" spans="1:16" ht="14.25" customHeight="1" x14ac:dyDescent="0.3">
      <c r="A347" s="2" t="s">
        <v>2844</v>
      </c>
      <c r="B347" s="2" t="s">
        <v>526</v>
      </c>
      <c r="C347" s="2">
        <v>1</v>
      </c>
      <c r="D347" t="str">
        <f>_xlfn.XLOOKUP(order_items!B347,products_2026!A:A,products_2026!C:C,,0,)</f>
        <v>Electronics</v>
      </c>
      <c r="E347">
        <f>_xlfn.XLOOKUP(B347,products_2026!A:A,products_2026!D:D,,0,)</f>
        <v>23.36</v>
      </c>
      <c r="F347">
        <f t="shared" si="5"/>
        <v>23.36</v>
      </c>
      <c r="G347" t="str">
        <f>_xlfn.XLOOKUP(B347,products_2026!A:A,products_2026!B:B,,0,)</f>
        <v>USB C Fast Charge 30W</v>
      </c>
      <c r="H347" t="str">
        <f>_xlfn.XLOOKUP(B347,products_2026!A:A,products_2026!E:E,,0,)</f>
        <v>SELL0073</v>
      </c>
      <c r="I347" t="str">
        <f>IFERROR(_xlfn.XLOOKUP(H347,sellers_2026!A:A,sellers_2026!G:G,,0,), "unknown/inactive")</f>
        <v>NSW</v>
      </c>
      <c r="J347" t="str">
        <f>_xlfn.XLOOKUP(H347,sellers_2026!A:A,sellers_2026!B:B,,0,)</f>
        <v>new-south-sales</v>
      </c>
    </row>
    <row r="348" spans="1:16" ht="14.25" customHeight="1" x14ac:dyDescent="0.3">
      <c r="A348" s="2" t="s">
        <v>2845</v>
      </c>
      <c r="B348" s="2" t="s">
        <v>116</v>
      </c>
      <c r="C348" s="2">
        <v>1</v>
      </c>
      <c r="D348" t="str">
        <f>_xlfn.XLOOKUP(order_items!B348,products_2026!A:A,products_2026!C:C,,0,)</f>
        <v>Outdoor</v>
      </c>
      <c r="E348">
        <f>_xlfn.XLOOKUP(B348,products_2026!A:A,products_2026!D:D,,0,)</f>
        <v>55.89</v>
      </c>
      <c r="F348">
        <f t="shared" si="5"/>
        <v>55.89</v>
      </c>
      <c r="G348" t="str">
        <f>_xlfn.XLOOKUP(B348,products_2026!A:A,products_2026!B:B,,0,)</f>
        <v>Fairy Lights Outdoor Garden String 200</v>
      </c>
      <c r="H348" t="str">
        <f>_xlfn.XLOOKUP(B348,products_2026!A:A,products_2026!E:E,,0,)</f>
        <v>SELL0023</v>
      </c>
      <c r="I348" t="str">
        <f>IFERROR(_xlfn.XLOOKUP(H348,sellers_2026!A:A,sellers_2026!G:G,,0,), "unknown/inactive")</f>
        <v>VIC</v>
      </c>
      <c r="J348" t="str">
        <f>_xlfn.XLOOKUP(H348,sellers_2026!A:A,sellers_2026!B:B,,0,)</f>
        <v>cleaning_out_my_shed</v>
      </c>
    </row>
    <row r="349" spans="1:16" ht="14.25" customHeight="1" x14ac:dyDescent="0.3">
      <c r="A349" s="2" t="s">
        <v>2845</v>
      </c>
      <c r="B349" s="2" t="s">
        <v>282</v>
      </c>
      <c r="C349" s="2">
        <v>1</v>
      </c>
      <c r="D349" t="str">
        <f>_xlfn.XLOOKUP(order_items!B349,products_2026!A:A,products_2026!C:C,,0,)</f>
        <v>Jewellery</v>
      </c>
      <c r="E349">
        <f>_xlfn.XLOOKUP(B349,products_2026!A:A,products_2026!D:D,,0,)</f>
        <v>13.95</v>
      </c>
      <c r="F349">
        <f t="shared" si="5"/>
        <v>13.95</v>
      </c>
      <c r="G349" t="str">
        <f>_xlfn.XLOOKUP(B349,products_2026!A:A,products_2026!B:B,,0,)</f>
        <v>Anklet - Gold</v>
      </c>
      <c r="H349" t="str">
        <f>_xlfn.XLOOKUP(B349,products_2026!A:A,products_2026!E:E,,0,)</f>
        <v>SELL0044</v>
      </c>
      <c r="I349" t="str">
        <f>IFERROR(_xlfn.XLOOKUP(H349,sellers_2026!A:A,sellers_2026!G:G,,0,), "unknown/inactive")</f>
        <v>QLD</v>
      </c>
      <c r="J349" t="str">
        <f>_xlfn.XLOOKUP(H349,sellers_2026!A:A,sellers_2026!B:B,,0,)</f>
        <v>everything_nmore</v>
      </c>
    </row>
    <row r="350" spans="1:16" ht="14.25" customHeight="1" x14ac:dyDescent="0.3">
      <c r="A350" s="2" t="s">
        <v>2845</v>
      </c>
      <c r="B350" s="2" t="s">
        <v>815</v>
      </c>
      <c r="C350" s="2">
        <v>1</v>
      </c>
      <c r="D350" t="str">
        <f>_xlfn.XLOOKUP(order_items!B350,products_2026!A:A,products_2026!C:C,,0,)</f>
        <v>Home</v>
      </c>
      <c r="E350">
        <f>_xlfn.XLOOKUP(B350,products_2026!A:A,products_2026!D:D,,0,)</f>
        <v>101.55</v>
      </c>
      <c r="F350">
        <f t="shared" si="5"/>
        <v>101.55</v>
      </c>
      <c r="G350" t="str">
        <f>_xlfn.XLOOKUP(B350,products_2026!A:A,products_2026!B:B,,0,)</f>
        <v>Ceramic Vase Grey Sand</v>
      </c>
      <c r="H350" t="str">
        <f>_xlfn.XLOOKUP(B350,products_2026!A:A,products_2026!E:E,,0,)</f>
        <v>SELL0090</v>
      </c>
      <c r="I350" t="str">
        <f>IFERROR(_xlfn.XLOOKUP(H350,sellers_2026!A:A,sellers_2026!G:G,,0,), "unknown/inactive")</f>
        <v>TAS</v>
      </c>
      <c r="J350" t="str">
        <f>_xlfn.XLOOKUP(H350,sellers_2026!A:A,sellers_2026!B:B,,0,)</f>
        <v>housenice</v>
      </c>
    </row>
    <row r="351" spans="1:16" ht="14.25" customHeight="1" x14ac:dyDescent="0.3">
      <c r="A351" s="2" t="s">
        <v>2846</v>
      </c>
      <c r="B351" s="2" t="s">
        <v>42</v>
      </c>
      <c r="C351" s="2">
        <v>2</v>
      </c>
      <c r="D351" t="str">
        <f>_xlfn.XLOOKUP(order_items!B351,products_2026!A:A,products_2026!C:C,,0,)</f>
        <v>Stationery</v>
      </c>
      <c r="E351">
        <f>_xlfn.XLOOKUP(B351,products_2026!A:A,products_2026!D:D,,0,)</f>
        <v>7.06</v>
      </c>
      <c r="F351">
        <f t="shared" si="5"/>
        <v>14.12</v>
      </c>
      <c r="G351" t="str">
        <f>_xlfn.XLOOKUP(B351,products_2026!A:A,products_2026!B:B,,0,)</f>
        <v>Whiteboard Markers - 6 pack</v>
      </c>
      <c r="H351" t="str">
        <f>_xlfn.XLOOKUP(B351,products_2026!A:A,products_2026!E:E,,0,)</f>
        <v>SELL0010</v>
      </c>
      <c r="I351" t="str">
        <f>IFERROR(_xlfn.XLOOKUP(H351,sellers_2026!A:A,sellers_2026!G:G,,0,), "unknown/inactive")</f>
        <v>VIC</v>
      </c>
      <c r="J351" t="str">
        <f>_xlfn.XLOOKUP(H351,sellers_2026!A:A,sellers_2026!B:B,,0,)</f>
        <v>hobbylobby</v>
      </c>
    </row>
    <row r="352" spans="1:16" ht="14.25" customHeight="1" x14ac:dyDescent="0.3">
      <c r="A352" s="2" t="s">
        <v>2846</v>
      </c>
      <c r="B352" s="2" t="s">
        <v>512</v>
      </c>
      <c r="C352" s="2">
        <v>1</v>
      </c>
      <c r="D352" t="str">
        <f>_xlfn.XLOOKUP(order_items!B352,products_2026!A:A,products_2026!C:C,,0,)</f>
        <v>Outdoor</v>
      </c>
      <c r="E352">
        <f>_xlfn.XLOOKUP(B352,products_2026!A:A,products_2026!D:D,,0,)</f>
        <v>74.39</v>
      </c>
      <c r="F352">
        <f t="shared" si="5"/>
        <v>74.39</v>
      </c>
      <c r="G352" t="str">
        <f>_xlfn.XLOOKUP(B352,products_2026!A:A,products_2026!B:B,,0,)</f>
        <v>Waterproof Picnic Mat Tartan</v>
      </c>
      <c r="H352" t="str">
        <f>_xlfn.XLOOKUP(B352,products_2026!A:A,products_2026!E:E,,0,)</f>
        <v>SELL0072</v>
      </c>
      <c r="I352" t="str">
        <f>IFERROR(_xlfn.XLOOKUP(H352,sellers_2026!A:A,sellers_2026!G:G,,0,), "unknown/inactive")</f>
        <v>ACT</v>
      </c>
      <c r="J352" t="str">
        <f>_xlfn.XLOOKUP(H352,sellers_2026!A:A,sellers_2026!B:B,,0,)</f>
        <v>swanium</v>
      </c>
    </row>
    <row r="353" spans="1:10" ht="14.25" customHeight="1" x14ac:dyDescent="0.3">
      <c r="A353" s="2" t="s">
        <v>2846</v>
      </c>
      <c r="B353" s="2" t="s">
        <v>858</v>
      </c>
      <c r="C353" s="2">
        <v>1</v>
      </c>
      <c r="D353" t="str">
        <f>_xlfn.XLOOKUP(order_items!B353,products_2026!A:A,products_2026!C:C,,0,)</f>
        <v>Jewellery</v>
      </c>
      <c r="E353">
        <f>_xlfn.XLOOKUP(B353,products_2026!A:A,products_2026!D:D,,0,)</f>
        <v>59.61</v>
      </c>
      <c r="F353">
        <f t="shared" si="5"/>
        <v>59.61</v>
      </c>
      <c r="G353" t="str">
        <f>_xlfn.XLOOKUP(B353,products_2026!A:A,products_2026!B:B,,0,)</f>
        <v>Jewellery Box White Oak</v>
      </c>
      <c r="H353" t="str">
        <f>_xlfn.XLOOKUP(B353,products_2026!A:A,products_2026!E:E,,0,)</f>
        <v>SELL0091</v>
      </c>
      <c r="I353" t="str">
        <f>IFERROR(_xlfn.XLOOKUP(H353,sellers_2026!A:A,sellers_2026!G:G,,0,), "unknown/inactive")</f>
        <v>TAS</v>
      </c>
      <c r="J353" t="str">
        <f>_xlfn.XLOOKUP(H353,sellers_2026!A:A,sellers_2026!B:B,,0,)</f>
        <v>beautifullhome</v>
      </c>
    </row>
    <row r="354" spans="1:10" ht="14.25" customHeight="1" x14ac:dyDescent="0.3">
      <c r="A354" s="2" t="s">
        <v>2846</v>
      </c>
      <c r="B354" s="2" t="s">
        <v>891</v>
      </c>
      <c r="C354" s="2">
        <v>1</v>
      </c>
      <c r="D354" t="str">
        <f>_xlfn.XLOOKUP(order_items!B354,products_2026!A:A,products_2026!C:C,,0,)</f>
        <v>Outdoor</v>
      </c>
      <c r="E354">
        <f>_xlfn.XLOOKUP(B354,products_2026!A:A,products_2026!D:D,,0,)</f>
        <v>73.400000000000006</v>
      </c>
      <c r="F354">
        <f t="shared" si="5"/>
        <v>73.400000000000006</v>
      </c>
      <c r="G354" t="str">
        <f>_xlfn.XLOOKUP(B354,products_2026!A:A,products_2026!B:B,,0,)</f>
        <v>BBQ Meat Thermometer WiFi</v>
      </c>
      <c r="H354" t="str">
        <f>_xlfn.XLOOKUP(B354,products_2026!A:A,products_2026!E:E,,0,)</f>
        <v>SELL0092</v>
      </c>
      <c r="I354" t="str">
        <f>IFERROR(_xlfn.XLOOKUP(H354,sellers_2026!A:A,sellers_2026!G:G,,0,), "unknown/inactive")</f>
        <v>VIC</v>
      </c>
      <c r="J354" t="str">
        <f>_xlfn.XLOOKUP(H354,sellers_2026!A:A,sellers_2026!B:B,,0,)</f>
        <v>dress4beauty</v>
      </c>
    </row>
    <row r="355" spans="1:10" ht="14.25" customHeight="1" x14ac:dyDescent="0.3">
      <c r="A355" s="2" t="s">
        <v>2847</v>
      </c>
      <c r="B355" s="2" t="s">
        <v>474</v>
      </c>
      <c r="C355" s="2">
        <v>1</v>
      </c>
      <c r="D355" t="str">
        <f>_xlfn.XLOOKUP(order_items!B355,products_2026!A:A,products_2026!C:C,,0,)</f>
        <v>Beauty</v>
      </c>
      <c r="E355">
        <f>_xlfn.XLOOKUP(B355,products_2026!A:A,products_2026!D:D,,0,)</f>
        <v>27.55</v>
      </c>
      <c r="F355">
        <f t="shared" si="5"/>
        <v>27.55</v>
      </c>
      <c r="G355" t="str">
        <f>_xlfn.XLOOKUP(B355,products_2026!A:A,products_2026!B:B,,0,)</f>
        <v>Body Lotion Shea Butter 1L</v>
      </c>
      <c r="H355" t="str">
        <f>_xlfn.XLOOKUP(B355,products_2026!A:A,products_2026!E:E,,0,)</f>
        <v>SELL0067</v>
      </c>
      <c r="I355" t="str">
        <f>IFERROR(_xlfn.XLOOKUP(H355,sellers_2026!A:A,sellers_2026!G:G,,0,), "unknown/inactive")</f>
        <v>WA</v>
      </c>
      <c r="J355" t="str">
        <f>_xlfn.XLOOKUP(H355,sellers_2026!A:A,sellers_2026!B:B,,0,)</f>
        <v>w71bv3mee1</v>
      </c>
    </row>
    <row r="356" spans="1:10" ht="14.25" customHeight="1" x14ac:dyDescent="0.3">
      <c r="A356" s="2" t="s">
        <v>2847</v>
      </c>
      <c r="B356" s="2" t="s">
        <v>913</v>
      </c>
      <c r="C356" s="2">
        <v>1</v>
      </c>
      <c r="D356" t="str">
        <f>_xlfn.XLOOKUP(order_items!B356,products_2026!A:A,products_2026!C:C,,0,)</f>
        <v>Toys</v>
      </c>
      <c r="E356">
        <f>_xlfn.XLOOKUP(B356,products_2026!A:A,products_2026!D:D,,0,)</f>
        <v>26.9</v>
      </c>
      <c r="F356">
        <f t="shared" si="5"/>
        <v>26.9</v>
      </c>
      <c r="G356" t="str">
        <f>_xlfn.XLOOKUP(B356,products_2026!A:A,products_2026!B:B,,0,)</f>
        <v>Building Blocks 600 pcs</v>
      </c>
      <c r="H356" t="str">
        <f>_xlfn.XLOOKUP(B356,products_2026!A:A,products_2026!E:E,,0,)</f>
        <v>SELL0047</v>
      </c>
      <c r="I356" t="str">
        <f>IFERROR(_xlfn.XLOOKUP(H356,sellers_2026!A:A,sellers_2026!G:G,,0,), "unknown/inactive")</f>
        <v>NT</v>
      </c>
      <c r="J356" t="str">
        <f>_xlfn.XLOOKUP(H356,sellers_2026!A:A,sellers_2026!B:B,,0,)</f>
        <v>toymajoy</v>
      </c>
    </row>
    <row r="357" spans="1:10" ht="14.25" customHeight="1" x14ac:dyDescent="0.3">
      <c r="A357" s="2" t="s">
        <v>2848</v>
      </c>
      <c r="B357" s="2" t="s">
        <v>838</v>
      </c>
      <c r="C357" s="2">
        <v>1</v>
      </c>
      <c r="D357" t="str">
        <f>_xlfn.XLOOKUP(order_items!B357,products_2026!A:A,products_2026!C:C,,0,)</f>
        <v>Home</v>
      </c>
      <c r="E357">
        <f>_xlfn.XLOOKUP(B357,products_2026!A:A,products_2026!D:D,,0,)</f>
        <v>18.559999999999999</v>
      </c>
      <c r="F357">
        <f t="shared" si="5"/>
        <v>18.559999999999999</v>
      </c>
      <c r="G357" t="str">
        <f>_xlfn.XLOOKUP(B357,products_2026!A:A,products_2026!B:B,,0,)</f>
        <v>LED Floor Lamp</v>
      </c>
      <c r="H357" t="str">
        <f>_xlfn.XLOOKUP(B357,products_2026!A:A,products_2026!E:E,,0,)</f>
        <v>SELL0091</v>
      </c>
      <c r="I357" t="str">
        <f>IFERROR(_xlfn.XLOOKUP(H357,sellers_2026!A:A,sellers_2026!G:G,,0,), "unknown/inactive")</f>
        <v>TAS</v>
      </c>
      <c r="J357" t="str">
        <f>_xlfn.XLOOKUP(H357,sellers_2026!A:A,sellers_2026!B:B,,0,)</f>
        <v>beautifullhome</v>
      </c>
    </row>
    <row r="358" spans="1:10" ht="14.25" customHeight="1" x14ac:dyDescent="0.3">
      <c r="A358" s="2" t="s">
        <v>2849</v>
      </c>
      <c r="B358" s="2" t="s">
        <v>233</v>
      </c>
      <c r="C358" s="2">
        <v>1</v>
      </c>
      <c r="D358" t="str">
        <f>_xlfn.XLOOKUP(order_items!B358,products_2026!A:A,products_2026!C:C,,0,)</f>
        <v>Outdoor</v>
      </c>
      <c r="E358">
        <f>_xlfn.XLOOKUP(B358,products_2026!A:A,products_2026!D:D,,0,)</f>
        <v>40.83</v>
      </c>
      <c r="F358">
        <f t="shared" si="5"/>
        <v>40.83</v>
      </c>
      <c r="G358" t="str">
        <f>_xlfn.XLOOKUP(B358,products_2026!A:A,products_2026!B:B,,0,)</f>
        <v>BBQ Cleaning Fluid</v>
      </c>
      <c r="H358" t="str">
        <f>_xlfn.XLOOKUP(B358,products_2026!A:A,products_2026!E:E,,0,)</f>
        <v>SELL0040</v>
      </c>
      <c r="I358" t="str">
        <f>IFERROR(_xlfn.XLOOKUP(H358,sellers_2026!A:A,sellers_2026!G:G,,0,), "unknown/inactive")</f>
        <v>TAS</v>
      </c>
      <c r="J358" t="str">
        <f>_xlfn.XLOOKUP(H358,sellers_2026!A:A,sellers_2026!B:B,,0,)</f>
        <v>cheapandgood27</v>
      </c>
    </row>
    <row r="359" spans="1:10" ht="14.25" customHeight="1" x14ac:dyDescent="0.3">
      <c r="A359" s="2" t="s">
        <v>2849</v>
      </c>
      <c r="B359" s="2" t="s">
        <v>612</v>
      </c>
      <c r="C359" s="2">
        <v>1</v>
      </c>
      <c r="D359" t="str">
        <f>_xlfn.XLOOKUP(order_items!B359,products_2026!A:A,products_2026!C:C,,0,)</f>
        <v>Home</v>
      </c>
      <c r="E359">
        <f>_xlfn.XLOOKUP(B359,products_2026!A:A,products_2026!D:D,,0,)</f>
        <v>119.3</v>
      </c>
      <c r="F359">
        <f t="shared" si="5"/>
        <v>119.3</v>
      </c>
      <c r="G359" t="str">
        <f>_xlfn.XLOOKUP(B359,products_2026!A:A,products_2026!B:B,,0,)</f>
        <v>Memory Foam Pillow Medium Firm x 2</v>
      </c>
      <c r="H359" t="str">
        <f>_xlfn.XLOOKUP(B359,products_2026!A:A,products_2026!E:E,,0,)</f>
        <v>SELL0078</v>
      </c>
      <c r="I359" t="str">
        <f>IFERROR(_xlfn.XLOOKUP(H359,sellers_2026!A:A,sellers_2026!G:G,,0,), "unknown/inactive")</f>
        <v>TAS</v>
      </c>
      <c r="J359" t="str">
        <f>_xlfn.XLOOKUP(H359,sellers_2026!A:A,sellers_2026!B:B,,0,)</f>
        <v>r6vd2aojq8</v>
      </c>
    </row>
    <row r="360" spans="1:10" ht="14.25" customHeight="1" x14ac:dyDescent="0.3">
      <c r="A360" s="2" t="s">
        <v>2849</v>
      </c>
      <c r="B360" s="2" t="s">
        <v>671</v>
      </c>
      <c r="C360" s="2">
        <v>1</v>
      </c>
      <c r="D360" t="str">
        <f>_xlfn.XLOOKUP(order_items!B360,products_2026!A:A,products_2026!C:C,,0,)</f>
        <v>Electronics</v>
      </c>
      <c r="E360">
        <f>_xlfn.XLOOKUP(B360,products_2026!A:A,products_2026!D:D,,0,)</f>
        <v>47.75</v>
      </c>
      <c r="F360">
        <f t="shared" si="5"/>
        <v>47.75</v>
      </c>
      <c r="G360" t="str">
        <f>_xlfn.XLOOKUP(B360,products_2026!A:A,products_2026!B:B,,0,)</f>
        <v>Portable Power Bank 20000mAh</v>
      </c>
      <c r="H360" t="str">
        <f>_xlfn.XLOOKUP(B360,products_2026!A:A,products_2026!E:E,,0,)</f>
        <v>SELL0024</v>
      </c>
      <c r="I360" t="str">
        <f>IFERROR(_xlfn.XLOOKUP(H360,sellers_2026!A:A,sellers_2026!G:G,,0,), "unknown/inactive")</f>
        <v>VIC</v>
      </c>
      <c r="J360" t="str">
        <f>_xlfn.XLOOKUP(H360,sellers_2026!A:A,sellers_2026!B:B,,0,)</f>
        <v>ELEC25B</v>
      </c>
    </row>
    <row r="361" spans="1:10" ht="14.25" customHeight="1" x14ac:dyDescent="0.3">
      <c r="A361" s="2" t="s">
        <v>2850</v>
      </c>
      <c r="B361" s="2" t="s">
        <v>214</v>
      </c>
      <c r="C361" s="2">
        <v>1</v>
      </c>
      <c r="D361" t="str">
        <f>_xlfn.XLOOKUP(order_items!B361,products_2026!A:A,products_2026!C:C,,0,)</f>
        <v>Gift_Sets</v>
      </c>
      <c r="E361">
        <f>_xlfn.XLOOKUP(B361,products_2026!A:A,products_2026!D:D,,0,)</f>
        <v>37.840000000000003</v>
      </c>
      <c r="F361">
        <f t="shared" si="5"/>
        <v>37.840000000000003</v>
      </c>
      <c r="G361" t="str">
        <f>_xlfn.XLOOKUP(B361,products_2026!A:A,products_2026!B:B,,0,)</f>
        <v>Bath Bomb Strawberry Vanilla Gift Set</v>
      </c>
      <c r="H361" t="str">
        <f>_xlfn.XLOOKUP(B361,products_2026!A:A,products_2026!E:E,,0,)</f>
        <v>SELL0038</v>
      </c>
      <c r="I361" t="str">
        <f>IFERROR(_xlfn.XLOOKUP(H361,sellers_2026!A:A,sellers_2026!G:G,,0,), "unknown/inactive")</f>
        <v>SA</v>
      </c>
      <c r="J361" t="str">
        <f>_xlfn.XLOOKUP(H361,sellers_2026!A:A,sellers_2026!B:B,,0,)</f>
        <v>compradadonut</v>
      </c>
    </row>
    <row r="362" spans="1:10" ht="14.25" customHeight="1" x14ac:dyDescent="0.3">
      <c r="A362" s="2" t="s">
        <v>2851</v>
      </c>
      <c r="B362" s="2" t="s">
        <v>212</v>
      </c>
      <c r="C362" s="2">
        <v>2</v>
      </c>
      <c r="D362" t="str">
        <f>_xlfn.XLOOKUP(order_items!B362,products_2026!A:A,products_2026!C:C,,0,)</f>
        <v>Gift_Sets</v>
      </c>
      <c r="E362">
        <f>_xlfn.XLOOKUP(B362,products_2026!A:A,products_2026!D:D,,0,)</f>
        <v>22.33</v>
      </c>
      <c r="F362">
        <f t="shared" si="5"/>
        <v>44.66</v>
      </c>
      <c r="G362" t="str">
        <f>_xlfn.XLOOKUP(B362,products_2026!A:A,products_2026!B:B,,0,)</f>
        <v>Tea Lovers Hamper Earl Grey</v>
      </c>
      <c r="H362" t="str">
        <f>_xlfn.XLOOKUP(B362,products_2026!A:A,products_2026!E:E,,0,)</f>
        <v>SELL0037</v>
      </c>
      <c r="I362" t="str">
        <f>IFERROR(_xlfn.XLOOKUP(H362,sellers_2026!A:A,sellers_2026!G:G,,0,), "unknown/inactive")</f>
        <v>VIC</v>
      </c>
      <c r="J362" t="str">
        <f>_xlfn.XLOOKUP(H362,sellers_2026!A:A,sellers_2026!B:B,,0,)</f>
        <v>storeshop</v>
      </c>
    </row>
    <row r="363" spans="1:10" ht="14.25" customHeight="1" x14ac:dyDescent="0.3">
      <c r="A363" s="2" t="s">
        <v>2851</v>
      </c>
      <c r="B363" s="2" t="s">
        <v>351</v>
      </c>
      <c r="C363" s="2">
        <v>1</v>
      </c>
      <c r="D363" t="str">
        <f>_xlfn.XLOOKUP(order_items!B363,products_2026!A:A,products_2026!C:C,,0,)</f>
        <v>Outdoor</v>
      </c>
      <c r="E363">
        <f>_xlfn.XLOOKUP(B363,products_2026!A:A,products_2026!D:D,,0,)</f>
        <v>88.21</v>
      </c>
      <c r="F363">
        <f t="shared" si="5"/>
        <v>88.21</v>
      </c>
      <c r="G363" t="str">
        <f>_xlfn.XLOOKUP(B363,products_2026!A:A,products_2026!B:B,,0,)</f>
        <v>Portable Mini Grill Gas Fire</v>
      </c>
      <c r="H363" t="str">
        <f>_xlfn.XLOOKUP(B363,products_2026!A:A,products_2026!E:E,,0,)</f>
        <v>SELL0053</v>
      </c>
      <c r="I363" t="str">
        <f>IFERROR(_xlfn.XLOOKUP(H363,sellers_2026!A:A,sellers_2026!G:G,,0,), "unknown/inactive")</f>
        <v>ACT</v>
      </c>
      <c r="J363" t="str">
        <f>_xlfn.XLOOKUP(H363,sellers_2026!A:A,sellers_2026!B:B,,0,)</f>
        <v>homedeliver</v>
      </c>
    </row>
    <row r="364" spans="1:10" ht="14.25" customHeight="1" x14ac:dyDescent="0.3">
      <c r="A364" s="2" t="s">
        <v>2852</v>
      </c>
      <c r="B364" s="2" t="s">
        <v>219</v>
      </c>
      <c r="C364" s="2">
        <v>1</v>
      </c>
      <c r="D364" t="str">
        <f>_xlfn.XLOOKUP(order_items!B364,products_2026!A:A,products_2026!C:C,,0,)</f>
        <v>Clothes</v>
      </c>
      <c r="E364">
        <f>_xlfn.XLOOKUP(B364,products_2026!A:A,products_2026!D:D,,0,)</f>
        <v>27.88</v>
      </c>
      <c r="F364">
        <f t="shared" si="5"/>
        <v>27.88</v>
      </c>
      <c r="G364" t="str">
        <f>_xlfn.XLOOKUP(B364,products_2026!A:A,products_2026!B:B,,0,)</f>
        <v>Sports Socks - 5 pack</v>
      </c>
      <c r="H364" t="str">
        <f>_xlfn.XLOOKUP(B364,products_2026!A:A,products_2026!E:E,,0,)</f>
        <v>SELL0039</v>
      </c>
      <c r="I364" t="str">
        <f>IFERROR(_xlfn.XLOOKUP(H364,sellers_2026!A:A,sellers_2026!G:G,,0,), "unknown/inactive")</f>
        <v>QLD</v>
      </c>
      <c r="J364" t="str">
        <f>_xlfn.XLOOKUP(H364,sellers_2026!A:A,sellers_2026!B:B,,0,)</f>
        <v>zmkizlf6t6</v>
      </c>
    </row>
    <row r="365" spans="1:10" ht="14.25" customHeight="1" x14ac:dyDescent="0.3">
      <c r="A365" s="2" t="s">
        <v>2853</v>
      </c>
      <c r="B365" s="2" t="s">
        <v>495</v>
      </c>
      <c r="C365" s="2">
        <v>1</v>
      </c>
      <c r="D365" t="str">
        <f>_xlfn.XLOOKUP(order_items!B365,products_2026!A:A,products_2026!C:C,,0,)</f>
        <v>Home</v>
      </c>
      <c r="E365">
        <f>_xlfn.XLOOKUP(B365,products_2026!A:A,products_2026!D:D,,0,)</f>
        <v>14.98</v>
      </c>
      <c r="F365">
        <f t="shared" si="5"/>
        <v>14.98</v>
      </c>
      <c r="G365" t="str">
        <f>_xlfn.XLOOKUP(B365,products_2026!A:A,products_2026!B:B,,0,)</f>
        <v>Essential Oil Diffuser Mains Powered</v>
      </c>
      <c r="H365" t="str">
        <f>_xlfn.XLOOKUP(B365,products_2026!A:A,products_2026!E:E,,0,)</f>
        <v>SELL0070</v>
      </c>
      <c r="I365" t="str">
        <f>IFERROR(_xlfn.XLOOKUP(H365,sellers_2026!A:A,sellers_2026!G:G,,0,), "unknown/inactive")</f>
        <v>QLD</v>
      </c>
      <c r="J365" t="str">
        <f>_xlfn.XLOOKUP(H365,sellers_2026!A:A,sellers_2026!B:B,,0,)</f>
        <v>homeandaways</v>
      </c>
    </row>
    <row r="366" spans="1:10" ht="14.25" customHeight="1" x14ac:dyDescent="0.3">
      <c r="A366" s="2" t="s">
        <v>2854</v>
      </c>
      <c r="B366" s="2" t="s">
        <v>847</v>
      </c>
      <c r="C366" s="2">
        <v>1</v>
      </c>
      <c r="D366" t="str">
        <f>_xlfn.XLOOKUP(order_items!B366,products_2026!A:A,products_2026!C:C,,0,)</f>
        <v>Home</v>
      </c>
      <c r="E366">
        <f>_xlfn.XLOOKUP(B366,products_2026!A:A,products_2026!D:D,,0,)</f>
        <v>65.459999999999994</v>
      </c>
      <c r="F366">
        <f t="shared" si="5"/>
        <v>65.459999999999994</v>
      </c>
      <c r="G366" t="str">
        <f>_xlfn.XLOOKUP(B366,products_2026!A:A,products_2026!B:B,,0,)</f>
        <v>Weighted Blanket 5kg</v>
      </c>
      <c r="H366" t="str">
        <f>_xlfn.XLOOKUP(B366,products_2026!A:A,products_2026!E:E,,0,)</f>
        <v>SELL0091</v>
      </c>
      <c r="I366" t="str">
        <f>IFERROR(_xlfn.XLOOKUP(H366,sellers_2026!A:A,sellers_2026!G:G,,0,), "unknown/inactive")</f>
        <v>TAS</v>
      </c>
      <c r="J366" t="str">
        <f>_xlfn.XLOOKUP(H366,sellers_2026!A:A,sellers_2026!B:B,,0,)</f>
        <v>beautifullhome</v>
      </c>
    </row>
    <row r="367" spans="1:10" ht="14.25" customHeight="1" x14ac:dyDescent="0.3">
      <c r="A367" s="2" t="s">
        <v>2854</v>
      </c>
      <c r="B367" s="2" t="s">
        <v>903</v>
      </c>
      <c r="C367" s="2">
        <v>1</v>
      </c>
      <c r="D367" t="str">
        <f>_xlfn.XLOOKUP(order_items!B367,products_2026!A:A,products_2026!C:C,,0,)</f>
        <v>Outdoor</v>
      </c>
      <c r="E367">
        <f>_xlfn.XLOOKUP(B367,products_2026!A:A,products_2026!D:D,,0,)</f>
        <v>67.33</v>
      </c>
      <c r="F367">
        <f t="shared" si="5"/>
        <v>67.33</v>
      </c>
      <c r="G367" t="str">
        <f>_xlfn.XLOOKUP(B367,products_2026!A:A,products_2026!B:B,,0,)</f>
        <v>Camping Kettle 2L Navy</v>
      </c>
      <c r="H367" t="str">
        <f>_xlfn.XLOOKUP(B367,products_2026!A:A,products_2026!E:E,,0,)</f>
        <v>SELL0093</v>
      </c>
      <c r="I367" t="str">
        <f>IFERROR(_xlfn.XLOOKUP(H367,sellers_2026!A:A,sellers_2026!G:G,,0,), "unknown/inactive")</f>
        <v>NT</v>
      </c>
      <c r="J367" t="str">
        <f>_xlfn.XLOOKUP(H367,sellers_2026!A:A,sellers_2026!B:B,,0,)</f>
        <v>millies-outdoor-shop</v>
      </c>
    </row>
    <row r="368" spans="1:10" ht="14.25" customHeight="1" x14ac:dyDescent="0.3">
      <c r="A368" s="2" t="s">
        <v>2855</v>
      </c>
      <c r="B368" s="2" t="s">
        <v>136</v>
      </c>
      <c r="C368" s="2">
        <v>1</v>
      </c>
      <c r="D368" t="str">
        <f>_xlfn.XLOOKUP(order_items!B368,products_2026!A:A,products_2026!C:C,,0,)</f>
        <v>Home</v>
      </c>
      <c r="E368">
        <f>_xlfn.XLOOKUP(B368,products_2026!A:A,products_2026!D:D,,0,)</f>
        <v>30.81</v>
      </c>
      <c r="F368">
        <f t="shared" si="5"/>
        <v>30.81</v>
      </c>
      <c r="G368" t="str">
        <f>_xlfn.XLOOKUP(B368,products_2026!A:A,products_2026!B:B,,0,)</f>
        <v>Protein Shaker Bottle 600ml (Red)</v>
      </c>
      <c r="H368" t="str">
        <f>_xlfn.XLOOKUP(B368,products_2026!A:A,products_2026!E:E,,0,)</f>
        <v>SELL0028</v>
      </c>
      <c r="I368" t="str">
        <f>IFERROR(_xlfn.XLOOKUP(H368,sellers_2026!A:A,sellers_2026!G:G,,0,), "unknown/inactive")</f>
        <v>NT</v>
      </c>
      <c r="J368" t="str">
        <f>_xlfn.XLOOKUP(H368,sellers_2026!A:A,sellers_2026!B:B,,0,)</f>
        <v>goodsahoy</v>
      </c>
    </row>
    <row r="369" spans="1:10" ht="14.25" customHeight="1" x14ac:dyDescent="0.3">
      <c r="A369" s="2" t="s">
        <v>2856</v>
      </c>
      <c r="B369" s="2" t="s">
        <v>598</v>
      </c>
      <c r="C369" s="2">
        <v>1</v>
      </c>
      <c r="D369" t="str">
        <f>_xlfn.XLOOKUP(order_items!B369,products_2026!A:A,products_2026!C:C,,0,)</f>
        <v>Beauty</v>
      </c>
      <c r="E369">
        <f>_xlfn.XLOOKUP(B369,products_2026!A:A,products_2026!D:D,,0,)</f>
        <v>17.28</v>
      </c>
      <c r="F369">
        <f t="shared" si="5"/>
        <v>17.28</v>
      </c>
      <c r="G369" t="str">
        <f>_xlfn.XLOOKUP(B369,products_2026!A:A,products_2026!B:B,,0,)</f>
        <v>Face Mist Vitamin E</v>
      </c>
      <c r="H369" t="str">
        <f>_xlfn.XLOOKUP(B369,products_2026!A:A,products_2026!E:E,,0,)</f>
        <v>SELL0082</v>
      </c>
      <c r="I369" t="str">
        <f>IFERROR(_xlfn.XLOOKUP(H369,sellers_2026!A:A,sellers_2026!G:G,,0,), "unknown/inactive")</f>
        <v>NSW</v>
      </c>
      <c r="J369" t="str">
        <f>_xlfn.XLOOKUP(H369,sellers_2026!A:A,sellers_2026!B:B,,0,)</f>
        <v>blessedforall</v>
      </c>
    </row>
    <row r="370" spans="1:10" ht="14.25" customHeight="1" x14ac:dyDescent="0.3">
      <c r="A370" s="2" t="s">
        <v>2856</v>
      </c>
      <c r="B370" s="2" t="s">
        <v>740</v>
      </c>
      <c r="C370" s="2">
        <v>1</v>
      </c>
      <c r="D370" t="str">
        <f>_xlfn.XLOOKUP(order_items!B370,products_2026!A:A,products_2026!C:C,,0,)</f>
        <v>Home</v>
      </c>
      <c r="E370">
        <f>_xlfn.XLOOKUP(B370,products_2026!A:A,products_2026!D:D,,0,)</f>
        <v>49.8</v>
      </c>
      <c r="F370">
        <f t="shared" si="5"/>
        <v>49.8</v>
      </c>
      <c r="G370" t="str">
        <f>_xlfn.XLOOKUP(B370,products_2026!A:A,products_2026!B:B,,0,)</f>
        <v>Vase Ceramic Sand Finish Navy</v>
      </c>
      <c r="H370" t="str">
        <f>_xlfn.XLOOKUP(B370,products_2026!A:A,products_2026!E:E,,0,)</f>
        <v>SELL0027</v>
      </c>
      <c r="I370" t="str">
        <f>IFERROR(_xlfn.XLOOKUP(H370,sellers_2026!A:A,sellers_2026!G:G,,0,), "unknown/inactive")</f>
        <v>QLD</v>
      </c>
      <c r="J370" t="str">
        <f>_xlfn.XLOOKUP(H370,sellers_2026!A:A,sellers_2026!B:B,,0,)</f>
        <v>home458</v>
      </c>
    </row>
    <row r="371" spans="1:10" ht="14.25" customHeight="1" x14ac:dyDescent="0.3">
      <c r="A371" s="2" t="s">
        <v>2857</v>
      </c>
      <c r="B371" s="2" t="s">
        <v>770</v>
      </c>
      <c r="C371" s="2">
        <v>1</v>
      </c>
      <c r="D371" t="str">
        <f>_xlfn.XLOOKUP(order_items!B371,products_2026!A:A,products_2026!C:C,,0,)</f>
        <v>Health</v>
      </c>
      <c r="E371">
        <f>_xlfn.XLOOKUP(B371,products_2026!A:A,products_2026!D:D,,0,)</f>
        <v>32.81</v>
      </c>
      <c r="F371">
        <f t="shared" si="5"/>
        <v>32.81</v>
      </c>
      <c r="G371" t="str">
        <f>_xlfn.XLOOKUP(B371,products_2026!A:A,products_2026!B:B,,0,)</f>
        <v>Protein Shaker Bottle 600ml</v>
      </c>
      <c r="H371" t="str">
        <f>_xlfn.XLOOKUP(B371,products_2026!A:A,products_2026!E:E,,0,)</f>
        <v>SELL0051</v>
      </c>
      <c r="I371" t="str">
        <f>IFERROR(_xlfn.XLOOKUP(H371,sellers_2026!A:A,sellers_2026!G:G,,0,), "unknown/inactive")</f>
        <v>NT</v>
      </c>
      <c r="J371" t="str">
        <f>_xlfn.XLOOKUP(H371,sellers_2026!A:A,sellers_2026!B:B,,0,)</f>
        <v>healthway</v>
      </c>
    </row>
    <row r="372" spans="1:10" ht="14.25" customHeight="1" x14ac:dyDescent="0.3">
      <c r="A372" s="2" t="s">
        <v>2857</v>
      </c>
      <c r="B372" s="2" t="s">
        <v>843</v>
      </c>
      <c r="C372" s="2">
        <v>1</v>
      </c>
      <c r="D372" t="str">
        <f>_xlfn.XLOOKUP(order_items!B372,products_2026!A:A,products_2026!C:C,,0,)</f>
        <v>Home</v>
      </c>
      <c r="E372">
        <f>_xlfn.XLOOKUP(B372,products_2026!A:A,products_2026!D:D,,0,)</f>
        <v>116.81</v>
      </c>
      <c r="F372">
        <f t="shared" si="5"/>
        <v>116.81</v>
      </c>
      <c r="G372" t="str">
        <f>_xlfn.XLOOKUP(B372,products_2026!A:A,products_2026!B:B,,0,)</f>
        <v>Weighted Blanket 20kg</v>
      </c>
      <c r="H372" t="str">
        <f>_xlfn.XLOOKUP(B372,products_2026!A:A,products_2026!E:E,,0,)</f>
        <v>SELL0091</v>
      </c>
      <c r="I372" t="str">
        <f>IFERROR(_xlfn.XLOOKUP(H372,sellers_2026!A:A,sellers_2026!G:G,,0,), "unknown/inactive")</f>
        <v>TAS</v>
      </c>
      <c r="J372" t="str">
        <f>_xlfn.XLOOKUP(H372,sellers_2026!A:A,sellers_2026!B:B,,0,)</f>
        <v>beautifullhome</v>
      </c>
    </row>
    <row r="373" spans="1:10" ht="14.25" customHeight="1" x14ac:dyDescent="0.3">
      <c r="A373" s="2" t="s">
        <v>2858</v>
      </c>
      <c r="B373" s="2" t="s">
        <v>692</v>
      </c>
      <c r="C373" s="2">
        <v>1</v>
      </c>
      <c r="D373" t="str">
        <f>_xlfn.XLOOKUP(order_items!B373,products_2026!A:A,products_2026!C:C,,0,)</f>
        <v>Electronics</v>
      </c>
      <c r="E373">
        <f>_xlfn.XLOOKUP(B373,products_2026!A:A,products_2026!D:D,,0,)</f>
        <v>29.36</v>
      </c>
      <c r="F373">
        <f t="shared" si="5"/>
        <v>29.36</v>
      </c>
      <c r="G373" t="str">
        <f>_xlfn.XLOOKUP(B373,products_2026!A:A,products_2026!B:B,,0,)</f>
        <v>Smart Home Hub (Black) 2023</v>
      </c>
      <c r="H373" t="str">
        <f>_xlfn.XLOOKUP(B373,products_2026!A:A,products_2026!E:E,,0,)</f>
        <v>SELL0024</v>
      </c>
      <c r="I373" t="str">
        <f>IFERROR(_xlfn.XLOOKUP(H373,sellers_2026!A:A,sellers_2026!G:G,,0,), "unknown/inactive")</f>
        <v>VIC</v>
      </c>
      <c r="J373" t="str">
        <f>_xlfn.XLOOKUP(H373,sellers_2026!A:A,sellers_2026!B:B,,0,)</f>
        <v>ELEC25B</v>
      </c>
    </row>
    <row r="374" spans="1:10" ht="14.25" customHeight="1" x14ac:dyDescent="0.3">
      <c r="A374" s="2" t="s">
        <v>2858</v>
      </c>
      <c r="B374" s="2" t="s">
        <v>700</v>
      </c>
      <c r="C374" s="2">
        <v>1</v>
      </c>
      <c r="D374" t="str">
        <f>_xlfn.XLOOKUP(order_items!B374,products_2026!A:A,products_2026!C:C,,0,)</f>
        <v>Electronics</v>
      </c>
      <c r="E374">
        <f>_xlfn.XLOOKUP(B374,products_2026!A:A,products_2026!D:D,,0,)</f>
        <v>63.84</v>
      </c>
      <c r="F374">
        <f t="shared" si="5"/>
        <v>63.84</v>
      </c>
      <c r="G374" t="str">
        <f>_xlfn.XLOOKUP(B374,products_2026!A:A,products_2026!B:B,,0,)</f>
        <v>Noise Cancelling Headphones (Yellow)</v>
      </c>
      <c r="H374" t="str">
        <f>_xlfn.XLOOKUP(B374,products_2026!A:A,products_2026!E:E,,0,)</f>
        <v>SELL0088</v>
      </c>
      <c r="I374" t="str">
        <f>IFERROR(_xlfn.XLOOKUP(H374,sellers_2026!A:A,sellers_2026!G:G,,0,), "unknown/inactive")</f>
        <v>TAS</v>
      </c>
      <c r="J374" t="str">
        <f>_xlfn.XLOOKUP(H374,sellers_2026!A:A,sellers_2026!B:B,,0,)</f>
        <v>7ti9lfa6h5</v>
      </c>
    </row>
    <row r="375" spans="1:10" ht="14.25" customHeight="1" x14ac:dyDescent="0.3">
      <c r="A375" s="2" t="s">
        <v>2859</v>
      </c>
      <c r="B375" s="2" t="s">
        <v>797</v>
      </c>
      <c r="C375" s="2">
        <v>1</v>
      </c>
      <c r="D375" t="str">
        <f>_xlfn.XLOOKUP(order_items!B375,products_2026!A:A,products_2026!C:C,,0,)</f>
        <v>Home</v>
      </c>
      <c r="E375">
        <f>_xlfn.XLOOKUP(B375,products_2026!A:A,products_2026!D:D,,0,)</f>
        <v>86.5</v>
      </c>
      <c r="F375">
        <f t="shared" si="5"/>
        <v>86.5</v>
      </c>
      <c r="G375" t="str">
        <f>_xlfn.XLOOKUP(B375,products_2026!A:A,products_2026!B:B,,0,)</f>
        <v>Indoor Plant Pot - XL</v>
      </c>
      <c r="H375" t="str">
        <f>_xlfn.XLOOKUP(B375,products_2026!A:A,products_2026!E:E,,0,)</f>
        <v>SELL0027</v>
      </c>
      <c r="I375" t="str">
        <f>IFERROR(_xlfn.XLOOKUP(H375,sellers_2026!A:A,sellers_2026!G:G,,0,), "unknown/inactive")</f>
        <v>QLD</v>
      </c>
      <c r="J375" t="str">
        <f>_xlfn.XLOOKUP(H375,sellers_2026!A:A,sellers_2026!B:B,,0,)</f>
        <v>home458</v>
      </c>
    </row>
    <row r="376" spans="1:10" ht="14.25" customHeight="1" x14ac:dyDescent="0.3">
      <c r="A376" s="2" t="s">
        <v>2860</v>
      </c>
      <c r="B376" s="2" t="s">
        <v>134</v>
      </c>
      <c r="C376" s="2">
        <v>1</v>
      </c>
      <c r="D376" t="str">
        <f>_xlfn.XLOOKUP(order_items!B376,products_2026!A:A,products_2026!C:C,,0,)</f>
        <v>Home</v>
      </c>
      <c r="E376">
        <f>_xlfn.XLOOKUP(B376,products_2026!A:A,products_2026!D:D,,0,)</f>
        <v>29.36</v>
      </c>
      <c r="F376">
        <f t="shared" si="5"/>
        <v>29.36</v>
      </c>
      <c r="G376" t="str">
        <f>_xlfn.XLOOKUP(B376,products_2026!A:A,products_2026!B:B,,0,)</f>
        <v>Essential Oil Diffuser</v>
      </c>
      <c r="H376" t="str">
        <f>_xlfn.XLOOKUP(B376,products_2026!A:A,products_2026!E:E,,0,)</f>
        <v>SELL0028</v>
      </c>
      <c r="I376" t="str">
        <f>IFERROR(_xlfn.XLOOKUP(H376,sellers_2026!A:A,sellers_2026!G:G,,0,), "unknown/inactive")</f>
        <v>NT</v>
      </c>
      <c r="J376" t="str">
        <f>_xlfn.XLOOKUP(H376,sellers_2026!A:A,sellers_2026!B:B,,0,)</f>
        <v>goodsahoy</v>
      </c>
    </row>
    <row r="377" spans="1:10" ht="14.25" customHeight="1" x14ac:dyDescent="0.3">
      <c r="A377" s="2" t="s">
        <v>2860</v>
      </c>
      <c r="B377" s="2" t="s">
        <v>317</v>
      </c>
      <c r="C377" s="2">
        <v>1</v>
      </c>
      <c r="D377" t="str">
        <f>_xlfn.XLOOKUP(order_items!B377,products_2026!A:A,products_2026!C:C,,0,)</f>
        <v>Toys</v>
      </c>
      <c r="E377">
        <f>_xlfn.XLOOKUP(B377,products_2026!A:A,products_2026!D:D,,0,)</f>
        <v>35.11</v>
      </c>
      <c r="F377">
        <f t="shared" si="5"/>
        <v>35.11</v>
      </c>
      <c r="G377" t="str">
        <f>_xlfn.XLOOKUP(B377,products_2026!A:A,products_2026!B:B,,0,)</f>
        <v>Building Blocks 300 pcs Special Edition space</v>
      </c>
      <c r="H377" t="str">
        <f>_xlfn.XLOOKUP(B377,products_2026!A:A,products_2026!E:E,,0,)</f>
        <v>SELL0047</v>
      </c>
      <c r="I377" t="str">
        <f>IFERROR(_xlfn.XLOOKUP(H377,sellers_2026!A:A,sellers_2026!G:G,,0,), "unknown/inactive")</f>
        <v>NT</v>
      </c>
      <c r="J377" t="str">
        <f>_xlfn.XLOOKUP(H377,sellers_2026!A:A,sellers_2026!B:B,,0,)</f>
        <v>toymajoy</v>
      </c>
    </row>
    <row r="378" spans="1:10" ht="14.25" customHeight="1" x14ac:dyDescent="0.3">
      <c r="A378" s="2" t="s">
        <v>2861</v>
      </c>
      <c r="B378" s="2" t="s">
        <v>698</v>
      </c>
      <c r="C378" s="2">
        <v>1</v>
      </c>
      <c r="D378" t="str">
        <f>_xlfn.XLOOKUP(order_items!B378,products_2026!A:A,products_2026!C:C,,0,)</f>
        <v>Electronics</v>
      </c>
      <c r="E378">
        <f>_xlfn.XLOOKUP(B378,products_2026!A:A,products_2026!D:D,,0,)</f>
        <v>63.84</v>
      </c>
      <c r="F378">
        <f t="shared" si="5"/>
        <v>63.84</v>
      </c>
      <c r="G378" t="str">
        <f>_xlfn.XLOOKUP(B378,products_2026!A:A,products_2026!B:B,,0,)</f>
        <v>Noise Cancelling Headphones (Red)</v>
      </c>
      <c r="H378" t="str">
        <f>_xlfn.XLOOKUP(B378,products_2026!A:A,products_2026!E:E,,0,)</f>
        <v>SELL0088</v>
      </c>
      <c r="I378" t="str">
        <f>IFERROR(_xlfn.XLOOKUP(H378,sellers_2026!A:A,sellers_2026!G:G,,0,), "unknown/inactive")</f>
        <v>TAS</v>
      </c>
      <c r="J378" t="str">
        <f>_xlfn.XLOOKUP(H378,sellers_2026!A:A,sellers_2026!B:B,,0,)</f>
        <v>7ti9lfa6h5</v>
      </c>
    </row>
    <row r="379" spans="1:10" ht="14.25" customHeight="1" x14ac:dyDescent="0.3">
      <c r="A379" s="2" t="s">
        <v>2861</v>
      </c>
      <c r="B379" s="2" t="s">
        <v>831</v>
      </c>
      <c r="C379" s="2">
        <v>1</v>
      </c>
      <c r="D379" t="str">
        <f>_xlfn.XLOOKUP(order_items!B379,products_2026!A:A,products_2026!C:C,,0,)</f>
        <v>Home</v>
      </c>
      <c r="E379">
        <f>_xlfn.XLOOKUP(B379,products_2026!A:A,products_2026!D:D,,0,)</f>
        <v>75.400000000000006</v>
      </c>
      <c r="F379">
        <f t="shared" si="5"/>
        <v>75.400000000000006</v>
      </c>
      <c r="G379" t="str">
        <f>_xlfn.XLOOKUP(B379,products_2026!A:A,products_2026!B:B,,0,)</f>
        <v>Adjustable Dumbbell 8kg</v>
      </c>
      <c r="H379" t="str">
        <f>_xlfn.XLOOKUP(B379,products_2026!A:A,products_2026!E:E,,0,)</f>
        <v>SELL0090</v>
      </c>
      <c r="I379" t="str">
        <f>IFERROR(_xlfn.XLOOKUP(H379,sellers_2026!A:A,sellers_2026!G:G,,0,), "unknown/inactive")</f>
        <v>TAS</v>
      </c>
      <c r="J379" t="str">
        <f>_xlfn.XLOOKUP(H379,sellers_2026!A:A,sellers_2026!B:B,,0,)</f>
        <v>housenice</v>
      </c>
    </row>
    <row r="380" spans="1:10" ht="14.25" customHeight="1" x14ac:dyDescent="0.3">
      <c r="A380" s="2" t="s">
        <v>2862</v>
      </c>
      <c r="B380" s="2" t="s">
        <v>608</v>
      </c>
      <c r="C380" s="2">
        <v>1</v>
      </c>
      <c r="D380" t="str">
        <f>_xlfn.XLOOKUP(order_items!B380,products_2026!A:A,products_2026!C:C,,0,)</f>
        <v>Beauty</v>
      </c>
      <c r="E380">
        <f>_xlfn.XLOOKUP(B380,products_2026!A:A,products_2026!D:D,,0,)</f>
        <v>6.91</v>
      </c>
      <c r="F380">
        <f t="shared" si="5"/>
        <v>6.91</v>
      </c>
      <c r="G380" t="str">
        <f>_xlfn.XLOOKUP(B380,products_2026!A:A,products_2026!B:B,,0,)</f>
        <v>Aloe Vera Gel 200ml</v>
      </c>
      <c r="H380" t="str">
        <f>_xlfn.XLOOKUP(B380,products_2026!A:A,products_2026!E:E,,0,)</f>
        <v>SELL0083</v>
      </c>
      <c r="I380" t="str">
        <f>IFERROR(_xlfn.XLOOKUP(H380,sellers_2026!A:A,sellers_2026!G:G,,0,), "unknown/inactive")</f>
        <v>WA</v>
      </c>
      <c r="J380" t="str">
        <f>_xlfn.XLOOKUP(H380,sellers_2026!A:A,sellers_2026!B:B,,0,)</f>
        <v>makeupped</v>
      </c>
    </row>
    <row r="381" spans="1:10" ht="14.25" customHeight="1" x14ac:dyDescent="0.3">
      <c r="A381" s="2" t="s">
        <v>2863</v>
      </c>
      <c r="B381" s="2" t="s">
        <v>681</v>
      </c>
      <c r="C381" s="2">
        <v>1</v>
      </c>
      <c r="D381" t="str">
        <f>_xlfn.XLOOKUP(order_items!B381,products_2026!A:A,products_2026!C:C,,0,)</f>
        <v>Electronics</v>
      </c>
      <c r="E381">
        <f>_xlfn.XLOOKUP(B381,products_2026!A:A,products_2026!D:D,,0,)</f>
        <v>97.88</v>
      </c>
      <c r="F381">
        <f t="shared" si="5"/>
        <v>97.88</v>
      </c>
      <c r="G381" t="str">
        <f>_xlfn.XLOOKUP(B381,products_2026!A:A,products_2026!B:B,,0,)</f>
        <v>HD Webcam 1080p USB Desktop</v>
      </c>
      <c r="H381" t="str">
        <f>_xlfn.XLOOKUP(B381,products_2026!A:A,products_2026!E:E,,0,)</f>
        <v>SELL0024</v>
      </c>
      <c r="I381" t="str">
        <f>IFERROR(_xlfn.XLOOKUP(H381,sellers_2026!A:A,sellers_2026!G:G,,0,), "unknown/inactive")</f>
        <v>VIC</v>
      </c>
      <c r="J381" t="str">
        <f>_xlfn.XLOOKUP(H381,sellers_2026!A:A,sellers_2026!B:B,,0,)</f>
        <v>ELEC25B</v>
      </c>
    </row>
    <row r="382" spans="1:10" ht="14.25" customHeight="1" x14ac:dyDescent="0.3">
      <c r="A382" s="2" t="s">
        <v>2863</v>
      </c>
      <c r="B382" s="2" t="s">
        <v>779</v>
      </c>
      <c r="C382" s="2">
        <v>1</v>
      </c>
      <c r="D382" t="str">
        <f>_xlfn.XLOOKUP(order_items!B382,products_2026!A:A,products_2026!C:C,,0,)</f>
        <v>Beauty</v>
      </c>
      <c r="E382">
        <f>_xlfn.XLOOKUP(B382,products_2026!A:A,products_2026!D:D,,0,)</f>
        <v>13.58</v>
      </c>
      <c r="F382">
        <f t="shared" si="5"/>
        <v>13.58</v>
      </c>
      <c r="G382" t="str">
        <f>_xlfn.XLOOKUP(B382,products_2026!A:A,products_2026!B:B,,0,)</f>
        <v>Nail Polish - Midnight Sky</v>
      </c>
      <c r="H382" t="str">
        <f>_xlfn.XLOOKUP(B382,products_2026!A:A,products_2026!E:E,,0,)</f>
        <v>SELL0083</v>
      </c>
      <c r="I382" t="str">
        <f>IFERROR(_xlfn.XLOOKUP(H382,sellers_2026!A:A,sellers_2026!G:G,,0,), "unknown/inactive")</f>
        <v>WA</v>
      </c>
      <c r="J382" t="str">
        <f>_xlfn.XLOOKUP(H382,sellers_2026!A:A,sellers_2026!B:B,,0,)</f>
        <v>makeupped</v>
      </c>
    </row>
    <row r="383" spans="1:10" ht="14.25" customHeight="1" x14ac:dyDescent="0.3">
      <c r="A383" s="2" t="s">
        <v>2864</v>
      </c>
      <c r="B383" s="2" t="s">
        <v>499</v>
      </c>
      <c r="C383" s="2">
        <v>1</v>
      </c>
      <c r="D383" t="str">
        <f>_xlfn.XLOOKUP(order_items!B383,products_2026!A:A,products_2026!C:C,,0,)</f>
        <v>Jewellery</v>
      </c>
      <c r="E383">
        <f>_xlfn.XLOOKUP(B383,products_2026!A:A,products_2026!D:D,,0,)</f>
        <v>52.35</v>
      </c>
      <c r="F383">
        <f t="shared" si="5"/>
        <v>52.35</v>
      </c>
      <c r="G383" t="str">
        <f>_xlfn.XLOOKUP(B383,products_2026!A:A,products_2026!B:B,,0,)</f>
        <v>Sterling Silver 925 Stud Earrings Pair Ladybird</v>
      </c>
      <c r="H383" t="str">
        <f>_xlfn.XLOOKUP(B383,products_2026!A:A,products_2026!E:E,,0,)</f>
        <v>SELL0063</v>
      </c>
      <c r="I383" t="str">
        <f>IFERROR(_xlfn.XLOOKUP(H383,sellers_2026!A:A,sellers_2026!G:G,,0,), "unknown/inactive")</f>
        <v>SA</v>
      </c>
      <c r="J383" t="str">
        <f>_xlfn.XLOOKUP(H383,sellers_2026!A:A,sellers_2026!B:B,,0,)</f>
        <v>uqcoiiv4s9</v>
      </c>
    </row>
    <row r="384" spans="1:10" ht="14.25" customHeight="1" x14ac:dyDescent="0.3">
      <c r="A384" s="2" t="s">
        <v>2865</v>
      </c>
      <c r="B384" s="2" t="s">
        <v>921</v>
      </c>
      <c r="C384" s="2">
        <v>1</v>
      </c>
      <c r="D384" t="str">
        <f>_xlfn.XLOOKUP(order_items!B384,products_2026!A:A,products_2026!C:C,,0,)</f>
        <v>Outdoor</v>
      </c>
      <c r="E384">
        <f>_xlfn.XLOOKUP(B384,products_2026!A:A,products_2026!D:D,,0,)</f>
        <v>97.17</v>
      </c>
      <c r="F384">
        <f t="shared" si="5"/>
        <v>97.17</v>
      </c>
      <c r="G384" t="str">
        <f>_xlfn.XLOOKUP(B384,products_2026!A:A,products_2026!B:B,,0,)</f>
        <v>BBQ Apron - Red</v>
      </c>
      <c r="H384" t="str">
        <f>_xlfn.XLOOKUP(B384,products_2026!A:A,products_2026!E:E,,0,)</f>
        <v>SELL0093</v>
      </c>
      <c r="I384" t="str">
        <f>IFERROR(_xlfn.XLOOKUP(H384,sellers_2026!A:A,sellers_2026!G:G,,0,), "unknown/inactive")</f>
        <v>NT</v>
      </c>
      <c r="J384" t="str">
        <f>_xlfn.XLOOKUP(H384,sellers_2026!A:A,sellers_2026!B:B,,0,)</f>
        <v>millies-outdoor-shop</v>
      </c>
    </row>
    <row r="385" spans="1:10" ht="14.25" customHeight="1" x14ac:dyDescent="0.3">
      <c r="A385" s="2" t="s">
        <v>2866</v>
      </c>
      <c r="B385" s="2" t="s">
        <v>883</v>
      </c>
      <c r="C385" s="2">
        <v>1</v>
      </c>
      <c r="D385" t="str">
        <f>_xlfn.XLOOKUP(order_items!B385,products_2026!A:A,products_2026!C:C,,0,)</f>
        <v>Outdoor</v>
      </c>
      <c r="E385">
        <f>_xlfn.XLOOKUP(B385,products_2026!A:A,products_2026!D:D,,0,)</f>
        <v>81.02</v>
      </c>
      <c r="F385">
        <f t="shared" si="5"/>
        <v>81.02</v>
      </c>
      <c r="G385" t="str">
        <f>_xlfn.XLOOKUP(B385,products_2026!A:A,products_2026!B:B,,0,)</f>
        <v>BBQ Meat Thermometer Bluetooth</v>
      </c>
      <c r="H385" t="str">
        <f>_xlfn.XLOOKUP(B385,products_2026!A:A,products_2026!E:E,,0,)</f>
        <v>SELL0092</v>
      </c>
      <c r="I385" t="str">
        <f>IFERROR(_xlfn.XLOOKUP(H385,sellers_2026!A:A,sellers_2026!G:G,,0,), "unknown/inactive")</f>
        <v>VIC</v>
      </c>
      <c r="J385" t="str">
        <f>_xlfn.XLOOKUP(H385,sellers_2026!A:A,sellers_2026!B:B,,0,)</f>
        <v>dress4beauty</v>
      </c>
    </row>
    <row r="386" spans="1:10" ht="14.25" customHeight="1" x14ac:dyDescent="0.3">
      <c r="A386" s="2" t="s">
        <v>2867</v>
      </c>
      <c r="B386" s="2" t="s">
        <v>612</v>
      </c>
      <c r="C386" s="2">
        <v>1</v>
      </c>
      <c r="D386" t="str">
        <f>_xlfn.XLOOKUP(order_items!B386,products_2026!A:A,products_2026!C:C,,0,)</f>
        <v>Home</v>
      </c>
      <c r="E386">
        <f>_xlfn.XLOOKUP(B386,products_2026!A:A,products_2026!D:D,,0,)</f>
        <v>119.3</v>
      </c>
      <c r="F386">
        <f t="shared" si="5"/>
        <v>119.3</v>
      </c>
      <c r="G386" t="str">
        <f>_xlfn.XLOOKUP(B386,products_2026!A:A,products_2026!B:B,,0,)</f>
        <v>Memory Foam Pillow Medium Firm x 2</v>
      </c>
      <c r="H386" t="str">
        <f>_xlfn.XLOOKUP(B386,products_2026!A:A,products_2026!E:E,,0,)</f>
        <v>SELL0078</v>
      </c>
      <c r="I386" t="str">
        <f>IFERROR(_xlfn.XLOOKUP(H386,sellers_2026!A:A,sellers_2026!G:G,,0,), "unknown/inactive")</f>
        <v>TAS</v>
      </c>
      <c r="J386" t="str">
        <f>_xlfn.XLOOKUP(H386,sellers_2026!A:A,sellers_2026!B:B,,0,)</f>
        <v>r6vd2aojq8</v>
      </c>
    </row>
    <row r="387" spans="1:10" ht="14.25" customHeight="1" x14ac:dyDescent="0.3">
      <c r="A387" s="2" t="s">
        <v>2867</v>
      </c>
      <c r="B387" s="2" t="s">
        <v>849</v>
      </c>
      <c r="C387" s="2">
        <v>1</v>
      </c>
      <c r="D387" t="str">
        <f>_xlfn.XLOOKUP(order_items!B387,products_2026!A:A,products_2026!C:C,,0,)</f>
        <v>Home</v>
      </c>
      <c r="E387">
        <f>_xlfn.XLOOKUP(B387,products_2026!A:A,products_2026!D:D,,0,)</f>
        <v>21.89</v>
      </c>
      <c r="F387">
        <f t="shared" ref="F387:F450" si="6">C387*E387</f>
        <v>21.89</v>
      </c>
      <c r="G387" t="str">
        <f>_xlfn.XLOOKUP(B387,products_2026!A:A,products_2026!B:B,,0,)</f>
        <v>Decorative Cushion - Blue 60 x 60</v>
      </c>
      <c r="H387" t="str">
        <f>_xlfn.XLOOKUP(B387,products_2026!A:A,products_2026!E:E,,0,)</f>
        <v>SELL0091</v>
      </c>
      <c r="I387" t="str">
        <f>IFERROR(_xlfn.XLOOKUP(H387,sellers_2026!A:A,sellers_2026!G:G,,0,), "unknown/inactive")</f>
        <v>TAS</v>
      </c>
      <c r="J387" t="str">
        <f>_xlfn.XLOOKUP(H387,sellers_2026!A:A,sellers_2026!B:B,,0,)</f>
        <v>beautifullhome</v>
      </c>
    </row>
    <row r="388" spans="1:10" ht="14.25" customHeight="1" x14ac:dyDescent="0.3">
      <c r="A388" s="2" t="s">
        <v>2867</v>
      </c>
      <c r="B388" s="2" t="s">
        <v>893</v>
      </c>
      <c r="C388" s="2">
        <v>1</v>
      </c>
      <c r="D388" t="str">
        <f>_xlfn.XLOOKUP(order_items!B388,products_2026!A:A,products_2026!C:C,,0,)</f>
        <v>Clothes</v>
      </c>
      <c r="E388">
        <f>_xlfn.XLOOKUP(B388,products_2026!A:A,products_2026!D:D,,0,)</f>
        <v>64.84</v>
      </c>
      <c r="F388">
        <f t="shared" si="6"/>
        <v>64.84</v>
      </c>
      <c r="G388" t="str">
        <f>_xlfn.XLOOKUP(B388,products_2026!A:A,products_2026!B:B,,0,)</f>
        <v>Portable Camping Chair (Blue)</v>
      </c>
      <c r="H388" t="str">
        <f>_xlfn.XLOOKUP(B388,products_2026!A:A,products_2026!E:E,,0,)</f>
        <v>SELL0092</v>
      </c>
      <c r="I388" t="str">
        <f>IFERROR(_xlfn.XLOOKUP(H388,sellers_2026!A:A,sellers_2026!G:G,,0,), "unknown/inactive")</f>
        <v>VIC</v>
      </c>
      <c r="J388" t="str">
        <f>_xlfn.XLOOKUP(H388,sellers_2026!A:A,sellers_2026!B:B,,0,)</f>
        <v>dress4beauty</v>
      </c>
    </row>
    <row r="389" spans="1:10" ht="14.25" customHeight="1" x14ac:dyDescent="0.3">
      <c r="A389" s="2" t="s">
        <v>2868</v>
      </c>
      <c r="B389" s="2" t="s">
        <v>251</v>
      </c>
      <c r="C389" s="2">
        <v>1</v>
      </c>
      <c r="D389" t="str">
        <f>_xlfn.XLOOKUP(order_items!B389,products_2026!A:A,products_2026!C:C,,0,)</f>
        <v>Clothes</v>
      </c>
      <c r="E389">
        <f>_xlfn.XLOOKUP(B389,products_2026!A:A,products_2026!D:D,,0,)</f>
        <v>39.99</v>
      </c>
      <c r="F389">
        <f t="shared" si="6"/>
        <v>39.99</v>
      </c>
      <c r="G389" t="str">
        <f>_xlfn.XLOOKUP(B389,products_2026!A:A,products_2026!B:B,,0,)</f>
        <v>Cotton T‑Shirt Green XL</v>
      </c>
      <c r="H389" t="str">
        <f>_xlfn.XLOOKUP(B389,products_2026!A:A,products_2026!E:E,,0,)</f>
        <v>SELL0041</v>
      </c>
      <c r="I389" t="str">
        <f>IFERROR(_xlfn.XLOOKUP(H389,sellers_2026!A:A,sellers_2026!G:G,,0,), "unknown/inactive")</f>
        <v>NT</v>
      </c>
      <c r="J389" t="str">
        <f>_xlfn.XLOOKUP(H389,sellers_2026!A:A,sellers_2026!B:B,,0,)</f>
        <v>wcs62ctlxh</v>
      </c>
    </row>
    <row r="390" spans="1:10" ht="14.25" customHeight="1" x14ac:dyDescent="0.3">
      <c r="A390" s="2" t="s">
        <v>2869</v>
      </c>
      <c r="B390" s="2" t="s">
        <v>206</v>
      </c>
      <c r="C390" s="2">
        <v>1</v>
      </c>
      <c r="D390" t="str">
        <f>_xlfn.XLOOKUP(order_items!B390,products_2026!A:A,products_2026!C:C,,0,)</f>
        <v>Gift_Sets</v>
      </c>
      <c r="E390">
        <f>_xlfn.XLOOKUP(B390,products_2026!A:A,products_2026!D:D,,0,)</f>
        <v>19.89</v>
      </c>
      <c r="F390">
        <f t="shared" si="6"/>
        <v>19.89</v>
      </c>
      <c r="G390" t="str">
        <f>_xlfn.XLOOKUP(B390,products_2026!A:A,products_2026!B:B,,0,)</f>
        <v>Candle Trio Gift Set Lily</v>
      </c>
      <c r="H390" t="str">
        <f>_xlfn.XLOOKUP(B390,products_2026!A:A,products_2026!E:E,,0,)</f>
        <v>SELL0037</v>
      </c>
      <c r="I390" t="str">
        <f>IFERROR(_xlfn.XLOOKUP(H390,sellers_2026!A:A,sellers_2026!G:G,,0,), "unknown/inactive")</f>
        <v>VIC</v>
      </c>
      <c r="J390" t="str">
        <f>_xlfn.XLOOKUP(H390,sellers_2026!A:A,sellers_2026!B:B,,0,)</f>
        <v>storeshop</v>
      </c>
    </row>
    <row r="391" spans="1:10" ht="14.25" customHeight="1" x14ac:dyDescent="0.3">
      <c r="A391" s="2" t="s">
        <v>2870</v>
      </c>
      <c r="B391" s="2" t="s">
        <v>264</v>
      </c>
      <c r="C391" s="2">
        <v>1</v>
      </c>
      <c r="D391" t="str">
        <f>_xlfn.XLOOKUP(order_items!B391,products_2026!A:A,products_2026!C:C,,0,)</f>
        <v>Jewellery</v>
      </c>
      <c r="E391">
        <f>_xlfn.XLOOKUP(B391,products_2026!A:A,products_2026!D:D,,0,)</f>
        <v>13.16</v>
      </c>
      <c r="F391">
        <f t="shared" si="6"/>
        <v>13.16</v>
      </c>
      <c r="G391" t="str">
        <f>_xlfn.XLOOKUP(B391,products_2026!A:A,products_2026!B:B,,0,)</f>
        <v>Sterling Silver Necklace</v>
      </c>
      <c r="H391" t="str">
        <f>_xlfn.XLOOKUP(B391,products_2026!A:A,products_2026!E:E,,0,)</f>
        <v>SELL0042</v>
      </c>
      <c r="I391" t="str">
        <f>IFERROR(_xlfn.XLOOKUP(H391,sellers_2026!A:A,sellers_2026!G:G,,0,), "unknown/inactive")</f>
        <v>WA</v>
      </c>
      <c r="J391" t="str">
        <f>_xlfn.XLOOKUP(H391,sellers_2026!A:A,sellers_2026!B:B,,0,)</f>
        <v>beauty490</v>
      </c>
    </row>
    <row r="392" spans="1:10" ht="14.25" customHeight="1" x14ac:dyDescent="0.3">
      <c r="A392" s="2" t="s">
        <v>2871</v>
      </c>
      <c r="B392" s="2" t="s">
        <v>980</v>
      </c>
      <c r="C392" s="2">
        <v>1</v>
      </c>
      <c r="D392" t="str">
        <f>_xlfn.XLOOKUP(order_items!B392,products_2026!A:A,products_2026!C:C,,0,)</f>
        <v>Stationery</v>
      </c>
      <c r="E392">
        <f>_xlfn.XLOOKUP(B392,products_2026!A:A,products_2026!D:D,,0,)</f>
        <v>14.36</v>
      </c>
      <c r="F392">
        <f t="shared" si="6"/>
        <v>14.36</v>
      </c>
      <c r="G392" t="str">
        <f>_xlfn.XLOOKUP(B392,products_2026!A:A,products_2026!B:B,,0,)</f>
        <v>Premium Pencil Case (Black)</v>
      </c>
      <c r="H392" t="str">
        <f>_xlfn.XLOOKUP(B392,products_2026!A:A,products_2026!E:E,,0,)</f>
        <v>SELL0095</v>
      </c>
      <c r="I392" t="str">
        <f>IFERROR(_xlfn.XLOOKUP(H392,sellers_2026!A:A,sellers_2026!G:G,,0,), "unknown/inactive")</f>
        <v>TAS</v>
      </c>
      <c r="J392" t="str">
        <f>_xlfn.XLOOKUP(H392,sellers_2026!A:A,sellers_2026!B:B,,0,)</f>
        <v>toybuy</v>
      </c>
    </row>
    <row r="393" spans="1:10" ht="14.25" customHeight="1" x14ac:dyDescent="0.3">
      <c r="A393" s="2" t="s">
        <v>2872</v>
      </c>
      <c r="B393" s="2" t="s">
        <v>173</v>
      </c>
      <c r="C393" s="2">
        <v>1</v>
      </c>
      <c r="D393" t="str">
        <f>_xlfn.XLOOKUP(order_items!B393,products_2026!A:A,products_2026!C:C,,0,)</f>
        <v>Toys</v>
      </c>
      <c r="E393">
        <f>_xlfn.XLOOKUP(B393,products_2026!A:A,products_2026!D:D,,0,)</f>
        <v>23.3</v>
      </c>
      <c r="F393">
        <f t="shared" si="6"/>
        <v>23.3</v>
      </c>
      <c r="G393" t="str">
        <f>_xlfn.XLOOKUP(B393,products_2026!A:A,products_2026!B:B,,0,)</f>
        <v>Car Controlled Phone Remote</v>
      </c>
      <c r="H393" t="str">
        <f>_xlfn.XLOOKUP(B393,products_2026!A:A,products_2026!E:E,,0,)</f>
        <v>SELL0034</v>
      </c>
      <c r="I393" t="str">
        <f>IFERROR(_xlfn.XLOOKUP(H393,sellers_2026!A:A,sellers_2026!G:G,,0,), "unknown/inactive")</f>
        <v>NT</v>
      </c>
      <c r="J393" t="str">
        <f>_xlfn.XLOOKUP(H393,sellers_2026!A:A,sellers_2026!B:B,,0,)</f>
        <v>outer40</v>
      </c>
    </row>
    <row r="394" spans="1:10" ht="14.25" customHeight="1" x14ac:dyDescent="0.3">
      <c r="A394" s="2" t="s">
        <v>2872</v>
      </c>
      <c r="B394" s="2" t="s">
        <v>208</v>
      </c>
      <c r="C394" s="2">
        <v>1</v>
      </c>
      <c r="D394" t="str">
        <f>_xlfn.XLOOKUP(order_items!B394,products_2026!A:A,products_2026!C:C,,0,)</f>
        <v>Stationery</v>
      </c>
      <c r="E394">
        <f>_xlfn.XLOOKUP(B394,products_2026!A:A,products_2026!D:D,,0,)</f>
        <v>6.78</v>
      </c>
      <c r="F394">
        <f t="shared" si="6"/>
        <v>6.78</v>
      </c>
      <c r="G394" t="str">
        <f>_xlfn.XLOOKUP(B394,products_2026!A:A,products_2026!B:B,,0,)</f>
        <v>Metal Ruler 30cm</v>
      </c>
      <c r="H394" t="str">
        <f>_xlfn.XLOOKUP(B394,products_2026!A:A,products_2026!E:E,,0,)</f>
        <v>SELL0037</v>
      </c>
      <c r="I394" t="str">
        <f>IFERROR(_xlfn.XLOOKUP(H394,sellers_2026!A:A,sellers_2026!G:G,,0,), "unknown/inactive")</f>
        <v>VIC</v>
      </c>
      <c r="J394" t="str">
        <f>_xlfn.XLOOKUP(H394,sellers_2026!A:A,sellers_2026!B:B,,0,)</f>
        <v>storeshop</v>
      </c>
    </row>
    <row r="395" spans="1:10" ht="14.25" customHeight="1" x14ac:dyDescent="0.3">
      <c r="A395" s="2" t="s">
        <v>2873</v>
      </c>
      <c r="B395" s="2" t="s">
        <v>300</v>
      </c>
      <c r="C395" s="2">
        <v>2</v>
      </c>
      <c r="D395" t="str">
        <f>_xlfn.XLOOKUP(order_items!B395,products_2026!A:A,products_2026!C:C,,0,)</f>
        <v>Jewellery</v>
      </c>
      <c r="E395">
        <f>_xlfn.XLOOKUP(B395,products_2026!A:A,products_2026!D:D,,0,)</f>
        <v>13.79</v>
      </c>
      <c r="F395">
        <f t="shared" si="6"/>
        <v>27.58</v>
      </c>
      <c r="G395" t="str">
        <f>_xlfn.XLOOKUP(B395,products_2026!A:A,products_2026!B:B,,0,)</f>
        <v>Charm Bracelet gold</v>
      </c>
      <c r="H395" t="str">
        <f>_xlfn.XLOOKUP(B395,products_2026!A:A,products_2026!E:E,,0,)</f>
        <v>SELL0046</v>
      </c>
      <c r="I395" t="str">
        <f>IFERROR(_xlfn.XLOOKUP(H395,sellers_2026!A:A,sellers_2026!G:G,,0,), "unknown/inactive")</f>
        <v>TAS</v>
      </c>
      <c r="J395" t="str">
        <f>_xlfn.XLOOKUP(H395,sellers_2026!A:A,sellers_2026!B:B,,0,)</f>
        <v>find_what_u_need</v>
      </c>
    </row>
    <row r="396" spans="1:10" ht="14.25" customHeight="1" x14ac:dyDescent="0.3">
      <c r="A396" s="2" t="s">
        <v>2873</v>
      </c>
      <c r="B396" s="2" t="s">
        <v>365</v>
      </c>
      <c r="C396" s="2">
        <v>1</v>
      </c>
      <c r="D396" t="str">
        <f>_xlfn.XLOOKUP(order_items!B396,products_2026!A:A,products_2026!C:C,,0,)</f>
        <v>Beauty</v>
      </c>
      <c r="E396">
        <f>_xlfn.XLOOKUP(B396,products_2026!A:A,products_2026!D:D,,0,)</f>
        <v>23.68</v>
      </c>
      <c r="F396">
        <f t="shared" si="6"/>
        <v>23.68</v>
      </c>
      <c r="G396" t="str">
        <f>_xlfn.XLOOKUP(B396,products_2026!A:A,products_2026!B:B,,0,)</f>
        <v>Pendant Necklace Silver</v>
      </c>
      <c r="H396" t="str">
        <f>_xlfn.XLOOKUP(B396,products_2026!A:A,products_2026!E:E,,0,)</f>
        <v>SELL0055</v>
      </c>
      <c r="I396" t="str">
        <f>IFERROR(_xlfn.XLOOKUP(H396,sellers_2026!A:A,sellers_2026!G:G,,0,), "unknown/inactive")</f>
        <v>NSW</v>
      </c>
      <c r="J396" t="str">
        <f>_xlfn.XLOOKUP(H396,sellers_2026!A:A,sellers_2026!B:B,,0,)</f>
        <v>hill25doors</v>
      </c>
    </row>
    <row r="397" spans="1:10" ht="14.25" customHeight="1" x14ac:dyDescent="0.3">
      <c r="A397" s="2" t="s">
        <v>2874</v>
      </c>
      <c r="B397" s="2" t="s">
        <v>855</v>
      </c>
      <c r="C397" s="2">
        <v>2</v>
      </c>
      <c r="D397" t="str">
        <f>_xlfn.XLOOKUP(order_items!B397,products_2026!A:A,products_2026!C:C,,0,)</f>
        <v>Home</v>
      </c>
      <c r="E397">
        <f>_xlfn.XLOOKUP(B397,products_2026!A:A,products_2026!D:D,,0,)</f>
        <v>66.88</v>
      </c>
      <c r="F397">
        <f t="shared" si="6"/>
        <v>133.76</v>
      </c>
      <c r="G397" t="str">
        <f>_xlfn.XLOOKUP(B397,products_2026!A:A,products_2026!B:B,,0,)</f>
        <v>Wall Clock - Minimalist (Blue)</v>
      </c>
      <c r="H397" t="str">
        <f>_xlfn.XLOOKUP(B397,products_2026!A:A,products_2026!E:E,,0,)</f>
        <v>SELL0091</v>
      </c>
      <c r="I397" t="str">
        <f>IFERROR(_xlfn.XLOOKUP(H397,sellers_2026!A:A,sellers_2026!G:G,,0,), "unknown/inactive")</f>
        <v>TAS</v>
      </c>
      <c r="J397" t="str">
        <f>_xlfn.XLOOKUP(H397,sellers_2026!A:A,sellers_2026!B:B,,0,)</f>
        <v>beautifullhome</v>
      </c>
    </row>
    <row r="398" spans="1:10" ht="14.25" customHeight="1" x14ac:dyDescent="0.3">
      <c r="A398" s="2" t="s">
        <v>2875</v>
      </c>
      <c r="B398" s="2" t="s">
        <v>202</v>
      </c>
      <c r="C398" s="2">
        <v>1</v>
      </c>
      <c r="D398" t="str">
        <f>_xlfn.XLOOKUP(order_items!B398,products_2026!A:A,products_2026!C:C,,0,)</f>
        <v>Gift_Sets</v>
      </c>
      <c r="E398">
        <f>_xlfn.XLOOKUP(B398,products_2026!A:A,products_2026!D:D,,0,)</f>
        <v>39.36</v>
      </c>
      <c r="F398">
        <f t="shared" si="6"/>
        <v>39.36</v>
      </c>
      <c r="G398" t="str">
        <f>_xlfn.XLOOKUP(B398,products_2026!A:A,products_2026!B:B,,0,)</f>
        <v>Mini Plant Starter Kit (Tulip)</v>
      </c>
      <c r="H398" t="str">
        <f>_xlfn.XLOOKUP(B398,products_2026!A:A,products_2026!E:E,,0,)</f>
        <v>SELL0037</v>
      </c>
      <c r="I398" t="str">
        <f>IFERROR(_xlfn.XLOOKUP(H398,sellers_2026!A:A,sellers_2026!G:G,,0,), "unknown/inactive")</f>
        <v>VIC</v>
      </c>
      <c r="J398" t="str">
        <f>_xlfn.XLOOKUP(H398,sellers_2026!A:A,sellers_2026!B:B,,0,)</f>
        <v>storeshop</v>
      </c>
    </row>
    <row r="399" spans="1:10" ht="14.25" customHeight="1" x14ac:dyDescent="0.3">
      <c r="A399" s="2" t="s">
        <v>2875</v>
      </c>
      <c r="B399" s="2" t="s">
        <v>311</v>
      </c>
      <c r="C399" s="2">
        <v>1</v>
      </c>
      <c r="D399" t="str">
        <f>_xlfn.XLOOKUP(order_items!B399,products_2026!A:A,products_2026!C:C,,0,)</f>
        <v>Toys</v>
      </c>
      <c r="E399">
        <f>_xlfn.XLOOKUP(B399,products_2026!A:A,products_2026!D:D,,0,)</f>
        <v>12.31</v>
      </c>
      <c r="F399">
        <f t="shared" si="6"/>
        <v>12.31</v>
      </c>
      <c r="G399" t="str">
        <f>_xlfn.XLOOKUP(B399,products_2026!A:A,products_2026!B:B,,0,)</f>
        <v>Kite Glitter</v>
      </c>
      <c r="H399" t="str">
        <f>_xlfn.XLOOKUP(B399,products_2026!A:A,products_2026!E:E,,0,)</f>
        <v>SELL0047</v>
      </c>
      <c r="I399" t="str">
        <f>IFERROR(_xlfn.XLOOKUP(H399,sellers_2026!A:A,sellers_2026!G:G,,0,), "unknown/inactive")</f>
        <v>NT</v>
      </c>
      <c r="J399" t="str">
        <f>_xlfn.XLOOKUP(H399,sellers_2026!A:A,sellers_2026!B:B,,0,)</f>
        <v>toymajoy</v>
      </c>
    </row>
    <row r="400" spans="1:10" ht="14.25" customHeight="1" x14ac:dyDescent="0.3">
      <c r="A400" s="2" t="s">
        <v>2876</v>
      </c>
      <c r="B400" s="2" t="s">
        <v>260</v>
      </c>
      <c r="C400" s="2">
        <v>1</v>
      </c>
      <c r="D400" t="str">
        <f>_xlfn.XLOOKUP(order_items!B400,products_2026!A:A,products_2026!C:C,,0,)</f>
        <v>Clothes</v>
      </c>
      <c r="E400">
        <f>_xlfn.XLOOKUP(B400,products_2026!A:A,products_2026!D:D,,0,)</f>
        <v>41.73</v>
      </c>
      <c r="F400">
        <f t="shared" si="6"/>
        <v>41.73</v>
      </c>
      <c r="G400" t="str">
        <f>_xlfn.XLOOKUP(B400,products_2026!A:A,products_2026!B:B,,0,)</f>
        <v>Rain Jacket Red L</v>
      </c>
      <c r="H400" t="str">
        <f>_xlfn.XLOOKUP(B400,products_2026!A:A,products_2026!E:E,,0,)</f>
        <v>SELL0042</v>
      </c>
      <c r="I400" t="str">
        <f>IFERROR(_xlfn.XLOOKUP(H400,sellers_2026!A:A,sellers_2026!G:G,,0,), "unknown/inactive")</f>
        <v>WA</v>
      </c>
      <c r="J400" t="str">
        <f>_xlfn.XLOOKUP(H400,sellers_2026!A:A,sellers_2026!B:B,,0,)</f>
        <v>beauty490</v>
      </c>
    </row>
    <row r="401" spans="1:10" ht="14.25" customHeight="1" x14ac:dyDescent="0.3">
      <c r="A401" s="2" t="s">
        <v>2877</v>
      </c>
      <c r="B401" s="2" t="s">
        <v>164</v>
      </c>
      <c r="C401" s="2">
        <v>1</v>
      </c>
      <c r="D401" t="str">
        <f>_xlfn.XLOOKUP(order_items!B401,products_2026!A:A,products_2026!C:C,,0,)</f>
        <v>Electronics</v>
      </c>
      <c r="E401">
        <f>_xlfn.XLOOKUP(B401,products_2026!A:A,products_2026!D:D,,0,)</f>
        <v>109.54</v>
      </c>
      <c r="F401">
        <f t="shared" si="6"/>
        <v>109.54</v>
      </c>
      <c r="G401" t="str">
        <f>_xlfn.XLOOKUP(B401,products_2026!A:A,products_2026!B:B,,0,)</f>
        <v>Wireless Keyboard Premium</v>
      </c>
      <c r="H401" t="str">
        <f>_xlfn.XLOOKUP(B401,products_2026!A:A,products_2026!E:E,,0,)</f>
        <v>SELL0033</v>
      </c>
      <c r="I401" t="str">
        <f>IFERROR(_xlfn.XLOOKUP(H401,sellers_2026!A:A,sellers_2026!G:G,,0,), "unknown/inactive")</f>
        <v>NSW</v>
      </c>
      <c r="J401" t="str">
        <f>_xlfn.XLOOKUP(H401,sellers_2026!A:A,sellers_2026!B:B,,0,)</f>
        <v>1bt8plshsf</v>
      </c>
    </row>
    <row r="402" spans="1:10" ht="14.25" customHeight="1" x14ac:dyDescent="0.3">
      <c r="A402" s="2" t="s">
        <v>2877</v>
      </c>
      <c r="B402" s="2" t="s">
        <v>284</v>
      </c>
      <c r="C402" s="2">
        <v>1</v>
      </c>
      <c r="D402" t="str">
        <f>_xlfn.XLOOKUP(order_items!B402,products_2026!A:A,products_2026!C:C,,0,)</f>
        <v>Clothes</v>
      </c>
      <c r="E402">
        <f>_xlfn.XLOOKUP(B402,products_2026!A:A,products_2026!D:D,,0,)</f>
        <v>53.17</v>
      </c>
      <c r="F402">
        <f t="shared" si="6"/>
        <v>53.17</v>
      </c>
      <c r="G402" t="str">
        <f>_xlfn.XLOOKUP(B402,products_2026!A:A,products_2026!B:B,,0,)</f>
        <v>Unisex Hoodie - Black XXL</v>
      </c>
      <c r="H402" t="str">
        <f>_xlfn.XLOOKUP(B402,products_2026!A:A,products_2026!E:E,,0,)</f>
        <v>SELL0044</v>
      </c>
      <c r="I402" t="str">
        <f>IFERROR(_xlfn.XLOOKUP(H402,sellers_2026!A:A,sellers_2026!G:G,,0,), "unknown/inactive")</f>
        <v>QLD</v>
      </c>
      <c r="J402" t="str">
        <f>_xlfn.XLOOKUP(H402,sellers_2026!A:A,sellers_2026!B:B,,0,)</f>
        <v>everything_nmore</v>
      </c>
    </row>
    <row r="403" spans="1:10" ht="14.25" customHeight="1" x14ac:dyDescent="0.3">
      <c r="A403" s="2" t="s">
        <v>2878</v>
      </c>
      <c r="B403" s="2" t="s">
        <v>465</v>
      </c>
      <c r="C403" s="2">
        <v>1</v>
      </c>
      <c r="D403" t="str">
        <f>_xlfn.XLOOKUP(order_items!B403,products_2026!A:A,products_2026!C:C,,0,)</f>
        <v>Toys</v>
      </c>
      <c r="E403">
        <f>_xlfn.XLOOKUP(B403,products_2026!A:A,products_2026!D:D,,0,)</f>
        <v>24.19</v>
      </c>
      <c r="F403">
        <f t="shared" si="6"/>
        <v>24.19</v>
      </c>
      <c r="G403" t="str">
        <f>_xlfn.XLOOKUP(B403,products_2026!A:A,products_2026!B:B,,0,)</f>
        <v>Light up lawnmower AI powered</v>
      </c>
      <c r="H403" t="str">
        <f>_xlfn.XLOOKUP(B403,products_2026!A:A,products_2026!E:E,,0,)</f>
        <v>SELL0067</v>
      </c>
      <c r="I403" t="str">
        <f>IFERROR(_xlfn.XLOOKUP(H403,sellers_2026!A:A,sellers_2026!G:G,,0,), "unknown/inactive")</f>
        <v>WA</v>
      </c>
      <c r="J403" t="str">
        <f>_xlfn.XLOOKUP(H403,sellers_2026!A:A,sellers_2026!B:B,,0,)</f>
        <v>w71bv3mee1</v>
      </c>
    </row>
    <row r="404" spans="1:10" ht="14.25" customHeight="1" x14ac:dyDescent="0.3">
      <c r="A404" s="2" t="s">
        <v>2878</v>
      </c>
      <c r="B404" s="2" t="s">
        <v>953</v>
      </c>
      <c r="C404" s="2">
        <v>1</v>
      </c>
      <c r="D404" t="str">
        <f>_xlfn.XLOOKUP(order_items!B404,products_2026!A:A,products_2026!C:C,,0,)</f>
        <v>Outdoor</v>
      </c>
      <c r="E404">
        <f>_xlfn.XLOOKUP(B404,products_2026!A:A,products_2026!D:D,,0,)</f>
        <v>60.6</v>
      </c>
      <c r="F404">
        <f t="shared" si="6"/>
        <v>60.6</v>
      </c>
      <c r="G404" t="str">
        <f>_xlfn.XLOOKUP(B404,products_2026!A:A,products_2026!B:B,,0,)</f>
        <v>BBQ Grill Mat - Non‑stick (Blue)</v>
      </c>
      <c r="H404" t="str">
        <f>_xlfn.XLOOKUP(B404,products_2026!A:A,products_2026!E:E,,0,)</f>
        <v>SELL0093</v>
      </c>
      <c r="I404" t="str">
        <f>IFERROR(_xlfn.XLOOKUP(H404,sellers_2026!A:A,sellers_2026!G:G,,0,), "unknown/inactive")</f>
        <v>NT</v>
      </c>
      <c r="J404" t="str">
        <f>_xlfn.XLOOKUP(H404,sellers_2026!A:A,sellers_2026!B:B,,0,)</f>
        <v>millies-outdoor-shop</v>
      </c>
    </row>
    <row r="405" spans="1:10" ht="14.25" customHeight="1" x14ac:dyDescent="0.3">
      <c r="A405" s="2" t="s">
        <v>2879</v>
      </c>
      <c r="B405" s="2" t="s">
        <v>879</v>
      </c>
      <c r="C405" s="2">
        <v>1</v>
      </c>
      <c r="D405" t="str">
        <f>_xlfn.XLOOKUP(order_items!B405,products_2026!A:A,products_2026!C:C,,0,)</f>
        <v>Jewellery</v>
      </c>
      <c r="E405">
        <f>_xlfn.XLOOKUP(B405,products_2026!A:A,products_2026!D:D,,0,)</f>
        <v>21.1</v>
      </c>
      <c r="F405">
        <f t="shared" si="6"/>
        <v>21.1</v>
      </c>
      <c r="G405" t="str">
        <f>_xlfn.XLOOKUP(B405,products_2026!A:A,products_2026!B:B,,0,)</f>
        <v>Gold-plated Hoop Earrings Crystal Clip</v>
      </c>
      <c r="H405" t="str">
        <f>_xlfn.XLOOKUP(B405,products_2026!A:A,products_2026!E:E,,0,)</f>
        <v>SELL0092</v>
      </c>
      <c r="I405" t="str">
        <f>IFERROR(_xlfn.XLOOKUP(H405,sellers_2026!A:A,sellers_2026!G:G,,0,), "unknown/inactive")</f>
        <v>VIC</v>
      </c>
      <c r="J405" t="str">
        <f>_xlfn.XLOOKUP(H405,sellers_2026!A:A,sellers_2026!B:B,,0,)</f>
        <v>dress4beauty</v>
      </c>
    </row>
    <row r="406" spans="1:10" ht="14.25" customHeight="1" x14ac:dyDescent="0.3">
      <c r="A406" s="2" t="s">
        <v>2880</v>
      </c>
      <c r="B406" s="2" t="s">
        <v>189</v>
      </c>
      <c r="C406" s="2">
        <v>1</v>
      </c>
      <c r="D406" t="str">
        <f>_xlfn.XLOOKUP(order_items!B406,products_2026!A:A,products_2026!C:C,,0,)</f>
        <v>Outdoor</v>
      </c>
      <c r="E406">
        <f>_xlfn.XLOOKUP(B406,products_2026!A:A,products_2026!D:D,,0,)</f>
        <v>49.99</v>
      </c>
      <c r="F406">
        <f t="shared" si="6"/>
        <v>49.99</v>
      </c>
      <c r="G406" t="str">
        <f>_xlfn.XLOOKUP(B406,products_2026!A:A,products_2026!B:B,,0,)</f>
        <v>Wood Chips Smoked Mesquite Premium</v>
      </c>
      <c r="H406" t="str">
        <f>_xlfn.XLOOKUP(B406,products_2026!A:A,products_2026!E:E,,0,)</f>
        <v>SELL0036</v>
      </c>
      <c r="I406" t="str">
        <f>IFERROR(_xlfn.XLOOKUP(H406,sellers_2026!A:A,sellers_2026!G:G,,0,), "unknown/inactive")</f>
        <v>NT</v>
      </c>
      <c r="J406" t="str">
        <f>_xlfn.XLOOKUP(H406,sellers_2026!A:A,sellers_2026!B:B,,0,)</f>
        <v>goodqualityemporium</v>
      </c>
    </row>
    <row r="407" spans="1:10" ht="14.25" customHeight="1" x14ac:dyDescent="0.3">
      <c r="A407" s="2" t="s">
        <v>2881</v>
      </c>
      <c r="B407" s="2" t="s">
        <v>439</v>
      </c>
      <c r="C407" s="2">
        <v>1</v>
      </c>
      <c r="D407" t="str">
        <f>_xlfn.XLOOKUP(order_items!B407,products_2026!A:A,products_2026!C:C,,0,)</f>
        <v>Jewellery</v>
      </c>
      <c r="E407">
        <f>_xlfn.XLOOKUP(B407,products_2026!A:A,products_2026!D:D,,0,)</f>
        <v>24.7</v>
      </c>
      <c r="F407">
        <f t="shared" si="6"/>
        <v>24.7</v>
      </c>
      <c r="G407" t="str">
        <f>_xlfn.XLOOKUP(B407,products_2026!A:A,products_2026!B:B,,0,)</f>
        <v>antique bronze necklace owl vintage</v>
      </c>
      <c r="H407" t="str">
        <f>_xlfn.XLOOKUP(B407,products_2026!A:A,products_2026!E:E,,0,)</f>
        <v>SELL0062</v>
      </c>
      <c r="I407" t="str">
        <f>IFERROR(_xlfn.XLOOKUP(H407,sellers_2026!A:A,sellers_2026!G:G,,0,), "unknown/inactive")</f>
        <v>QLD</v>
      </c>
      <c r="J407" t="str">
        <f>_xlfn.XLOOKUP(H407,sellers_2026!A:A,sellers_2026!B:B,,0,)</f>
        <v>queenslandqweenie</v>
      </c>
    </row>
    <row r="408" spans="1:10" ht="14.25" customHeight="1" x14ac:dyDescent="0.3">
      <c r="A408" s="2" t="s">
        <v>2882</v>
      </c>
      <c r="B408" s="2" t="s">
        <v>60</v>
      </c>
      <c r="C408" s="2">
        <v>1</v>
      </c>
      <c r="D408" t="str">
        <f>_xlfn.XLOOKUP(order_items!B408,products_2026!A:A,products_2026!C:C,,0,)</f>
        <v>Outdoor</v>
      </c>
      <c r="E408">
        <f>_xlfn.XLOOKUP(B408,products_2026!A:A,products_2026!D:D,,0,)</f>
        <v>40.119999999999997</v>
      </c>
      <c r="F408">
        <f t="shared" si="6"/>
        <v>40.119999999999997</v>
      </c>
      <c r="G408" t="str">
        <f>_xlfn.XLOOKUP(B408,products_2026!A:A,products_2026!B:B,,0,)</f>
        <v>Waterproof Picnic Mat 100x100</v>
      </c>
      <c r="H408" t="str">
        <f>_xlfn.XLOOKUP(B408,products_2026!A:A,products_2026!E:E,,0,)</f>
        <v>SELL0016</v>
      </c>
      <c r="I408" t="str">
        <f>IFERROR(_xlfn.XLOOKUP(H408,sellers_2026!A:A,sellers_2026!G:G,,0,), "unknown/inactive")</f>
        <v>TAS</v>
      </c>
      <c r="J408" t="str">
        <f>_xlfn.XLOOKUP(H408,sellers_2026!A:A,sellers_2026!B:B,,0,)</f>
        <v>abracadabra_002</v>
      </c>
    </row>
    <row r="409" spans="1:10" ht="14.25" customHeight="1" x14ac:dyDescent="0.3">
      <c r="A409" s="2" t="s">
        <v>2882</v>
      </c>
      <c r="B409" s="2" t="s">
        <v>472</v>
      </c>
      <c r="C409" s="2">
        <v>1</v>
      </c>
      <c r="D409" t="str">
        <f>_xlfn.XLOOKUP(order_items!B409,products_2026!A:A,products_2026!C:C,,0,)</f>
        <v>Outdoor</v>
      </c>
      <c r="E409">
        <f>_xlfn.XLOOKUP(B409,products_2026!A:A,products_2026!D:D,,0,)</f>
        <v>72.790000000000006</v>
      </c>
      <c r="F409">
        <f t="shared" si="6"/>
        <v>72.790000000000006</v>
      </c>
      <c r="G409" t="str">
        <f>_xlfn.XLOOKUP(B409,products_2026!A:A,products_2026!B:B,,0,)</f>
        <v>BBQ Cleaning Brush XXL</v>
      </c>
      <c r="H409" t="str">
        <f>_xlfn.XLOOKUP(B409,products_2026!A:A,products_2026!E:E,,0,)</f>
        <v>SELL0067</v>
      </c>
      <c r="I409" t="str">
        <f>IFERROR(_xlfn.XLOOKUP(H409,sellers_2026!A:A,sellers_2026!G:G,,0,), "unknown/inactive")</f>
        <v>WA</v>
      </c>
      <c r="J409" t="str">
        <f>_xlfn.XLOOKUP(H409,sellers_2026!A:A,sellers_2026!B:B,,0,)</f>
        <v>w71bv3mee1</v>
      </c>
    </row>
    <row r="410" spans="1:10" ht="14.25" customHeight="1" x14ac:dyDescent="0.3">
      <c r="A410" s="2" t="s">
        <v>2883</v>
      </c>
      <c r="B410" s="2" t="s">
        <v>834</v>
      </c>
      <c r="C410" s="2">
        <v>1</v>
      </c>
      <c r="D410" t="str">
        <f>_xlfn.XLOOKUP(order_items!B410,products_2026!A:A,products_2026!C:C,,0,)</f>
        <v>Home</v>
      </c>
      <c r="E410">
        <f>_xlfn.XLOOKUP(B410,products_2026!A:A,products_2026!D:D,,0,)</f>
        <v>15.21</v>
      </c>
      <c r="F410">
        <f t="shared" si="6"/>
        <v>15.21</v>
      </c>
      <c r="G410" t="str">
        <f>_xlfn.XLOOKUP(B410,products_2026!A:A,products_2026!B:B,,0,)</f>
        <v>LED Floor Lamp</v>
      </c>
      <c r="H410" t="str">
        <f>_xlfn.XLOOKUP(B410,products_2026!A:A,products_2026!E:E,,0,)</f>
        <v>SELL0090</v>
      </c>
      <c r="I410" t="str">
        <f>IFERROR(_xlfn.XLOOKUP(H410,sellers_2026!A:A,sellers_2026!G:G,,0,), "unknown/inactive")</f>
        <v>TAS</v>
      </c>
      <c r="J410" t="str">
        <f>_xlfn.XLOOKUP(H410,sellers_2026!A:A,sellers_2026!B:B,,0,)</f>
        <v>housenice</v>
      </c>
    </row>
    <row r="411" spans="1:10" ht="14.25" customHeight="1" x14ac:dyDescent="0.3">
      <c r="A411" s="2" t="s">
        <v>2884</v>
      </c>
      <c r="B411" s="2" t="s">
        <v>269</v>
      </c>
      <c r="C411" s="2">
        <v>1</v>
      </c>
      <c r="D411" t="str">
        <f>_xlfn.XLOOKUP(order_items!B411,products_2026!A:A,products_2026!C:C,,0,)</f>
        <v>Clothes</v>
      </c>
      <c r="E411">
        <f>_xlfn.XLOOKUP(B411,products_2026!A:A,products_2026!D:D,,0,)</f>
        <v>37.79</v>
      </c>
      <c r="F411">
        <f t="shared" si="6"/>
        <v>37.79</v>
      </c>
      <c r="G411" t="str">
        <f>_xlfn.XLOOKUP(B411,products_2026!A:A,products_2026!B:B,,0,)</f>
        <v>Kids Cotton Pyjamas 18month</v>
      </c>
      <c r="H411" t="str">
        <f>_xlfn.XLOOKUP(B411,products_2026!A:A,products_2026!E:E,,0,)</f>
        <v>SELL0043</v>
      </c>
      <c r="I411" t="str">
        <f>IFERROR(_xlfn.XLOOKUP(H411,sellers_2026!A:A,sellers_2026!G:G,,0,), "unknown/inactive")</f>
        <v>WA</v>
      </c>
      <c r="J411" t="str">
        <f>_xlfn.XLOOKUP(H411,sellers_2026!A:A,sellers_2026!B:B,,0,)</f>
        <v>g9x1rt9dw8</v>
      </c>
    </row>
    <row r="412" spans="1:10" ht="14.25" customHeight="1" x14ac:dyDescent="0.3">
      <c r="A412" s="2" t="s">
        <v>2884</v>
      </c>
      <c r="B412" s="2" t="s">
        <v>311</v>
      </c>
      <c r="C412" s="2">
        <v>1</v>
      </c>
      <c r="D412" t="str">
        <f>_xlfn.XLOOKUP(order_items!B412,products_2026!A:A,products_2026!C:C,,0,)</f>
        <v>Toys</v>
      </c>
      <c r="E412">
        <f>_xlfn.XLOOKUP(B412,products_2026!A:A,products_2026!D:D,,0,)</f>
        <v>12.31</v>
      </c>
      <c r="F412">
        <f t="shared" si="6"/>
        <v>12.31</v>
      </c>
      <c r="G412" t="str">
        <f>_xlfn.XLOOKUP(B412,products_2026!A:A,products_2026!B:B,,0,)</f>
        <v>Kite Glitter</v>
      </c>
      <c r="H412" t="str">
        <f>_xlfn.XLOOKUP(B412,products_2026!A:A,products_2026!E:E,,0,)</f>
        <v>SELL0047</v>
      </c>
      <c r="I412" t="str">
        <f>IFERROR(_xlfn.XLOOKUP(H412,sellers_2026!A:A,sellers_2026!G:G,,0,), "unknown/inactive")</f>
        <v>NT</v>
      </c>
      <c r="J412" t="str">
        <f>_xlfn.XLOOKUP(H412,sellers_2026!A:A,sellers_2026!B:B,,0,)</f>
        <v>toymajoy</v>
      </c>
    </row>
    <row r="413" spans="1:10" ht="14.25" customHeight="1" x14ac:dyDescent="0.3">
      <c r="A413" s="2" t="s">
        <v>2884</v>
      </c>
      <c r="B413" s="2" t="s">
        <v>851</v>
      </c>
      <c r="C413" s="2">
        <v>1</v>
      </c>
      <c r="D413" t="str">
        <f>_xlfn.XLOOKUP(order_items!B413,products_2026!A:A,products_2026!C:C,,0,)</f>
        <v>Home</v>
      </c>
      <c r="E413">
        <f>_xlfn.XLOOKUP(B413,products_2026!A:A,products_2026!D:D,,0,)</f>
        <v>110.1</v>
      </c>
      <c r="F413">
        <f t="shared" si="6"/>
        <v>110.1</v>
      </c>
      <c r="G413" t="str">
        <f>_xlfn.XLOOKUP(B413,products_2026!A:A,products_2026!B:B,,0,)</f>
        <v>Memory Foam Pillow Firm</v>
      </c>
      <c r="H413" t="str">
        <f>_xlfn.XLOOKUP(B413,products_2026!A:A,products_2026!E:E,,0,)</f>
        <v>SELL0091</v>
      </c>
      <c r="I413" t="str">
        <f>IFERROR(_xlfn.XLOOKUP(H413,sellers_2026!A:A,sellers_2026!G:G,,0,), "unknown/inactive")</f>
        <v>TAS</v>
      </c>
      <c r="J413" t="str">
        <f>_xlfn.XLOOKUP(H413,sellers_2026!A:A,sellers_2026!B:B,,0,)</f>
        <v>beautifullhome</v>
      </c>
    </row>
    <row r="414" spans="1:10" ht="14.25" customHeight="1" x14ac:dyDescent="0.3">
      <c r="A414" s="2" t="s">
        <v>2885</v>
      </c>
      <c r="B414" s="2" t="s">
        <v>324</v>
      </c>
      <c r="C414" s="2">
        <v>1</v>
      </c>
      <c r="D414" t="str">
        <f>_xlfn.XLOOKUP(order_items!B414,products_2026!A:A,products_2026!C:C,,0,)</f>
        <v>Toys</v>
      </c>
      <c r="E414">
        <f>_xlfn.XLOOKUP(B414,products_2026!A:A,products_2026!D:D,,0,)</f>
        <v>20.309999999999999</v>
      </c>
      <c r="F414">
        <f t="shared" si="6"/>
        <v>20.309999999999999</v>
      </c>
      <c r="G414" t="str">
        <f>_xlfn.XLOOKUP(B414,products_2026!A:A,products_2026!B:B,,0,)</f>
        <v>Rainbow Kite - Light-Up</v>
      </c>
      <c r="H414" t="str">
        <f>_xlfn.XLOOKUP(B414,products_2026!A:A,products_2026!E:E,,0,)</f>
        <v>SELL0049</v>
      </c>
      <c r="I414" t="str">
        <f>IFERROR(_xlfn.XLOOKUP(H414,sellers_2026!A:A,sellers_2026!G:G,,0,), "unknown/inactive")</f>
        <v>VIC</v>
      </c>
      <c r="J414" t="str">
        <f>_xlfn.XLOOKUP(H414,sellers_2026!A:A,sellers_2026!B:B,,0,)</f>
        <v>beautifullife472</v>
      </c>
    </row>
    <row r="415" spans="1:10" ht="14.25" customHeight="1" x14ac:dyDescent="0.3">
      <c r="A415" s="2" t="s">
        <v>2885</v>
      </c>
      <c r="B415" s="2" t="s">
        <v>413</v>
      </c>
      <c r="C415" s="2">
        <v>1</v>
      </c>
      <c r="D415" t="str">
        <f>_xlfn.XLOOKUP(order_items!B415,products_2026!A:A,products_2026!C:C,,0,)</f>
        <v>Jewellery</v>
      </c>
      <c r="E415">
        <f>_xlfn.XLOOKUP(B415,products_2026!A:A,products_2026!D:D,,0,)</f>
        <v>36.35</v>
      </c>
      <c r="F415">
        <f t="shared" si="6"/>
        <v>36.35</v>
      </c>
      <c r="G415" t="str">
        <f>_xlfn.XLOOKUP(B415,products_2026!A:A,products_2026!B:B,,0,)</f>
        <v>Pearl Earrings Stud</v>
      </c>
      <c r="H415" t="str">
        <f>_xlfn.XLOOKUP(B415,products_2026!A:A,products_2026!E:E,,0,)</f>
        <v>SELL0060</v>
      </c>
      <c r="I415" t="str">
        <f>IFERROR(_xlfn.XLOOKUP(H415,sellers_2026!A:A,sellers_2026!G:G,,0,), "unknown/inactive")</f>
        <v>VIC</v>
      </c>
      <c r="J415" t="str">
        <f>_xlfn.XLOOKUP(H415,sellers_2026!A:A,sellers_2026!B:B,,0,)</f>
        <v>shop689</v>
      </c>
    </row>
    <row r="416" spans="1:10" ht="14.25" customHeight="1" x14ac:dyDescent="0.3">
      <c r="A416" s="2" t="s">
        <v>2886</v>
      </c>
      <c r="B416" s="2" t="s">
        <v>530</v>
      </c>
      <c r="C416" s="2">
        <v>1</v>
      </c>
      <c r="D416" t="str">
        <f>_xlfn.XLOOKUP(order_items!B416,products_2026!A:A,products_2026!C:C,,0,)</f>
        <v>Gift_Sets</v>
      </c>
      <c r="E416">
        <f>_xlfn.XLOOKUP(B416,products_2026!A:A,products_2026!D:D,,0,)</f>
        <v>19.03</v>
      </c>
      <c r="F416">
        <f t="shared" si="6"/>
        <v>19.03</v>
      </c>
      <c r="G416" t="str">
        <f>_xlfn.XLOOKUP(B416,products_2026!A:A,products_2026!B:B,,0,)</f>
        <v>Tea Lovers Hamper Shapes Edition</v>
      </c>
      <c r="H416" t="str">
        <f>_xlfn.XLOOKUP(B416,products_2026!A:A,products_2026!E:E,,0,)</f>
        <v>SELL0073</v>
      </c>
      <c r="I416" t="str">
        <f>IFERROR(_xlfn.XLOOKUP(H416,sellers_2026!A:A,sellers_2026!G:G,,0,), "unknown/inactive")</f>
        <v>NSW</v>
      </c>
      <c r="J416" t="str">
        <f>_xlfn.XLOOKUP(H416,sellers_2026!A:A,sellers_2026!B:B,,0,)</f>
        <v>new-south-sales</v>
      </c>
    </row>
    <row r="417" spans="1:10" ht="14.25" customHeight="1" x14ac:dyDescent="0.3">
      <c r="A417" s="2" t="s">
        <v>2887</v>
      </c>
      <c r="B417" s="2" t="s">
        <v>98</v>
      </c>
      <c r="C417" s="2">
        <v>1</v>
      </c>
      <c r="D417" t="str">
        <f>_xlfn.XLOOKUP(order_items!B417,products_2026!A:A,products_2026!C:C,,0,)</f>
        <v>Toys</v>
      </c>
      <c r="E417">
        <f>_xlfn.XLOOKUP(B417,products_2026!A:A,products_2026!D:D,,0,)</f>
        <v>17.940000000000001</v>
      </c>
      <c r="F417">
        <f t="shared" si="6"/>
        <v>17.940000000000001</v>
      </c>
      <c r="G417" t="str">
        <f>_xlfn.XLOOKUP(B417,products_2026!A:A,products_2026!B:B,,0,)</f>
        <v>Snorkel Set - Child</v>
      </c>
      <c r="H417" t="str">
        <f>_xlfn.XLOOKUP(B417,products_2026!A:A,products_2026!E:E,,0,)</f>
        <v>SELL0022</v>
      </c>
      <c r="I417" t="str">
        <f>IFERROR(_xlfn.XLOOKUP(H417,sellers_2026!A:A,sellers_2026!G:G,,0,), "unknown/inactive")</f>
        <v>WA</v>
      </c>
      <c r="J417" t="str">
        <f>_xlfn.XLOOKUP(H417,sellers_2026!A:A,sellers_2026!B:B,,0,)</f>
        <v>g5x9v55sct</v>
      </c>
    </row>
    <row r="418" spans="1:10" ht="14.25" customHeight="1" x14ac:dyDescent="0.3">
      <c r="A418" s="2" t="s">
        <v>2887</v>
      </c>
      <c r="B418" s="2" t="s">
        <v>164</v>
      </c>
      <c r="C418" s="2">
        <v>1</v>
      </c>
      <c r="D418" t="str">
        <f>_xlfn.XLOOKUP(order_items!B418,products_2026!A:A,products_2026!C:C,,0,)</f>
        <v>Electronics</v>
      </c>
      <c r="E418">
        <f>_xlfn.XLOOKUP(B418,products_2026!A:A,products_2026!D:D,,0,)</f>
        <v>109.54</v>
      </c>
      <c r="F418">
        <f t="shared" si="6"/>
        <v>109.54</v>
      </c>
      <c r="G418" t="str">
        <f>_xlfn.XLOOKUP(B418,products_2026!A:A,products_2026!B:B,,0,)</f>
        <v>Wireless Keyboard Premium</v>
      </c>
      <c r="H418" t="str">
        <f>_xlfn.XLOOKUP(B418,products_2026!A:A,products_2026!E:E,,0,)</f>
        <v>SELL0033</v>
      </c>
      <c r="I418" t="str">
        <f>IFERROR(_xlfn.XLOOKUP(H418,sellers_2026!A:A,sellers_2026!G:G,,0,), "unknown/inactive")</f>
        <v>NSW</v>
      </c>
      <c r="J418" t="str">
        <f>_xlfn.XLOOKUP(H418,sellers_2026!A:A,sellers_2026!B:B,,0,)</f>
        <v>1bt8plshsf</v>
      </c>
    </row>
    <row r="419" spans="1:10" ht="14.25" customHeight="1" x14ac:dyDescent="0.3">
      <c r="A419" s="2" t="s">
        <v>2887</v>
      </c>
      <c r="B419" s="2" t="s">
        <v>550</v>
      </c>
      <c r="C419" s="2">
        <v>1</v>
      </c>
      <c r="D419" t="str">
        <f>_xlfn.XLOOKUP(order_items!B419,products_2026!A:A,products_2026!C:C,,0,)</f>
        <v>Clothes</v>
      </c>
      <c r="E419">
        <f>_xlfn.XLOOKUP(B419,products_2026!A:A,products_2026!D:D,,0,)</f>
        <v>34.22</v>
      </c>
      <c r="F419">
        <f t="shared" si="6"/>
        <v>34.22</v>
      </c>
      <c r="G419" t="str">
        <f>_xlfn.XLOOKUP(B419,products_2026!A:A,products_2026!B:B,,0,)</f>
        <v>Wool Beanie - Black</v>
      </c>
      <c r="H419" t="str">
        <f>_xlfn.XLOOKUP(B419,products_2026!A:A,products_2026!E:E,,0,)</f>
        <v>SELL0039</v>
      </c>
      <c r="I419" t="str">
        <f>IFERROR(_xlfn.XLOOKUP(H419,sellers_2026!A:A,sellers_2026!G:G,,0,), "unknown/inactive")</f>
        <v>QLD</v>
      </c>
      <c r="J419" t="str">
        <f>_xlfn.XLOOKUP(H419,sellers_2026!A:A,sellers_2026!B:B,,0,)</f>
        <v>zmkizlf6t6</v>
      </c>
    </row>
    <row r="420" spans="1:10" ht="14.25" customHeight="1" x14ac:dyDescent="0.3">
      <c r="A420" s="2" t="s">
        <v>2888</v>
      </c>
      <c r="B420" s="2" t="s">
        <v>166</v>
      </c>
      <c r="C420" s="2">
        <v>2</v>
      </c>
      <c r="D420" t="str">
        <f>_xlfn.XLOOKUP(order_items!B420,products_2026!A:A,products_2026!C:C,,0,)</f>
        <v>Health</v>
      </c>
      <c r="E420">
        <f>_xlfn.XLOOKUP(B420,products_2026!A:A,products_2026!D:D,,0,)</f>
        <v>55.35</v>
      </c>
      <c r="F420">
        <f t="shared" si="6"/>
        <v>110.7</v>
      </c>
      <c r="G420" t="str">
        <f>_xlfn.XLOOKUP(B420,products_2026!A:A,products_2026!B:B,,0,)</f>
        <v>Blood Pressure Monitor (White)</v>
      </c>
      <c r="H420" t="str">
        <f>_xlfn.XLOOKUP(B420,products_2026!A:A,products_2026!E:E,,0,)</f>
        <v>SELL0034</v>
      </c>
      <c r="I420" t="str">
        <f>IFERROR(_xlfn.XLOOKUP(H420,sellers_2026!A:A,sellers_2026!G:G,,0,), "unknown/inactive")</f>
        <v>NT</v>
      </c>
      <c r="J420" t="str">
        <f>_xlfn.XLOOKUP(H420,sellers_2026!A:A,sellers_2026!B:B,,0,)</f>
        <v>outer40</v>
      </c>
    </row>
    <row r="421" spans="1:10" ht="14.25" customHeight="1" x14ac:dyDescent="0.3">
      <c r="A421" s="2" t="s">
        <v>2888</v>
      </c>
      <c r="B421" s="2" t="s">
        <v>917</v>
      </c>
      <c r="C421" s="2">
        <v>1</v>
      </c>
      <c r="D421" t="str">
        <f>_xlfn.XLOOKUP(order_items!B421,products_2026!A:A,products_2026!C:C,,0,)</f>
        <v>Outdoor</v>
      </c>
      <c r="E421">
        <f>_xlfn.XLOOKUP(B421,products_2026!A:A,products_2026!D:D,,0,)</f>
        <v>66.94</v>
      </c>
      <c r="F421">
        <f t="shared" si="6"/>
        <v>66.94</v>
      </c>
      <c r="G421" t="str">
        <f>_xlfn.XLOOKUP(B421,products_2026!A:A,products_2026!B:B,,0,)</f>
        <v>paddling pool blue inflatable fishes</v>
      </c>
      <c r="H421" t="str">
        <f>_xlfn.XLOOKUP(B421,products_2026!A:A,products_2026!E:E,,0,)</f>
        <v>SELL0092</v>
      </c>
      <c r="I421" t="str">
        <f>IFERROR(_xlfn.XLOOKUP(H421,sellers_2026!A:A,sellers_2026!G:G,,0,), "unknown/inactive")</f>
        <v>VIC</v>
      </c>
      <c r="J421" t="str">
        <f>_xlfn.XLOOKUP(H421,sellers_2026!A:A,sellers_2026!B:B,,0,)</f>
        <v>dress4beauty</v>
      </c>
    </row>
    <row r="422" spans="1:10" ht="14.25" customHeight="1" x14ac:dyDescent="0.3">
      <c r="A422" s="2" t="s">
        <v>2889</v>
      </c>
      <c r="B422" s="2" t="s">
        <v>178</v>
      </c>
      <c r="C422" s="2">
        <v>1</v>
      </c>
      <c r="D422" t="str">
        <f>_xlfn.XLOOKUP(order_items!B422,products_2026!A:A,products_2026!C:C,,0,)</f>
        <v>Home</v>
      </c>
      <c r="E422">
        <f>_xlfn.XLOOKUP(B422,products_2026!A:A,products_2026!D:D,,0,)</f>
        <v>11.91</v>
      </c>
      <c r="F422">
        <f t="shared" si="6"/>
        <v>11.91</v>
      </c>
      <c r="G422" t="str">
        <f>_xlfn.XLOOKUP(B422,products_2026!A:A,products_2026!B:B,,0,)</f>
        <v>Scented Drawer Sachets Lavender</v>
      </c>
      <c r="H422" t="str">
        <f>_xlfn.XLOOKUP(B422,products_2026!A:A,products_2026!E:E,,0,)</f>
        <v>SELL0035</v>
      </c>
      <c r="I422" t="str">
        <f>IFERROR(_xlfn.XLOOKUP(H422,sellers_2026!A:A,sellers_2026!G:G,,0,), "unknown/inactive")</f>
        <v>ACT</v>
      </c>
      <c r="J422" t="str">
        <f>_xlfn.XLOOKUP(H422,sellers_2026!A:A,sellers_2026!B:B,,0,)</f>
        <v>maddie-sells</v>
      </c>
    </row>
    <row r="423" spans="1:10" ht="14.25" customHeight="1" x14ac:dyDescent="0.3">
      <c r="A423" s="2" t="s">
        <v>2890</v>
      </c>
      <c r="B423" s="2" t="s">
        <v>724</v>
      </c>
      <c r="C423" s="2">
        <v>1</v>
      </c>
      <c r="D423" t="str">
        <f>_xlfn.XLOOKUP(order_items!B423,products_2026!A:A,products_2026!C:C,,0,)</f>
        <v>Gift_Sets</v>
      </c>
      <c r="E423">
        <f>_xlfn.XLOOKUP(B423,products_2026!A:A,products_2026!D:D,,0,)</f>
        <v>13.54</v>
      </c>
      <c r="F423">
        <f t="shared" si="6"/>
        <v>13.54</v>
      </c>
      <c r="G423" t="str">
        <f>_xlfn.XLOOKUP(B423,products_2026!A:A,products_2026!B:B,,0,)</f>
        <v>Bath Bomb Variety Pack (Rose lavender)</v>
      </c>
      <c r="H423" t="str">
        <f>_xlfn.XLOOKUP(B423,products_2026!A:A,products_2026!E:E,,0,)</f>
        <v>SELL0088</v>
      </c>
      <c r="I423" t="str">
        <f>IFERROR(_xlfn.XLOOKUP(H423,sellers_2026!A:A,sellers_2026!G:G,,0,), "unknown/inactive")</f>
        <v>TAS</v>
      </c>
      <c r="J423" t="str">
        <f>_xlfn.XLOOKUP(H423,sellers_2026!A:A,sellers_2026!B:B,,0,)</f>
        <v>7ti9lfa6h5</v>
      </c>
    </row>
    <row r="424" spans="1:10" ht="14.25" customHeight="1" x14ac:dyDescent="0.3">
      <c r="A424" s="2" t="s">
        <v>2890</v>
      </c>
      <c r="B424" s="2" t="s">
        <v>893</v>
      </c>
      <c r="C424" s="2">
        <v>1</v>
      </c>
      <c r="D424" t="str">
        <f>_xlfn.XLOOKUP(order_items!B424,products_2026!A:A,products_2026!C:C,,0,)</f>
        <v>Clothes</v>
      </c>
      <c r="E424">
        <f>_xlfn.XLOOKUP(B424,products_2026!A:A,products_2026!D:D,,0,)</f>
        <v>64.84</v>
      </c>
      <c r="F424">
        <f t="shared" si="6"/>
        <v>64.84</v>
      </c>
      <c r="G424" t="str">
        <f>_xlfn.XLOOKUP(B424,products_2026!A:A,products_2026!B:B,,0,)</f>
        <v>Portable Camping Chair (Blue)</v>
      </c>
      <c r="H424" t="str">
        <f>_xlfn.XLOOKUP(B424,products_2026!A:A,products_2026!E:E,,0,)</f>
        <v>SELL0092</v>
      </c>
      <c r="I424" t="str">
        <f>IFERROR(_xlfn.XLOOKUP(H424,sellers_2026!A:A,sellers_2026!G:G,,0,), "unknown/inactive")</f>
        <v>VIC</v>
      </c>
      <c r="J424" t="str">
        <f>_xlfn.XLOOKUP(H424,sellers_2026!A:A,sellers_2026!B:B,,0,)</f>
        <v>dress4beauty</v>
      </c>
    </row>
    <row r="425" spans="1:10" ht="14.25" customHeight="1" x14ac:dyDescent="0.3">
      <c r="A425" s="2" t="s">
        <v>2891</v>
      </c>
      <c r="B425" s="2" t="s">
        <v>231</v>
      </c>
      <c r="C425" s="2">
        <v>1</v>
      </c>
      <c r="D425" t="str">
        <f>_xlfn.XLOOKUP(order_items!B425,products_2026!A:A,products_2026!C:C,,0,)</f>
        <v>Stationery</v>
      </c>
      <c r="E425">
        <f>_xlfn.XLOOKUP(B425,products_2026!A:A,products_2026!D:D,,0,)</f>
        <v>12.88</v>
      </c>
      <c r="F425">
        <f t="shared" si="6"/>
        <v>12.88</v>
      </c>
      <c r="G425" t="str">
        <f>_xlfn.XLOOKUP(B425,products_2026!A:A,products_2026!B:B,,0,)</f>
        <v>Highlighter Set Pens Yellow</v>
      </c>
      <c r="H425" t="str">
        <f>_xlfn.XLOOKUP(B425,products_2026!A:A,products_2026!E:E,,0,)</f>
        <v>SELL0040</v>
      </c>
      <c r="I425" t="str">
        <f>IFERROR(_xlfn.XLOOKUP(H425,sellers_2026!A:A,sellers_2026!G:G,,0,), "unknown/inactive")</f>
        <v>TAS</v>
      </c>
      <c r="J425" t="str">
        <f>_xlfn.XLOOKUP(H425,sellers_2026!A:A,sellers_2026!B:B,,0,)</f>
        <v>cheapandgood27</v>
      </c>
    </row>
    <row r="426" spans="1:10" ht="14.25" customHeight="1" x14ac:dyDescent="0.3">
      <c r="A426" s="2" t="s">
        <v>2891</v>
      </c>
      <c r="B426" s="2" t="s">
        <v>777</v>
      </c>
      <c r="C426" s="2">
        <v>1</v>
      </c>
      <c r="D426" t="str">
        <f>_xlfn.XLOOKUP(order_items!B426,products_2026!A:A,products_2026!C:C,,0,)</f>
        <v>Beauty</v>
      </c>
      <c r="E426">
        <f>_xlfn.XLOOKUP(B426,products_2026!A:A,products_2026!D:D,,0,)</f>
        <v>15.83</v>
      </c>
      <c r="F426">
        <f t="shared" si="6"/>
        <v>15.83</v>
      </c>
      <c r="G426" t="str">
        <f>_xlfn.XLOOKUP(B426,products_2026!A:A,products_2026!B:B,,0,)</f>
        <v>Hydrating Face Mist Vitamin E</v>
      </c>
      <c r="H426" t="str">
        <f>_xlfn.XLOOKUP(B426,products_2026!A:A,products_2026!E:E,,0,)</f>
        <v>SELL0083</v>
      </c>
      <c r="I426" t="str">
        <f>IFERROR(_xlfn.XLOOKUP(H426,sellers_2026!A:A,sellers_2026!G:G,,0,), "unknown/inactive")</f>
        <v>WA</v>
      </c>
      <c r="J426" t="str">
        <f>_xlfn.XLOOKUP(H426,sellers_2026!A:A,sellers_2026!B:B,,0,)</f>
        <v>makeupped</v>
      </c>
    </row>
    <row r="427" spans="1:10" ht="14.25" customHeight="1" x14ac:dyDescent="0.3">
      <c r="A427" s="2" t="s">
        <v>2891</v>
      </c>
      <c r="B427" s="2" t="s">
        <v>809</v>
      </c>
      <c r="C427" s="2">
        <v>1</v>
      </c>
      <c r="D427" t="str">
        <f>_xlfn.XLOOKUP(order_items!B427,products_2026!A:A,products_2026!C:C,,0,)</f>
        <v>Home</v>
      </c>
      <c r="E427">
        <f>_xlfn.XLOOKUP(B427,products_2026!A:A,products_2026!D:D,,0,)</f>
        <v>29.46</v>
      </c>
      <c r="F427">
        <f t="shared" si="6"/>
        <v>29.46</v>
      </c>
      <c r="G427" t="str">
        <f>_xlfn.XLOOKUP(B427,products_2026!A:A,products_2026!B:B,,0,)</f>
        <v>Cotton Bath Towels Navy</v>
      </c>
      <c r="H427" t="str">
        <f>_xlfn.XLOOKUP(B427,products_2026!A:A,products_2026!E:E,,0,)</f>
        <v>SELL0090</v>
      </c>
      <c r="I427" t="str">
        <f>IFERROR(_xlfn.XLOOKUP(H427,sellers_2026!A:A,sellers_2026!G:G,,0,), "unknown/inactive")</f>
        <v>TAS</v>
      </c>
      <c r="J427" t="str">
        <f>_xlfn.XLOOKUP(H427,sellers_2026!A:A,sellers_2026!B:B,,0,)</f>
        <v>housenice</v>
      </c>
    </row>
    <row r="428" spans="1:10" ht="14.25" customHeight="1" x14ac:dyDescent="0.3">
      <c r="A428" s="2" t="s">
        <v>2892</v>
      </c>
      <c r="B428" s="2" t="s">
        <v>311</v>
      </c>
      <c r="C428" s="2">
        <v>1</v>
      </c>
      <c r="D428" t="str">
        <f>_xlfn.XLOOKUP(order_items!B428,products_2026!A:A,products_2026!C:C,,0,)</f>
        <v>Toys</v>
      </c>
      <c r="E428">
        <f>_xlfn.XLOOKUP(B428,products_2026!A:A,products_2026!D:D,,0,)</f>
        <v>12.31</v>
      </c>
      <c r="F428">
        <f t="shared" si="6"/>
        <v>12.31</v>
      </c>
      <c r="G428" t="str">
        <f>_xlfn.XLOOKUP(B428,products_2026!A:A,products_2026!B:B,,0,)</f>
        <v>Kite Glitter</v>
      </c>
      <c r="H428" t="str">
        <f>_xlfn.XLOOKUP(B428,products_2026!A:A,products_2026!E:E,,0,)</f>
        <v>SELL0047</v>
      </c>
      <c r="I428" t="str">
        <f>IFERROR(_xlfn.XLOOKUP(H428,sellers_2026!A:A,sellers_2026!G:G,,0,), "unknown/inactive")</f>
        <v>NT</v>
      </c>
      <c r="J428" t="str">
        <f>_xlfn.XLOOKUP(H428,sellers_2026!A:A,sellers_2026!B:B,,0,)</f>
        <v>toymajoy</v>
      </c>
    </row>
    <row r="429" spans="1:10" ht="14.25" customHeight="1" x14ac:dyDescent="0.3">
      <c r="A429" s="2" t="s">
        <v>2892</v>
      </c>
      <c r="B429" s="2" t="s">
        <v>768</v>
      </c>
      <c r="C429" s="2">
        <v>1</v>
      </c>
      <c r="D429" t="str">
        <f>_xlfn.XLOOKUP(order_items!B429,products_2026!A:A,products_2026!C:C,,0,)</f>
        <v>Health</v>
      </c>
      <c r="E429">
        <f>_xlfn.XLOOKUP(B429,products_2026!A:A,products_2026!D:D,,0,)</f>
        <v>60.93</v>
      </c>
      <c r="F429">
        <f t="shared" si="6"/>
        <v>60.93</v>
      </c>
      <c r="G429" t="str">
        <f>_xlfn.XLOOKUP(B429,products_2026!A:A,products_2026!B:B,,0,)</f>
        <v>Adjustable Dumbbell 25kg</v>
      </c>
      <c r="H429" t="str">
        <f>_xlfn.XLOOKUP(B429,products_2026!A:A,products_2026!E:E,,0,)</f>
        <v>SELL0051</v>
      </c>
      <c r="I429" t="str">
        <f>IFERROR(_xlfn.XLOOKUP(H429,sellers_2026!A:A,sellers_2026!G:G,,0,), "unknown/inactive")</f>
        <v>NT</v>
      </c>
      <c r="J429" t="str">
        <f>_xlfn.XLOOKUP(H429,sellers_2026!A:A,sellers_2026!B:B,,0,)</f>
        <v>healthway</v>
      </c>
    </row>
    <row r="430" spans="1:10" ht="14.25" customHeight="1" x14ac:dyDescent="0.3">
      <c r="A430" s="2" t="s">
        <v>2893</v>
      </c>
      <c r="B430" s="2" t="s">
        <v>219</v>
      </c>
      <c r="C430" s="2">
        <v>1</v>
      </c>
      <c r="D430" t="str">
        <f>_xlfn.XLOOKUP(order_items!B430,products_2026!A:A,products_2026!C:C,,0,)</f>
        <v>Clothes</v>
      </c>
      <c r="E430">
        <f>_xlfn.XLOOKUP(B430,products_2026!A:A,products_2026!D:D,,0,)</f>
        <v>27.88</v>
      </c>
      <c r="F430">
        <f t="shared" si="6"/>
        <v>27.88</v>
      </c>
      <c r="G430" t="str">
        <f>_xlfn.XLOOKUP(B430,products_2026!A:A,products_2026!B:B,,0,)</f>
        <v>Sports Socks - 5 pack</v>
      </c>
      <c r="H430" t="str">
        <f>_xlfn.XLOOKUP(B430,products_2026!A:A,products_2026!E:E,,0,)</f>
        <v>SELL0039</v>
      </c>
      <c r="I430" t="str">
        <f>IFERROR(_xlfn.XLOOKUP(H430,sellers_2026!A:A,sellers_2026!G:G,,0,), "unknown/inactive")</f>
        <v>QLD</v>
      </c>
      <c r="J430" t="str">
        <f>_xlfn.XLOOKUP(H430,sellers_2026!A:A,sellers_2026!B:B,,0,)</f>
        <v>zmkizlf6t6</v>
      </c>
    </row>
    <row r="431" spans="1:10" ht="14.25" customHeight="1" x14ac:dyDescent="0.3">
      <c r="A431" s="2" t="s">
        <v>2894</v>
      </c>
      <c r="B431" s="2" t="s">
        <v>557</v>
      </c>
      <c r="C431" s="2">
        <v>1</v>
      </c>
      <c r="D431" t="str">
        <f>_xlfn.XLOOKUP(order_items!B431,products_2026!A:A,products_2026!C:C,,0,)</f>
        <v>Health</v>
      </c>
      <c r="E431">
        <f>_xlfn.XLOOKUP(B431,products_2026!A:A,products_2026!D:D,,0,)</f>
        <v>79.16</v>
      </c>
      <c r="F431">
        <f t="shared" si="6"/>
        <v>79.16</v>
      </c>
      <c r="G431" t="str">
        <f>_xlfn.XLOOKUP(B431,products_2026!A:A,products_2026!B:B,,0,)</f>
        <v>Heat Therapy Pad Reusable</v>
      </c>
      <c r="H431" t="str">
        <f>_xlfn.XLOOKUP(B431,products_2026!A:A,products_2026!E:E,,0,)</f>
        <v>SELL0076</v>
      </c>
      <c r="I431" t="str">
        <f>IFERROR(_xlfn.XLOOKUP(H431,sellers_2026!A:A,sellers_2026!G:G,,0,), "unknown/inactive")</f>
        <v>QLD</v>
      </c>
      <c r="J431" t="str">
        <f>_xlfn.XLOOKUP(H431,sellers_2026!A:A,sellers_2026!B:B,,0,)</f>
        <v>generalstuff</v>
      </c>
    </row>
    <row r="432" spans="1:10" ht="14.25" customHeight="1" x14ac:dyDescent="0.3">
      <c r="A432" s="2" t="s">
        <v>2895</v>
      </c>
      <c r="B432" s="2" t="s">
        <v>306</v>
      </c>
      <c r="C432" s="2">
        <v>1</v>
      </c>
      <c r="D432" t="str">
        <f>_xlfn.XLOOKUP(order_items!B432,products_2026!A:A,products_2026!C:C,,0,)</f>
        <v>Gift_Sets</v>
      </c>
      <c r="E432">
        <f>_xlfn.XLOOKUP(B432,products_2026!A:A,products_2026!D:D,,0,)</f>
        <v>37.340000000000003</v>
      </c>
      <c r="F432">
        <f t="shared" si="6"/>
        <v>37.340000000000003</v>
      </c>
      <c r="G432" t="str">
        <f>_xlfn.XLOOKUP(B432,products_2026!A:A,products_2026!B:B,,0,)</f>
        <v>Spa Pamper Gift Set For Him</v>
      </c>
      <c r="H432" t="str">
        <f>_xlfn.XLOOKUP(B432,products_2026!A:A,products_2026!E:E,,0,)</f>
        <v>SELL0046</v>
      </c>
      <c r="I432" t="str">
        <f>IFERROR(_xlfn.XLOOKUP(H432,sellers_2026!A:A,sellers_2026!G:G,,0,), "unknown/inactive")</f>
        <v>TAS</v>
      </c>
      <c r="J432" t="str">
        <f>_xlfn.XLOOKUP(H432,sellers_2026!A:A,sellers_2026!B:B,,0,)</f>
        <v>find_what_u_need</v>
      </c>
    </row>
    <row r="433" spans="1:10" ht="14.25" customHeight="1" x14ac:dyDescent="0.3">
      <c r="A433" s="2" t="s">
        <v>2896</v>
      </c>
      <c r="B433" s="2" t="s">
        <v>83</v>
      </c>
      <c r="C433" s="2">
        <v>1</v>
      </c>
      <c r="D433" t="str">
        <f>_xlfn.XLOOKUP(order_items!B433,products_2026!A:A,products_2026!C:C,,0,)</f>
        <v>Stationery</v>
      </c>
      <c r="E433">
        <f>_xlfn.XLOOKUP(B433,products_2026!A:A,products_2026!D:D,,0,)</f>
        <v>8.39</v>
      </c>
      <c r="F433">
        <f t="shared" si="6"/>
        <v>8.39</v>
      </c>
      <c r="G433" t="str">
        <f>_xlfn.XLOOKUP(B433,products_2026!A:A,products_2026!B:B,,0,)</f>
        <v>Permanent markers 6 pack black</v>
      </c>
      <c r="H433" t="str">
        <f>_xlfn.XLOOKUP(B433,products_2026!A:A,products_2026!E:E,,0,)</f>
        <v>SELL0019</v>
      </c>
      <c r="I433" t="str">
        <f>IFERROR(_xlfn.XLOOKUP(H433,sellers_2026!A:A,sellers_2026!G:G,,0,), "unknown/inactive")</f>
        <v>QLD</v>
      </c>
      <c r="J433" t="str">
        <f>_xlfn.XLOOKUP(H433,sellers_2026!A:A,sellers_2026!B:B,,0,)</f>
        <v>buyingtime</v>
      </c>
    </row>
    <row r="434" spans="1:10" ht="14.25" customHeight="1" x14ac:dyDescent="0.3">
      <c r="A434" s="2" t="s">
        <v>2896</v>
      </c>
      <c r="B434" s="2" t="s">
        <v>302</v>
      </c>
      <c r="C434" s="2">
        <v>1</v>
      </c>
      <c r="D434" t="str">
        <f>_xlfn.XLOOKUP(order_items!B434,products_2026!A:A,products_2026!C:C,,0,)</f>
        <v>Stationery</v>
      </c>
      <c r="E434">
        <f>_xlfn.XLOOKUP(B434,products_2026!A:A,products_2026!D:D,,0,)</f>
        <v>5.49</v>
      </c>
      <c r="F434">
        <f t="shared" si="6"/>
        <v>5.49</v>
      </c>
      <c r="G434" t="str">
        <f>_xlfn.XLOOKUP(B434,products_2026!A:A,products_2026!B:B,,0,)</f>
        <v>Whiteboard Markers 6pc</v>
      </c>
      <c r="H434" t="str">
        <f>_xlfn.XLOOKUP(B434,products_2026!A:A,products_2026!E:E,,0,)</f>
        <v>SELL0046</v>
      </c>
      <c r="I434" t="str">
        <f>IFERROR(_xlfn.XLOOKUP(H434,sellers_2026!A:A,sellers_2026!G:G,,0,), "unknown/inactive")</f>
        <v>TAS</v>
      </c>
      <c r="J434" t="str">
        <f>_xlfn.XLOOKUP(H434,sellers_2026!A:A,sellers_2026!B:B,,0,)</f>
        <v>find_what_u_need</v>
      </c>
    </row>
    <row r="435" spans="1:10" ht="14.25" customHeight="1" x14ac:dyDescent="0.3">
      <c r="A435" s="2" t="s">
        <v>2897</v>
      </c>
      <c r="B435" s="2" t="s">
        <v>5</v>
      </c>
      <c r="C435" s="2">
        <v>1</v>
      </c>
      <c r="D435" t="str">
        <f>_xlfn.XLOOKUP(order_items!B435,products_2026!A:A,products_2026!C:C,,0,)</f>
        <v>Beauty</v>
      </c>
      <c r="E435">
        <f>_xlfn.XLOOKUP(B435,products_2026!A:A,products_2026!D:D,,0,)</f>
        <v>33.08</v>
      </c>
      <c r="F435">
        <f t="shared" si="6"/>
        <v>33.08</v>
      </c>
      <c r="G435" t="str">
        <f>_xlfn.XLOOKUP(B435,products_2026!A:A,products_2026!B:B,,0,)</f>
        <v>Hair Strengthening Mask shea butter 4 pack</v>
      </c>
      <c r="H435" t="str">
        <f>_xlfn.XLOOKUP(B435,products_2026!A:A,products_2026!E:E,,0,)</f>
        <v>SELL0001</v>
      </c>
      <c r="I435" t="str">
        <f>IFERROR(_xlfn.XLOOKUP(H435,sellers_2026!A:A,sellers_2026!G:G,,0,), "unknown/inactive")</f>
        <v>VIC</v>
      </c>
      <c r="J435" t="str">
        <f>_xlfn.XLOOKUP(H435,sellers_2026!A:A,sellers_2026!B:B,,0,)</f>
        <v>beauty4everyone</v>
      </c>
    </row>
    <row r="436" spans="1:10" ht="14.25" customHeight="1" x14ac:dyDescent="0.3">
      <c r="A436" s="2" t="s">
        <v>2897</v>
      </c>
      <c r="B436" s="2" t="s">
        <v>306</v>
      </c>
      <c r="C436" s="2">
        <v>1</v>
      </c>
      <c r="D436" t="str">
        <f>_xlfn.XLOOKUP(order_items!B436,products_2026!A:A,products_2026!C:C,,0,)</f>
        <v>Gift_Sets</v>
      </c>
      <c r="E436">
        <f>_xlfn.XLOOKUP(B436,products_2026!A:A,products_2026!D:D,,0,)</f>
        <v>37.340000000000003</v>
      </c>
      <c r="F436">
        <f t="shared" si="6"/>
        <v>37.340000000000003</v>
      </c>
      <c r="G436" t="str">
        <f>_xlfn.XLOOKUP(B436,products_2026!A:A,products_2026!B:B,,0,)</f>
        <v>Spa Pamper Gift Set For Him</v>
      </c>
      <c r="H436" t="str">
        <f>_xlfn.XLOOKUP(B436,products_2026!A:A,products_2026!E:E,,0,)</f>
        <v>SELL0046</v>
      </c>
      <c r="I436" t="str">
        <f>IFERROR(_xlfn.XLOOKUP(H436,sellers_2026!A:A,sellers_2026!G:G,,0,), "unknown/inactive")</f>
        <v>TAS</v>
      </c>
      <c r="J436" t="str">
        <f>_xlfn.XLOOKUP(H436,sellers_2026!A:A,sellers_2026!B:B,,0,)</f>
        <v>find_what_u_need</v>
      </c>
    </row>
    <row r="437" spans="1:10" ht="14.25" customHeight="1" x14ac:dyDescent="0.3">
      <c r="A437" s="2" t="s">
        <v>2898</v>
      </c>
      <c r="B437" s="2" t="s">
        <v>532</v>
      </c>
      <c r="C437" s="2">
        <v>1</v>
      </c>
      <c r="D437" t="str">
        <f>_xlfn.XLOOKUP(order_items!B437,products_2026!A:A,products_2026!C:C,,0,)</f>
        <v>Home</v>
      </c>
      <c r="E437">
        <f>_xlfn.XLOOKUP(B437,products_2026!A:A,products_2026!D:D,,0,)</f>
        <v>64.55</v>
      </c>
      <c r="F437">
        <f t="shared" si="6"/>
        <v>64.55</v>
      </c>
      <c r="G437" t="str">
        <f>_xlfn.XLOOKUP(B437,products_2026!A:A,products_2026!B:B,,0,)</f>
        <v>Carbon Fiber Mug Set</v>
      </c>
      <c r="H437" t="str">
        <f>_xlfn.XLOOKUP(B437,products_2026!A:A,products_2026!E:E,,0,)</f>
        <v>SELL0074</v>
      </c>
      <c r="I437" t="str">
        <f>IFERROR(_xlfn.XLOOKUP(H437,sellers_2026!A:A,sellers_2026!G:G,,0,), "unknown/inactive")</f>
        <v>NT</v>
      </c>
      <c r="J437" t="str">
        <f>_xlfn.XLOOKUP(H437,sellers_2026!A:A,sellers_2026!B:B,,0,)</f>
        <v>springlesprungle3</v>
      </c>
    </row>
    <row r="438" spans="1:10" ht="14.25" customHeight="1" x14ac:dyDescent="0.3">
      <c r="A438" s="2" t="s">
        <v>2898</v>
      </c>
      <c r="B438" s="2" t="s">
        <v>734</v>
      </c>
      <c r="C438" s="2">
        <v>1</v>
      </c>
      <c r="D438" t="str">
        <f>_xlfn.XLOOKUP(order_items!B438,products_2026!A:A,products_2026!C:C,,0,)</f>
        <v>Gift_Sets</v>
      </c>
      <c r="E438">
        <f>_xlfn.XLOOKUP(B438,products_2026!A:A,products_2026!D:D,,0,)</f>
        <v>24.26</v>
      </c>
      <c r="F438">
        <f t="shared" si="6"/>
        <v>24.26</v>
      </c>
      <c r="G438" t="str">
        <f>_xlfn.XLOOKUP(B438,products_2026!A:A,products_2026!B:B,,0,)</f>
        <v>Fruity Mango Bath Gel Gift Set</v>
      </c>
      <c r="H438" t="str">
        <f>_xlfn.XLOOKUP(B438,products_2026!A:A,products_2026!E:E,,0,)</f>
        <v>SELL0088</v>
      </c>
      <c r="I438" t="str">
        <f>IFERROR(_xlfn.XLOOKUP(H438,sellers_2026!A:A,sellers_2026!G:G,,0,), "unknown/inactive")</f>
        <v>TAS</v>
      </c>
      <c r="J438" t="str">
        <f>_xlfn.XLOOKUP(H438,sellers_2026!A:A,sellers_2026!B:B,,0,)</f>
        <v>7ti9lfa6h5</v>
      </c>
    </row>
    <row r="439" spans="1:10" ht="14.25" customHeight="1" x14ac:dyDescent="0.3">
      <c r="A439" s="2" t="s">
        <v>2898</v>
      </c>
      <c r="B439" s="2" t="s">
        <v>760</v>
      </c>
      <c r="C439" s="2">
        <v>1</v>
      </c>
      <c r="D439" t="str">
        <f>_xlfn.XLOOKUP(order_items!B439,products_2026!A:A,products_2026!C:C,,0,)</f>
        <v>Health</v>
      </c>
      <c r="E439">
        <f>_xlfn.XLOOKUP(B439,products_2026!A:A,products_2026!D:D,,0,)</f>
        <v>23.35</v>
      </c>
      <c r="F439">
        <f t="shared" si="6"/>
        <v>23.35</v>
      </c>
      <c r="G439" t="str">
        <f>_xlfn.XLOOKUP(B439,products_2026!A:A,products_2026!B:B,,0,)</f>
        <v>Adjustable Dumbbell 10kg</v>
      </c>
      <c r="H439" t="str">
        <f>_xlfn.XLOOKUP(B439,products_2026!A:A,products_2026!E:E,,0,)</f>
        <v>SELL0051</v>
      </c>
      <c r="I439" t="str">
        <f>IFERROR(_xlfn.XLOOKUP(H439,sellers_2026!A:A,sellers_2026!G:G,,0,), "unknown/inactive")</f>
        <v>NT</v>
      </c>
      <c r="J439" t="str">
        <f>_xlfn.XLOOKUP(H439,sellers_2026!A:A,sellers_2026!B:B,,0,)</f>
        <v>healthway</v>
      </c>
    </row>
    <row r="440" spans="1:10" ht="14.25" customHeight="1" x14ac:dyDescent="0.3">
      <c r="A440" s="2" t="s">
        <v>2899</v>
      </c>
      <c r="B440" s="2" t="s">
        <v>363</v>
      </c>
      <c r="C440" s="2">
        <v>1</v>
      </c>
      <c r="D440" t="str">
        <f>_xlfn.XLOOKUP(order_items!B440,products_2026!A:A,products_2026!C:C,,0,)</f>
        <v>Health</v>
      </c>
      <c r="E440">
        <f>_xlfn.XLOOKUP(B440,products_2026!A:A,products_2026!D:D,,0,)</f>
        <v>48.8</v>
      </c>
      <c r="F440">
        <f t="shared" si="6"/>
        <v>48.8</v>
      </c>
      <c r="G440" t="str">
        <f>_xlfn.XLOOKUP(B440,products_2026!A:A,products_2026!B:B,,0,)</f>
        <v>Digital Thermometer Battery Powered</v>
      </c>
      <c r="H440" t="str">
        <f>_xlfn.XLOOKUP(B440,products_2026!A:A,products_2026!E:E,,0,)</f>
        <v>SELL0054</v>
      </c>
      <c r="I440" t="str">
        <f>IFERROR(_xlfn.XLOOKUP(H440,sellers_2026!A:A,sellers_2026!G:G,,0,), "unknown/inactive")</f>
        <v>ACT</v>
      </c>
      <c r="J440" t="str">
        <f>_xlfn.XLOOKUP(H440,sellers_2026!A:A,sellers_2026!B:B,,0,)</f>
        <v>b8iv8o4c65</v>
      </c>
    </row>
    <row r="441" spans="1:10" ht="14.25" customHeight="1" x14ac:dyDescent="0.3">
      <c r="A441" s="2" t="s">
        <v>2900</v>
      </c>
      <c r="B441" s="2" t="s">
        <v>42</v>
      </c>
      <c r="C441" s="2">
        <v>2</v>
      </c>
      <c r="D441" t="str">
        <f>_xlfn.XLOOKUP(order_items!B441,products_2026!A:A,products_2026!C:C,,0,)</f>
        <v>Stationery</v>
      </c>
      <c r="E441">
        <f>_xlfn.XLOOKUP(B441,products_2026!A:A,products_2026!D:D,,0,)</f>
        <v>7.06</v>
      </c>
      <c r="F441">
        <f t="shared" si="6"/>
        <v>14.12</v>
      </c>
      <c r="G441" t="str">
        <f>_xlfn.XLOOKUP(B441,products_2026!A:A,products_2026!B:B,,0,)</f>
        <v>Whiteboard Markers - 6 pack</v>
      </c>
      <c r="H441" t="str">
        <f>_xlfn.XLOOKUP(B441,products_2026!A:A,products_2026!E:E,,0,)</f>
        <v>SELL0010</v>
      </c>
      <c r="I441" t="str">
        <f>IFERROR(_xlfn.XLOOKUP(H441,sellers_2026!A:A,sellers_2026!G:G,,0,), "unknown/inactive")</f>
        <v>VIC</v>
      </c>
      <c r="J441" t="str">
        <f>_xlfn.XLOOKUP(H441,sellers_2026!A:A,sellers_2026!B:B,,0,)</f>
        <v>hobbylobby</v>
      </c>
    </row>
    <row r="442" spans="1:10" ht="14.25" customHeight="1" x14ac:dyDescent="0.3">
      <c r="A442" s="2" t="s">
        <v>2901</v>
      </c>
      <c r="B442" s="2" t="s">
        <v>399</v>
      </c>
      <c r="C442" s="2">
        <v>1</v>
      </c>
      <c r="D442" t="str">
        <f>_xlfn.XLOOKUP(order_items!B442,products_2026!A:A,products_2026!C:C,,0,)</f>
        <v>Jewellery</v>
      </c>
      <c r="E442">
        <f>_xlfn.XLOOKUP(B442,products_2026!A:A,products_2026!D:D,,0,)</f>
        <v>31.11</v>
      </c>
      <c r="F442">
        <f t="shared" si="6"/>
        <v>31.11</v>
      </c>
      <c r="G442" t="str">
        <f>_xlfn.XLOOKUP(B442,products_2026!A:A,products_2026!B:B,,0,)</f>
        <v>Pearl Stud Earrings Cluster</v>
      </c>
      <c r="H442" t="str">
        <f>_xlfn.XLOOKUP(B442,products_2026!A:A,products_2026!E:E,,0,)</f>
        <v>SELL0058</v>
      </c>
      <c r="I442" t="str">
        <f>IFERROR(_xlfn.XLOOKUP(H442,sellers_2026!A:A,sellers_2026!G:G,,0,), "unknown/inactive")</f>
        <v>QLD</v>
      </c>
      <c r="J442" t="str">
        <f>_xlfn.XLOOKUP(H442,sellers_2026!A:A,sellers_2026!B:B,,0,)</f>
        <v>au6ynzdcy5</v>
      </c>
    </row>
    <row r="443" spans="1:10" ht="14.25" customHeight="1" x14ac:dyDescent="0.3">
      <c r="A443" s="2" t="s">
        <v>2901</v>
      </c>
      <c r="B443" s="2" t="s">
        <v>707</v>
      </c>
      <c r="C443" s="2">
        <v>1</v>
      </c>
      <c r="D443" t="str">
        <f>_xlfn.XLOOKUP(order_items!B443,products_2026!A:A,products_2026!C:C,,0,)</f>
        <v>Electronics</v>
      </c>
      <c r="E443">
        <f>_xlfn.XLOOKUP(B443,products_2026!A:A,products_2026!D:D,,0,)</f>
        <v>63.84</v>
      </c>
      <c r="F443">
        <f t="shared" si="6"/>
        <v>63.84</v>
      </c>
      <c r="G443" t="str">
        <f>_xlfn.XLOOKUP(B443,products_2026!A:A,products_2026!B:B,,0,)</f>
        <v>Noise Cancelling Headphones (Black)</v>
      </c>
      <c r="H443" t="str">
        <f>_xlfn.XLOOKUP(B443,products_2026!A:A,products_2026!E:E,,0,)</f>
        <v>SELL0088</v>
      </c>
      <c r="I443" t="str">
        <f>IFERROR(_xlfn.XLOOKUP(H443,sellers_2026!A:A,sellers_2026!G:G,,0,), "unknown/inactive")</f>
        <v>TAS</v>
      </c>
      <c r="J443" t="str">
        <f>_xlfn.XLOOKUP(H443,sellers_2026!A:A,sellers_2026!B:B,,0,)</f>
        <v>7ti9lfa6h5</v>
      </c>
    </row>
    <row r="444" spans="1:10" ht="14.25" customHeight="1" x14ac:dyDescent="0.3">
      <c r="A444" s="2" t="s">
        <v>2901</v>
      </c>
      <c r="B444" s="2" t="s">
        <v>759</v>
      </c>
      <c r="C444" s="2">
        <v>2</v>
      </c>
      <c r="D444" t="str">
        <f>_xlfn.XLOOKUP(order_items!B444,products_2026!A:A,products_2026!C:C,,0,)</f>
        <v>Health</v>
      </c>
      <c r="E444">
        <f>_xlfn.XLOOKUP(B444,products_2026!A:A,products_2026!D:D,,0,)</f>
        <v>77.56</v>
      </c>
      <c r="F444">
        <f t="shared" si="6"/>
        <v>155.12</v>
      </c>
      <c r="G444" t="str">
        <f>_xlfn.XLOOKUP(B444,products_2026!A:A,products_2026!B:B,,0,)</f>
        <v>Yoga Mat - 10mm Thick (Green)</v>
      </c>
      <c r="H444" t="str">
        <f>_xlfn.XLOOKUP(B444,products_2026!A:A,products_2026!E:E,,0,)</f>
        <v>SELL0089</v>
      </c>
      <c r="I444" t="str">
        <f>IFERROR(_xlfn.XLOOKUP(H444,sellers_2026!A:A,sellers_2026!G:G,,0,), "unknown/inactive")</f>
        <v>QLD</v>
      </c>
      <c r="J444" t="str">
        <f>_xlfn.XLOOKUP(H444,sellers_2026!A:A,sellers_2026!B:B,,0,)</f>
        <v>pyrurodqk4</v>
      </c>
    </row>
    <row r="445" spans="1:10" ht="14.25" customHeight="1" x14ac:dyDescent="0.3">
      <c r="A445" s="2" t="s">
        <v>2902</v>
      </c>
      <c r="B445" s="2" t="s">
        <v>598</v>
      </c>
      <c r="C445" s="2">
        <v>1</v>
      </c>
      <c r="D445" t="str">
        <f>_xlfn.XLOOKUP(order_items!B445,products_2026!A:A,products_2026!C:C,,0,)</f>
        <v>Beauty</v>
      </c>
      <c r="E445">
        <f>_xlfn.XLOOKUP(B445,products_2026!A:A,products_2026!D:D,,0,)</f>
        <v>17.28</v>
      </c>
      <c r="F445">
        <f t="shared" si="6"/>
        <v>17.28</v>
      </c>
      <c r="G445" t="str">
        <f>_xlfn.XLOOKUP(B445,products_2026!A:A,products_2026!B:B,,0,)</f>
        <v>Face Mist Vitamin E</v>
      </c>
      <c r="H445" t="str">
        <f>_xlfn.XLOOKUP(B445,products_2026!A:A,products_2026!E:E,,0,)</f>
        <v>SELL0082</v>
      </c>
      <c r="I445" t="str">
        <f>IFERROR(_xlfn.XLOOKUP(H445,sellers_2026!A:A,sellers_2026!G:G,,0,), "unknown/inactive")</f>
        <v>NSW</v>
      </c>
      <c r="J445" t="str">
        <f>_xlfn.XLOOKUP(H445,sellers_2026!A:A,sellers_2026!B:B,,0,)</f>
        <v>blessedforall</v>
      </c>
    </row>
    <row r="446" spans="1:10" ht="14.25" customHeight="1" x14ac:dyDescent="0.3">
      <c r="A446" s="2" t="s">
        <v>2902</v>
      </c>
      <c r="B446" s="2" t="s">
        <v>832</v>
      </c>
      <c r="C446" s="2">
        <v>2</v>
      </c>
      <c r="D446" t="str">
        <f>_xlfn.XLOOKUP(order_items!B446,products_2026!A:A,products_2026!C:C,,0,)</f>
        <v>Home</v>
      </c>
      <c r="E446">
        <f>_xlfn.XLOOKUP(B446,products_2026!A:A,products_2026!D:D,,0,)</f>
        <v>85.94</v>
      </c>
      <c r="F446">
        <f t="shared" si="6"/>
        <v>171.88</v>
      </c>
      <c r="G446" t="str">
        <f>_xlfn.XLOOKUP(B446,products_2026!A:A,products_2026!B:B,,0,)</f>
        <v>Adjustable Dumbbell 15kg</v>
      </c>
      <c r="H446" t="str">
        <f>_xlfn.XLOOKUP(B446,products_2026!A:A,products_2026!E:E,,0,)</f>
        <v>SELL0090</v>
      </c>
      <c r="I446" t="str">
        <f>IFERROR(_xlfn.XLOOKUP(H446,sellers_2026!A:A,sellers_2026!G:G,,0,), "unknown/inactive")</f>
        <v>TAS</v>
      </c>
      <c r="J446" t="str">
        <f>_xlfn.XLOOKUP(H446,sellers_2026!A:A,sellers_2026!B:B,,0,)</f>
        <v>housenice</v>
      </c>
    </row>
    <row r="447" spans="1:10" ht="14.25" customHeight="1" x14ac:dyDescent="0.3">
      <c r="A447" s="2" t="s">
        <v>2902</v>
      </c>
      <c r="B447" s="2" t="s">
        <v>871</v>
      </c>
      <c r="C447" s="2">
        <v>1</v>
      </c>
      <c r="D447" t="str">
        <f>_xlfn.XLOOKUP(order_items!B447,products_2026!A:A,products_2026!C:C,,0,)</f>
        <v>Jewellery</v>
      </c>
      <c r="E447">
        <f>_xlfn.XLOOKUP(B447,products_2026!A:A,products_2026!D:D,,0,)</f>
        <v>35.5</v>
      </c>
      <c r="F447">
        <f t="shared" si="6"/>
        <v>35.5</v>
      </c>
      <c r="G447" t="str">
        <f>_xlfn.XLOOKUP(B447,products_2026!A:A,products_2026!B:B,,0,)</f>
        <v>Pendant Necklace - Silver</v>
      </c>
      <c r="H447" t="str">
        <f>_xlfn.XLOOKUP(B447,products_2026!A:A,products_2026!E:E,,0,)</f>
        <v>SELL0092</v>
      </c>
      <c r="I447" t="str">
        <f>IFERROR(_xlfn.XLOOKUP(H447,sellers_2026!A:A,sellers_2026!G:G,,0,), "unknown/inactive")</f>
        <v>VIC</v>
      </c>
      <c r="J447" t="str">
        <f>_xlfn.XLOOKUP(H447,sellers_2026!A:A,sellers_2026!B:B,,0,)</f>
        <v>dress4beauty</v>
      </c>
    </row>
    <row r="448" spans="1:10" ht="14.25" customHeight="1" x14ac:dyDescent="0.3">
      <c r="A448" s="2" t="s">
        <v>2904</v>
      </c>
      <c r="B448" s="2" t="s">
        <v>603</v>
      </c>
      <c r="C448" s="2">
        <v>2</v>
      </c>
      <c r="D448" t="str">
        <f>_xlfn.XLOOKUP(order_items!B448,products_2026!A:A,products_2026!C:C,,0,)</f>
        <v>Beauty</v>
      </c>
      <c r="E448">
        <f>_xlfn.XLOOKUP(B448,products_2026!A:A,products_2026!D:D,,0,)</f>
        <v>22.28</v>
      </c>
      <c r="F448">
        <f t="shared" si="6"/>
        <v>44.56</v>
      </c>
      <c r="G448" t="str">
        <f>_xlfn.XLOOKUP(B448,products_2026!A:A,products_2026!B:B,,0,)</f>
        <v>Hair Strengthening Mask shea butter</v>
      </c>
      <c r="H448" t="str">
        <f>_xlfn.XLOOKUP(B448,products_2026!A:A,products_2026!E:E,,0,)</f>
        <v>SELL0082</v>
      </c>
      <c r="I448" t="str">
        <f>IFERROR(_xlfn.XLOOKUP(H448,sellers_2026!A:A,sellers_2026!G:G,,0,), "unknown/inactive")</f>
        <v>NSW</v>
      </c>
      <c r="J448" t="str">
        <f>_xlfn.XLOOKUP(H448,sellers_2026!A:A,sellers_2026!B:B,,0,)</f>
        <v>blessedforall</v>
      </c>
    </row>
    <row r="449" spans="1:10" ht="14.25" customHeight="1" x14ac:dyDescent="0.3">
      <c r="A449" s="2" t="s">
        <v>2905</v>
      </c>
      <c r="B449" s="2" t="s">
        <v>154</v>
      </c>
      <c r="C449" s="2">
        <v>1</v>
      </c>
      <c r="D449" t="str">
        <f>_xlfn.XLOOKUP(order_items!B449,products_2026!A:A,products_2026!C:C,,0,)</f>
        <v>Toys</v>
      </c>
      <c r="E449">
        <f>_xlfn.XLOOKUP(B449,products_2026!A:A,products_2026!D:D,,0,)</f>
        <v>36.26</v>
      </c>
      <c r="F449">
        <f t="shared" si="6"/>
        <v>36.26</v>
      </c>
      <c r="G449" t="str">
        <f>_xlfn.XLOOKUP(B449,products_2026!A:A,products_2026!B:B,,0,)</f>
        <v>Educational Puzzle - Jungle Animals</v>
      </c>
      <c r="H449" t="str">
        <f>_xlfn.XLOOKUP(B449,products_2026!A:A,products_2026!E:E,,0,)</f>
        <v>SELL0032</v>
      </c>
      <c r="I449" t="str">
        <f>IFERROR(_xlfn.XLOOKUP(H449,sellers_2026!A:A,sellers_2026!G:G,,0,), "unknown/inactive")</f>
        <v>VIC</v>
      </c>
      <c r="J449" t="str">
        <f>_xlfn.XLOOKUP(H449,sellers_2026!A:A,sellers_2026!B:B,,0,)</f>
        <v>buydongxi25</v>
      </c>
    </row>
    <row r="450" spans="1:10" ht="14.25" customHeight="1" x14ac:dyDescent="0.3">
      <c r="A450" s="2" t="s">
        <v>2905</v>
      </c>
      <c r="B450" s="2" t="s">
        <v>943</v>
      </c>
      <c r="C450" s="2">
        <v>2</v>
      </c>
      <c r="D450" t="str">
        <f>_xlfn.XLOOKUP(order_items!B450,products_2026!A:A,products_2026!C:C,,0,)</f>
        <v>Health</v>
      </c>
      <c r="E450">
        <f>_xlfn.XLOOKUP(B450,products_2026!A:A,products_2026!D:D,,0,)</f>
        <v>24.44</v>
      </c>
      <c r="F450">
        <f t="shared" si="6"/>
        <v>48.88</v>
      </c>
      <c r="G450" t="str">
        <f>_xlfn.XLOOKUP(B450,products_2026!A:A,products_2026!B:B,,0,)</f>
        <v>Hand Grip Strengthener (Grey)</v>
      </c>
      <c r="H450" t="str">
        <f>_xlfn.XLOOKUP(B450,products_2026!A:A,products_2026!E:E,,0,)</f>
        <v>SELL0051</v>
      </c>
      <c r="I450" t="str">
        <f>IFERROR(_xlfn.XLOOKUP(H450,sellers_2026!A:A,sellers_2026!G:G,,0,), "unknown/inactive")</f>
        <v>NT</v>
      </c>
      <c r="J450" t="str">
        <f>_xlfn.XLOOKUP(H450,sellers_2026!A:A,sellers_2026!B:B,,0,)</f>
        <v>healthway</v>
      </c>
    </row>
    <row r="451" spans="1:10" ht="14.25" customHeight="1" x14ac:dyDescent="0.3">
      <c r="A451" s="2" t="s">
        <v>2906</v>
      </c>
      <c r="B451" s="2" t="s">
        <v>559</v>
      </c>
      <c r="C451" s="2">
        <v>1</v>
      </c>
      <c r="D451" t="str">
        <f>_xlfn.XLOOKUP(order_items!B451,products_2026!A:A,products_2026!C:C,,0,)</f>
        <v>Outdoor</v>
      </c>
      <c r="E451">
        <f>_xlfn.XLOOKUP(B451,products_2026!A:A,products_2026!D:D,,0,)</f>
        <v>51.74</v>
      </c>
      <c r="F451">
        <f t="shared" ref="F451:F514" si="7">C451*E451</f>
        <v>51.74</v>
      </c>
      <c r="G451" t="str">
        <f>_xlfn.XLOOKUP(B451,products_2026!A:A,products_2026!B:B,,0,)</f>
        <v>Garden Ornament Frog</v>
      </c>
      <c r="H451" t="str">
        <f>_xlfn.XLOOKUP(B451,products_2026!A:A,products_2026!E:E,,0,)</f>
        <v>SELL0077</v>
      </c>
      <c r="I451" t="str">
        <f>IFERROR(_xlfn.XLOOKUP(H451,sellers_2026!A:A,sellers_2026!G:G,,0,), "unknown/inactive")</f>
        <v>ACT</v>
      </c>
      <c r="J451" t="str">
        <f>_xlfn.XLOOKUP(H451,sellers_2026!A:A,sellers_2026!B:B,,0,)</f>
        <v>doorsyout</v>
      </c>
    </row>
    <row r="452" spans="1:10" ht="14.25" customHeight="1" x14ac:dyDescent="0.3">
      <c r="A452" s="2" t="s">
        <v>2907</v>
      </c>
      <c r="B452" s="2" t="s">
        <v>376</v>
      </c>
      <c r="C452" s="2">
        <v>1</v>
      </c>
      <c r="D452" t="str">
        <f>_xlfn.XLOOKUP(order_items!B452,products_2026!A:A,products_2026!C:C,,0,)</f>
        <v>Electronics</v>
      </c>
      <c r="E452">
        <f>_xlfn.XLOOKUP(B452,products_2026!A:A,products_2026!D:D,,0,)</f>
        <v>88.29</v>
      </c>
      <c r="F452">
        <f t="shared" si="7"/>
        <v>88.29</v>
      </c>
      <c r="G452" t="str">
        <f>_xlfn.XLOOKUP(B452,products_2026!A:A,products_2026!B:B,,0,)</f>
        <v>LED Light Bulb Reusable</v>
      </c>
      <c r="H452" t="str">
        <f>_xlfn.XLOOKUP(B452,products_2026!A:A,products_2026!E:E,,0,)</f>
        <v>SELL0057</v>
      </c>
      <c r="I452" t="str">
        <f>IFERROR(_xlfn.XLOOKUP(H452,sellers_2026!A:A,sellers_2026!G:G,,0,), "unknown/inactive")</f>
        <v>TAS</v>
      </c>
      <c r="J452" t="str">
        <f>_xlfn.XLOOKUP(H452,sellers_2026!A:A,sellers_2026!B:B,,0,)</f>
        <v>buildmydream</v>
      </c>
    </row>
    <row r="453" spans="1:10" ht="14.25" customHeight="1" x14ac:dyDescent="0.3">
      <c r="A453" s="2" t="s">
        <v>2907</v>
      </c>
      <c r="B453" s="2" t="s">
        <v>760</v>
      </c>
      <c r="C453" s="2">
        <v>1</v>
      </c>
      <c r="D453" t="str">
        <f>_xlfn.XLOOKUP(order_items!B453,products_2026!A:A,products_2026!C:C,,0,)</f>
        <v>Health</v>
      </c>
      <c r="E453">
        <f>_xlfn.XLOOKUP(B453,products_2026!A:A,products_2026!D:D,,0,)</f>
        <v>23.35</v>
      </c>
      <c r="F453">
        <f t="shared" si="7"/>
        <v>23.35</v>
      </c>
      <c r="G453" t="str">
        <f>_xlfn.XLOOKUP(B453,products_2026!A:A,products_2026!B:B,,0,)</f>
        <v>Adjustable Dumbbell 10kg</v>
      </c>
      <c r="H453" t="str">
        <f>_xlfn.XLOOKUP(B453,products_2026!A:A,products_2026!E:E,,0,)</f>
        <v>SELL0051</v>
      </c>
      <c r="I453" t="str">
        <f>IFERROR(_xlfn.XLOOKUP(H453,sellers_2026!A:A,sellers_2026!G:G,,0,), "unknown/inactive")</f>
        <v>NT</v>
      </c>
      <c r="J453" t="str">
        <f>_xlfn.XLOOKUP(H453,sellers_2026!A:A,sellers_2026!B:B,,0,)</f>
        <v>healthway</v>
      </c>
    </row>
    <row r="454" spans="1:10" ht="14.25" customHeight="1" x14ac:dyDescent="0.3">
      <c r="A454" s="2" t="s">
        <v>2908</v>
      </c>
      <c r="B454" s="2" t="s">
        <v>640</v>
      </c>
      <c r="C454" s="2">
        <v>2</v>
      </c>
      <c r="D454" t="str">
        <f>_xlfn.XLOOKUP(order_items!B454,products_2026!A:A,products_2026!C:C,,0,)</f>
        <v>Clothes</v>
      </c>
      <c r="E454">
        <f>_xlfn.XLOOKUP(B454,products_2026!A:A,products_2026!D:D,,0,)</f>
        <v>37.99</v>
      </c>
      <c r="F454">
        <f t="shared" si="7"/>
        <v>75.98</v>
      </c>
      <c r="G454" t="str">
        <f>_xlfn.XLOOKUP(B454,products_2026!A:A,products_2026!B:B,,0,)</f>
        <v>Cotton T Black Small</v>
      </c>
      <c r="H454" t="str">
        <f>_xlfn.XLOOKUP(B454,products_2026!A:A,products_2026!E:E,,0,)</f>
        <v>SELL0086</v>
      </c>
      <c r="I454" t="str">
        <f>IFERROR(_xlfn.XLOOKUP(H454,sellers_2026!A:A,sellers_2026!G:G,,0,), "unknown/inactive")</f>
        <v>VIC</v>
      </c>
      <c r="J454" t="str">
        <f>_xlfn.XLOOKUP(H454,sellers_2026!A:A,sellers_2026!B:B,,0,)</f>
        <v>clothesforlife</v>
      </c>
    </row>
    <row r="455" spans="1:10" ht="14.25" customHeight="1" x14ac:dyDescent="0.3">
      <c r="A455" s="2" t="s">
        <v>2909</v>
      </c>
      <c r="B455" s="2" t="s">
        <v>776</v>
      </c>
      <c r="C455" s="2">
        <v>1</v>
      </c>
      <c r="D455" t="str">
        <f>_xlfn.XLOOKUP(order_items!B455,products_2026!A:A,products_2026!C:C,,0,)</f>
        <v>Health</v>
      </c>
      <c r="E455">
        <f>_xlfn.XLOOKUP(B455,products_2026!A:A,products_2026!D:D,,0,)</f>
        <v>34.46</v>
      </c>
      <c r="F455">
        <f t="shared" si="7"/>
        <v>34.46</v>
      </c>
      <c r="G455" t="str">
        <f>_xlfn.XLOOKUP(B455,products_2026!A:A,products_2026!B:B,,0,)</f>
        <v>Protein Shaker Bottle 600ml</v>
      </c>
      <c r="H455" t="str">
        <f>_xlfn.XLOOKUP(B455,products_2026!A:A,products_2026!E:E,,0,)</f>
        <v>SELL0066</v>
      </c>
      <c r="I455" t="str">
        <f>IFERROR(_xlfn.XLOOKUP(H455,sellers_2026!A:A,sellers_2026!G:G,,0,), "unknown/inactive")</f>
        <v>VIC</v>
      </c>
      <c r="J455" t="str">
        <f>_xlfn.XLOOKUP(H455,sellers_2026!A:A,sellers_2026!B:B,,0,)</f>
        <v>healthcarehelp</v>
      </c>
    </row>
    <row r="456" spans="1:10" ht="14.25" customHeight="1" x14ac:dyDescent="0.3">
      <c r="A456" s="2" t="s">
        <v>2910</v>
      </c>
      <c r="B456" s="2" t="s">
        <v>262</v>
      </c>
      <c r="C456" s="2">
        <v>1</v>
      </c>
      <c r="D456" t="str">
        <f>_xlfn.XLOOKUP(order_items!B456,products_2026!A:A,products_2026!C:C,,0,)</f>
        <v>Home</v>
      </c>
      <c r="E456">
        <f>_xlfn.XLOOKUP(B456,products_2026!A:A,products_2026!D:D,,0,)</f>
        <v>91.41</v>
      </c>
      <c r="F456">
        <f t="shared" si="7"/>
        <v>91.41</v>
      </c>
      <c r="G456" t="str">
        <f>_xlfn.XLOOKUP(B456,products_2026!A:A,products_2026!B:B,,0,)</f>
        <v>Premium Soy Candle Orange Blossom</v>
      </c>
      <c r="H456" t="str">
        <f>_xlfn.XLOOKUP(B456,products_2026!A:A,products_2026!E:E,,0,)</f>
        <v>SELL0042</v>
      </c>
      <c r="I456" t="str">
        <f>IFERROR(_xlfn.XLOOKUP(H456,sellers_2026!A:A,sellers_2026!G:G,,0,), "unknown/inactive")</f>
        <v>WA</v>
      </c>
      <c r="J456" t="str">
        <f>_xlfn.XLOOKUP(H456,sellers_2026!A:A,sellers_2026!B:B,,0,)</f>
        <v>beauty490</v>
      </c>
    </row>
    <row r="457" spans="1:10" ht="14.25" customHeight="1" x14ac:dyDescent="0.3">
      <c r="A457" s="2" t="s">
        <v>2910</v>
      </c>
      <c r="B457" s="2" t="s">
        <v>748</v>
      </c>
      <c r="C457" s="2">
        <v>1</v>
      </c>
      <c r="D457" t="str">
        <f>_xlfn.XLOOKUP(order_items!B457,products_2026!A:A,products_2026!C:C,,0,)</f>
        <v>Health</v>
      </c>
      <c r="E457">
        <f>_xlfn.XLOOKUP(B457,products_2026!A:A,products_2026!D:D,,0,)</f>
        <v>75.05</v>
      </c>
      <c r="F457">
        <f t="shared" si="7"/>
        <v>75.05</v>
      </c>
      <c r="G457" t="str">
        <f>_xlfn.XLOOKUP(B457,products_2026!A:A,products_2026!B:B,,0,)</f>
        <v>Blood Pressure Monitor bluetooth</v>
      </c>
      <c r="H457" t="str">
        <f>_xlfn.XLOOKUP(B457,products_2026!A:A,products_2026!E:E,,0,)</f>
        <v>SELL0089</v>
      </c>
      <c r="I457" t="str">
        <f>IFERROR(_xlfn.XLOOKUP(H457,sellers_2026!A:A,sellers_2026!G:G,,0,), "unknown/inactive")</f>
        <v>QLD</v>
      </c>
      <c r="J457" t="str">
        <f>_xlfn.XLOOKUP(H457,sellers_2026!A:A,sellers_2026!B:B,,0,)</f>
        <v>pyrurodqk4</v>
      </c>
    </row>
    <row r="458" spans="1:10" ht="14.25" customHeight="1" x14ac:dyDescent="0.3">
      <c r="A458" s="2" t="s">
        <v>2911</v>
      </c>
      <c r="B458" s="2" t="s">
        <v>245</v>
      </c>
      <c r="C458" s="2">
        <v>1</v>
      </c>
      <c r="D458" t="str">
        <f>_xlfn.XLOOKUP(order_items!B458,products_2026!A:A,products_2026!C:C,,0,)</f>
        <v>Jewellery</v>
      </c>
      <c r="E458">
        <f>_xlfn.XLOOKUP(B458,products_2026!A:A,products_2026!D:D,,0,)</f>
        <v>58.45</v>
      </c>
      <c r="F458">
        <f t="shared" si="7"/>
        <v>58.45</v>
      </c>
      <c r="G458" t="str">
        <f>_xlfn.XLOOKUP(B458,products_2026!A:A,products_2026!B:B,,0,)</f>
        <v>Pearl Stud Earrings Genuine Pearl</v>
      </c>
      <c r="H458" t="str">
        <f>_xlfn.XLOOKUP(B458,products_2026!A:A,products_2026!E:E,,0,)</f>
        <v>SELL0041</v>
      </c>
      <c r="I458" t="str">
        <f>IFERROR(_xlfn.XLOOKUP(H458,sellers_2026!A:A,sellers_2026!G:G,,0,), "unknown/inactive")</f>
        <v>NT</v>
      </c>
      <c r="J458" t="str">
        <f>_xlfn.XLOOKUP(H458,sellers_2026!A:A,sellers_2026!B:B,,0,)</f>
        <v>wcs62ctlxh</v>
      </c>
    </row>
    <row r="459" spans="1:10" ht="14.25" customHeight="1" x14ac:dyDescent="0.3">
      <c r="A459" s="2" t="s">
        <v>2911</v>
      </c>
      <c r="B459" s="2" t="s">
        <v>247</v>
      </c>
      <c r="C459" s="2">
        <v>1</v>
      </c>
      <c r="D459" t="str">
        <f>_xlfn.XLOOKUP(order_items!B459,products_2026!A:A,products_2026!C:C,,0,)</f>
        <v>Gift_Sets</v>
      </c>
      <c r="E459">
        <f>_xlfn.XLOOKUP(B459,products_2026!A:A,products_2026!D:D,,0,)</f>
        <v>32.44</v>
      </c>
      <c r="F459">
        <f t="shared" si="7"/>
        <v>32.44</v>
      </c>
      <c r="G459" t="str">
        <f>_xlfn.XLOOKUP(B459,products_2026!A:A,products_2026!B:B,,0,)</f>
        <v>Dark Chocolate Selection Box</v>
      </c>
      <c r="H459" t="str">
        <f>_xlfn.XLOOKUP(B459,products_2026!A:A,products_2026!E:E,,0,)</f>
        <v>SELL0041</v>
      </c>
      <c r="I459" t="str">
        <f>IFERROR(_xlfn.XLOOKUP(H459,sellers_2026!A:A,sellers_2026!G:G,,0,), "unknown/inactive")</f>
        <v>NT</v>
      </c>
      <c r="J459" t="str">
        <f>_xlfn.XLOOKUP(H459,sellers_2026!A:A,sellers_2026!B:B,,0,)</f>
        <v>wcs62ctlxh</v>
      </c>
    </row>
    <row r="460" spans="1:10" ht="14.25" customHeight="1" x14ac:dyDescent="0.3">
      <c r="A460" s="2" t="s">
        <v>2912</v>
      </c>
      <c r="B460" s="2" t="s">
        <v>251</v>
      </c>
      <c r="C460" s="2">
        <v>2</v>
      </c>
      <c r="D460" t="str">
        <f>_xlfn.XLOOKUP(order_items!B460,products_2026!A:A,products_2026!C:C,,0,)</f>
        <v>Clothes</v>
      </c>
      <c r="E460">
        <f>_xlfn.XLOOKUP(B460,products_2026!A:A,products_2026!D:D,,0,)</f>
        <v>39.99</v>
      </c>
      <c r="F460">
        <f t="shared" si="7"/>
        <v>79.98</v>
      </c>
      <c r="G460" t="str">
        <f>_xlfn.XLOOKUP(B460,products_2026!A:A,products_2026!B:B,,0,)</f>
        <v>Cotton T‑Shirt Green XL</v>
      </c>
      <c r="H460" t="str">
        <f>_xlfn.XLOOKUP(B460,products_2026!A:A,products_2026!E:E,,0,)</f>
        <v>SELL0041</v>
      </c>
      <c r="I460" t="str">
        <f>IFERROR(_xlfn.XLOOKUP(H460,sellers_2026!A:A,sellers_2026!G:G,,0,), "unknown/inactive")</f>
        <v>NT</v>
      </c>
      <c r="J460" t="str">
        <f>_xlfn.XLOOKUP(H460,sellers_2026!A:A,sellers_2026!B:B,,0,)</f>
        <v>wcs62ctlxh</v>
      </c>
    </row>
    <row r="461" spans="1:10" ht="14.25" customHeight="1" x14ac:dyDescent="0.3">
      <c r="A461" s="2" t="s">
        <v>2912</v>
      </c>
      <c r="B461" s="2" t="s">
        <v>535</v>
      </c>
      <c r="C461" s="2">
        <v>1</v>
      </c>
      <c r="D461" t="str">
        <f>_xlfn.XLOOKUP(order_items!B461,products_2026!A:A,products_2026!C:C,,0,)</f>
        <v>Beauty</v>
      </c>
      <c r="E461">
        <f>_xlfn.XLOOKUP(B461,products_2026!A:A,products_2026!D:D,,0,)</f>
        <v>32.19</v>
      </c>
      <c r="F461">
        <f t="shared" si="7"/>
        <v>32.19</v>
      </c>
      <c r="G461" t="str">
        <f>_xlfn.XLOOKUP(B461,products_2026!A:A,products_2026!B:B,,0,)</f>
        <v>Makeup Sponge Pack Orange</v>
      </c>
      <c r="H461" t="str">
        <f>_xlfn.XLOOKUP(B461,products_2026!A:A,products_2026!E:E,,0,)</f>
        <v>SELL0074</v>
      </c>
      <c r="I461" t="str">
        <f>IFERROR(_xlfn.XLOOKUP(H461,sellers_2026!A:A,sellers_2026!G:G,,0,), "unknown/inactive")</f>
        <v>NT</v>
      </c>
      <c r="J461" t="str">
        <f>_xlfn.XLOOKUP(H461,sellers_2026!A:A,sellers_2026!B:B,,0,)</f>
        <v>springlesprungle3</v>
      </c>
    </row>
    <row r="462" spans="1:10" ht="14.25" customHeight="1" x14ac:dyDescent="0.3">
      <c r="A462" s="2" t="s">
        <v>2913</v>
      </c>
      <c r="B462" s="2" t="s">
        <v>51</v>
      </c>
      <c r="C462" s="2">
        <v>1</v>
      </c>
      <c r="D462" t="str">
        <f>_xlfn.XLOOKUP(order_items!B462,products_2026!A:A,products_2026!C:C,,0,)</f>
        <v>Outdoor</v>
      </c>
      <c r="E462">
        <f>_xlfn.XLOOKUP(B462,products_2026!A:A,products_2026!D:D,,0,)</f>
        <v>48.06</v>
      </c>
      <c r="F462">
        <f t="shared" si="7"/>
        <v>48.06</v>
      </c>
      <c r="G462" t="str">
        <f>_xlfn.XLOOKUP(B462,products_2026!A:A,products_2026!B:B,,0,)</f>
        <v>Garden Lights 4 pack Solar Power</v>
      </c>
      <c r="H462" t="str">
        <f>_xlfn.XLOOKUP(B462,products_2026!A:A,products_2026!E:E,,0,)</f>
        <v>SELL0014</v>
      </c>
      <c r="I462" t="str">
        <f>IFERROR(_xlfn.XLOOKUP(H462,sellers_2026!A:A,sellers_2026!G:G,,0,), "unknown/inactive")</f>
        <v>ACT</v>
      </c>
      <c r="J462" t="str">
        <f>_xlfn.XLOOKUP(H462,sellers_2026!A:A,sellers_2026!B:B,,0,)</f>
        <v>gardenandco</v>
      </c>
    </row>
    <row r="463" spans="1:10" ht="14.25" customHeight="1" x14ac:dyDescent="0.3">
      <c r="A463" s="2" t="s">
        <v>2914</v>
      </c>
      <c r="B463" s="2" t="s">
        <v>832</v>
      </c>
      <c r="C463" s="2">
        <v>1</v>
      </c>
      <c r="D463" t="str">
        <f>_xlfn.XLOOKUP(order_items!B463,products_2026!A:A,products_2026!C:C,,0,)</f>
        <v>Home</v>
      </c>
      <c r="E463">
        <f>_xlfn.XLOOKUP(B463,products_2026!A:A,products_2026!D:D,,0,)</f>
        <v>85.94</v>
      </c>
      <c r="F463">
        <f t="shared" si="7"/>
        <v>85.94</v>
      </c>
      <c r="G463" t="str">
        <f>_xlfn.XLOOKUP(B463,products_2026!A:A,products_2026!B:B,,0,)</f>
        <v>Adjustable Dumbbell 15kg</v>
      </c>
      <c r="H463" t="str">
        <f>_xlfn.XLOOKUP(B463,products_2026!A:A,products_2026!E:E,,0,)</f>
        <v>SELL0090</v>
      </c>
      <c r="I463" t="str">
        <f>IFERROR(_xlfn.XLOOKUP(H463,sellers_2026!A:A,sellers_2026!G:G,,0,), "unknown/inactive")</f>
        <v>TAS</v>
      </c>
      <c r="J463" t="str">
        <f>_xlfn.XLOOKUP(H463,sellers_2026!A:A,sellers_2026!B:B,,0,)</f>
        <v>housenice</v>
      </c>
    </row>
    <row r="464" spans="1:10" ht="14.25" customHeight="1" x14ac:dyDescent="0.3">
      <c r="A464" s="2" t="s">
        <v>2915</v>
      </c>
      <c r="B464" s="2" t="s">
        <v>126</v>
      </c>
      <c r="C464" s="2">
        <v>1</v>
      </c>
      <c r="D464" t="str">
        <f>_xlfn.XLOOKUP(order_items!B464,products_2026!A:A,products_2026!C:C,,0,)</f>
        <v>Electronics</v>
      </c>
      <c r="E464">
        <f>_xlfn.XLOOKUP(B464,products_2026!A:A,products_2026!D:D,,0,)</f>
        <v>89.8</v>
      </c>
      <c r="F464">
        <f t="shared" si="7"/>
        <v>89.8</v>
      </c>
      <c r="G464" t="str">
        <f>_xlfn.XLOOKUP(B464,products_2026!A:A,products_2026!B:B,,0,)</f>
        <v>Wireless Keyboard (Navy)</v>
      </c>
      <c r="H464" t="str">
        <f>_xlfn.XLOOKUP(B464,products_2026!A:A,products_2026!E:E,,0,)</f>
        <v>SELL0026</v>
      </c>
      <c r="I464" t="str">
        <f>IFERROR(_xlfn.XLOOKUP(H464,sellers_2026!A:A,sellers_2026!G:G,,0,), "unknown/inactive")</f>
        <v>NSW</v>
      </c>
      <c r="J464" t="str">
        <f>_xlfn.XLOOKUP(H464,sellers_2026!A:A,sellers_2026!B:B,,0,)</f>
        <v>buyeverything-1</v>
      </c>
    </row>
    <row r="465" spans="1:10" ht="14.25" customHeight="1" x14ac:dyDescent="0.3">
      <c r="A465" s="2" t="s">
        <v>2915</v>
      </c>
      <c r="B465" s="2" t="s">
        <v>226</v>
      </c>
      <c r="C465" s="2">
        <v>1</v>
      </c>
      <c r="D465" t="str">
        <f>_xlfn.XLOOKUP(order_items!B465,products_2026!A:A,products_2026!C:C,,0,)</f>
        <v>Clothes</v>
      </c>
      <c r="E465">
        <f>_xlfn.XLOOKUP(B465,products_2026!A:A,products_2026!D:D,,0,)</f>
        <v>27.76</v>
      </c>
      <c r="F465">
        <f t="shared" si="7"/>
        <v>27.76</v>
      </c>
      <c r="G465" t="str">
        <f>_xlfn.XLOOKUP(B465,products_2026!A:A,products_2026!B:B,,0,)</f>
        <v>T‑Shirt XL Polycotton Black</v>
      </c>
      <c r="H465" t="str">
        <f>_xlfn.XLOOKUP(B465,products_2026!A:A,products_2026!E:E,,0,)</f>
        <v>SELL0039</v>
      </c>
      <c r="I465" t="str">
        <f>IFERROR(_xlfn.XLOOKUP(H465,sellers_2026!A:A,sellers_2026!G:G,,0,), "unknown/inactive")</f>
        <v>QLD</v>
      </c>
      <c r="J465" t="str">
        <f>_xlfn.XLOOKUP(H465,sellers_2026!A:A,sellers_2026!B:B,,0,)</f>
        <v>zmkizlf6t6</v>
      </c>
    </row>
    <row r="466" spans="1:10" ht="14.25" customHeight="1" x14ac:dyDescent="0.3">
      <c r="A466" s="2" t="s">
        <v>2915</v>
      </c>
      <c r="B466" s="2" t="s">
        <v>614</v>
      </c>
      <c r="C466" s="2">
        <v>2</v>
      </c>
      <c r="D466" t="str">
        <f>_xlfn.XLOOKUP(order_items!B466,products_2026!A:A,products_2026!C:C,,0,)</f>
        <v>Beauty</v>
      </c>
      <c r="E466">
        <f>_xlfn.XLOOKUP(B466,products_2026!A:A,products_2026!D:D,,0,)</f>
        <v>32.26</v>
      </c>
      <c r="F466">
        <f t="shared" si="7"/>
        <v>64.52</v>
      </c>
      <c r="G466" t="str">
        <f>_xlfn.XLOOKUP(B466,products_2026!A:A,products_2026!B:B,,0,)</f>
        <v>Vitamin C Serum 50ml</v>
      </c>
      <c r="H466" t="str">
        <f>_xlfn.XLOOKUP(B466,products_2026!A:A,products_2026!E:E,,0,)</f>
        <v>SELL0084</v>
      </c>
      <c r="I466" t="str">
        <f>IFERROR(_xlfn.XLOOKUP(H466,sellers_2026!A:A,sellers_2026!G:G,,0,), "unknown/inactive")</f>
        <v>NSW</v>
      </c>
      <c r="J466" t="str">
        <f>_xlfn.XLOOKUP(H466,sellers_2026!A:A,sellers_2026!B:B,,0,)</f>
        <v>lfmk805jw2</v>
      </c>
    </row>
    <row r="467" spans="1:10" ht="14.25" customHeight="1" x14ac:dyDescent="0.3">
      <c r="A467" s="2" t="s">
        <v>2916</v>
      </c>
      <c r="B467" s="2" t="s">
        <v>273</v>
      </c>
      <c r="C467" s="2">
        <v>1</v>
      </c>
      <c r="D467" t="str">
        <f>_xlfn.XLOOKUP(order_items!B467,products_2026!A:A,products_2026!C:C,,0,)</f>
        <v>Clothes</v>
      </c>
      <c r="E467">
        <f>_xlfn.XLOOKUP(B467,products_2026!A:A,products_2026!D:D,,0,)</f>
        <v>53.5</v>
      </c>
      <c r="F467">
        <f t="shared" si="7"/>
        <v>53.5</v>
      </c>
      <c r="G467" t="str">
        <f>_xlfn.XLOOKUP(B467,products_2026!A:A,products_2026!B:B,,0,)</f>
        <v>Rain Jacket Red XS</v>
      </c>
      <c r="H467" t="str">
        <f>_xlfn.XLOOKUP(B467,products_2026!A:A,products_2026!E:E,,0,)</f>
        <v>SELL0043</v>
      </c>
      <c r="I467" t="str">
        <f>IFERROR(_xlfn.XLOOKUP(H467,sellers_2026!A:A,sellers_2026!G:G,,0,), "unknown/inactive")</f>
        <v>WA</v>
      </c>
      <c r="J467" t="str">
        <f>_xlfn.XLOOKUP(H467,sellers_2026!A:A,sellers_2026!B:B,,0,)</f>
        <v>g9x1rt9dw8</v>
      </c>
    </row>
    <row r="468" spans="1:10" ht="14.25" customHeight="1" x14ac:dyDescent="0.3">
      <c r="A468" s="2" t="s">
        <v>2916</v>
      </c>
      <c r="B468" s="2" t="s">
        <v>445</v>
      </c>
      <c r="C468" s="2">
        <v>1</v>
      </c>
      <c r="D468" t="str">
        <f>_xlfn.XLOOKUP(order_items!B468,products_2026!A:A,products_2026!C:C,,0,)</f>
        <v>Jewellery</v>
      </c>
      <c r="E468">
        <f>_xlfn.XLOOKUP(B468,products_2026!A:A,products_2026!D:D,,0,)</f>
        <v>48.51</v>
      </c>
      <c r="F468">
        <f t="shared" si="7"/>
        <v>48.51</v>
      </c>
      <c r="G468" t="str">
        <f>_xlfn.XLOOKUP(B468,products_2026!A:A,products_2026!B:B,,0,)</f>
        <v>Jewellery Gift Box Clear Plastic 6 compartment</v>
      </c>
      <c r="H468" t="str">
        <f>_xlfn.XLOOKUP(B468,products_2026!A:A,products_2026!E:E,,0,)</f>
        <v>SELL0062</v>
      </c>
      <c r="I468" t="str">
        <f>IFERROR(_xlfn.XLOOKUP(H468,sellers_2026!A:A,sellers_2026!G:G,,0,), "unknown/inactive")</f>
        <v>QLD</v>
      </c>
      <c r="J468" t="str">
        <f>_xlfn.XLOOKUP(H468,sellers_2026!A:A,sellers_2026!B:B,,0,)</f>
        <v>queenslandqweenie</v>
      </c>
    </row>
    <row r="469" spans="1:10" ht="14.25" customHeight="1" x14ac:dyDescent="0.3">
      <c r="A469" s="2" t="s">
        <v>2917</v>
      </c>
      <c r="B469" s="2" t="s">
        <v>262</v>
      </c>
      <c r="C469" s="2">
        <v>1</v>
      </c>
      <c r="D469" t="str">
        <f>_xlfn.XLOOKUP(order_items!B469,products_2026!A:A,products_2026!C:C,,0,)</f>
        <v>Home</v>
      </c>
      <c r="E469">
        <f>_xlfn.XLOOKUP(B469,products_2026!A:A,products_2026!D:D,,0,)</f>
        <v>91.41</v>
      </c>
      <c r="F469">
        <f t="shared" si="7"/>
        <v>91.41</v>
      </c>
      <c r="G469" t="str">
        <f>_xlfn.XLOOKUP(B469,products_2026!A:A,products_2026!B:B,,0,)</f>
        <v>Premium Soy Candle Orange Blossom</v>
      </c>
      <c r="H469" t="str">
        <f>_xlfn.XLOOKUP(B469,products_2026!A:A,products_2026!E:E,,0,)</f>
        <v>SELL0042</v>
      </c>
      <c r="I469" t="str">
        <f>IFERROR(_xlfn.XLOOKUP(H469,sellers_2026!A:A,sellers_2026!G:G,,0,), "unknown/inactive")</f>
        <v>WA</v>
      </c>
      <c r="J469" t="str">
        <f>_xlfn.XLOOKUP(H469,sellers_2026!A:A,sellers_2026!B:B,,0,)</f>
        <v>beauty490</v>
      </c>
    </row>
    <row r="470" spans="1:10" ht="14.25" customHeight="1" x14ac:dyDescent="0.3">
      <c r="A470" s="2" t="s">
        <v>2918</v>
      </c>
      <c r="B470" s="2" t="s">
        <v>634</v>
      </c>
      <c r="C470" s="2">
        <v>1</v>
      </c>
      <c r="D470" t="str">
        <f>_xlfn.XLOOKUP(order_items!B470,products_2026!A:A,products_2026!C:C,,0,)</f>
        <v>Clothes</v>
      </c>
      <c r="E470">
        <f>_xlfn.XLOOKUP(B470,products_2026!A:A,products_2026!D:D,,0,)</f>
        <v>36.49</v>
      </c>
      <c r="F470">
        <f t="shared" si="7"/>
        <v>36.49</v>
      </c>
      <c r="G470" t="str">
        <f>_xlfn.XLOOKUP(B470,products_2026!A:A,products_2026!B:B,,0,)</f>
        <v>Cotton T‑Shirt Green S</v>
      </c>
      <c r="H470" t="str">
        <f>_xlfn.XLOOKUP(B470,products_2026!A:A,products_2026!E:E,,0,)</f>
        <v>SELL0086</v>
      </c>
      <c r="I470" t="str">
        <f>IFERROR(_xlfn.XLOOKUP(H470,sellers_2026!A:A,sellers_2026!G:G,,0,), "unknown/inactive")</f>
        <v>VIC</v>
      </c>
      <c r="J470" t="str">
        <f>_xlfn.XLOOKUP(H470,sellers_2026!A:A,sellers_2026!B:B,,0,)</f>
        <v>clothesforlife</v>
      </c>
    </row>
    <row r="471" spans="1:10" ht="14.25" customHeight="1" x14ac:dyDescent="0.3">
      <c r="A471" s="2" t="s">
        <v>2918</v>
      </c>
      <c r="B471" s="2" t="s">
        <v>698</v>
      </c>
      <c r="C471" s="2">
        <v>1</v>
      </c>
      <c r="D471" t="str">
        <f>_xlfn.XLOOKUP(order_items!B471,products_2026!A:A,products_2026!C:C,,0,)</f>
        <v>Electronics</v>
      </c>
      <c r="E471">
        <f>_xlfn.XLOOKUP(B471,products_2026!A:A,products_2026!D:D,,0,)</f>
        <v>63.84</v>
      </c>
      <c r="F471">
        <f t="shared" si="7"/>
        <v>63.84</v>
      </c>
      <c r="G471" t="str">
        <f>_xlfn.XLOOKUP(B471,products_2026!A:A,products_2026!B:B,,0,)</f>
        <v>Noise Cancelling Headphones (Red)</v>
      </c>
      <c r="H471" t="str">
        <f>_xlfn.XLOOKUP(B471,products_2026!A:A,products_2026!E:E,,0,)</f>
        <v>SELL0088</v>
      </c>
      <c r="I471" t="str">
        <f>IFERROR(_xlfn.XLOOKUP(H471,sellers_2026!A:A,sellers_2026!G:G,,0,), "unknown/inactive")</f>
        <v>TAS</v>
      </c>
      <c r="J471" t="str">
        <f>_xlfn.XLOOKUP(H471,sellers_2026!A:A,sellers_2026!B:B,,0,)</f>
        <v>7ti9lfa6h5</v>
      </c>
    </row>
    <row r="472" spans="1:10" ht="14.25" customHeight="1" x14ac:dyDescent="0.3">
      <c r="A472" s="2" t="s">
        <v>2919</v>
      </c>
      <c r="B472" s="2" t="s">
        <v>264</v>
      </c>
      <c r="C472" s="2">
        <v>1</v>
      </c>
      <c r="D472" t="str">
        <f>_xlfn.XLOOKUP(order_items!B472,products_2026!A:A,products_2026!C:C,,0,)</f>
        <v>Jewellery</v>
      </c>
      <c r="E472">
        <f>_xlfn.XLOOKUP(B472,products_2026!A:A,products_2026!D:D,,0,)</f>
        <v>13.16</v>
      </c>
      <c r="F472">
        <f t="shared" si="7"/>
        <v>13.16</v>
      </c>
      <c r="G472" t="str">
        <f>_xlfn.XLOOKUP(B472,products_2026!A:A,products_2026!B:B,,0,)</f>
        <v>Sterling Silver Necklace</v>
      </c>
      <c r="H472" t="str">
        <f>_xlfn.XLOOKUP(B472,products_2026!A:A,products_2026!E:E,,0,)</f>
        <v>SELL0042</v>
      </c>
      <c r="I472" t="str">
        <f>IFERROR(_xlfn.XLOOKUP(H472,sellers_2026!A:A,sellers_2026!G:G,,0,), "unknown/inactive")</f>
        <v>WA</v>
      </c>
      <c r="J472" t="str">
        <f>_xlfn.XLOOKUP(H472,sellers_2026!A:A,sellers_2026!B:B,,0,)</f>
        <v>beauty490</v>
      </c>
    </row>
    <row r="473" spans="1:10" ht="14.25" customHeight="1" x14ac:dyDescent="0.3">
      <c r="A473" s="2" t="s">
        <v>2919</v>
      </c>
      <c r="B473" s="2" t="s">
        <v>266</v>
      </c>
      <c r="C473" s="2">
        <v>1</v>
      </c>
      <c r="D473" t="str">
        <f>_xlfn.XLOOKUP(order_items!B473,products_2026!A:A,products_2026!C:C,,0,)</f>
        <v>Beauty</v>
      </c>
      <c r="E473">
        <f>_xlfn.XLOOKUP(B473,products_2026!A:A,products_2026!D:D,,0,)</f>
        <v>15.99</v>
      </c>
      <c r="F473">
        <f t="shared" si="7"/>
        <v>15.99</v>
      </c>
      <c r="G473" t="str">
        <f>_xlfn.XLOOKUP(B473,products_2026!A:A,products_2026!B:B,,0,)</f>
        <v>Organic Lip Balm - Cherry</v>
      </c>
      <c r="H473" t="str">
        <f>_xlfn.XLOOKUP(B473,products_2026!A:A,products_2026!E:E,,0,)</f>
        <v>SELL0043</v>
      </c>
      <c r="I473" t="str">
        <f>IFERROR(_xlfn.XLOOKUP(H473,sellers_2026!A:A,sellers_2026!G:G,,0,), "unknown/inactive")</f>
        <v>WA</v>
      </c>
      <c r="J473" t="str">
        <f>_xlfn.XLOOKUP(H473,sellers_2026!A:A,sellers_2026!B:B,,0,)</f>
        <v>g9x1rt9dw8</v>
      </c>
    </row>
    <row r="474" spans="1:10" ht="14.25" customHeight="1" x14ac:dyDescent="0.3">
      <c r="A474" s="2" t="s">
        <v>2920</v>
      </c>
      <c r="B474" s="2" t="s">
        <v>569</v>
      </c>
      <c r="C474" s="2">
        <v>2</v>
      </c>
      <c r="D474" t="str">
        <f>_xlfn.XLOOKUP(order_items!B474,products_2026!A:A,products_2026!C:C,,0,)</f>
        <v>Gift_Sets</v>
      </c>
      <c r="E474">
        <f>_xlfn.XLOOKUP(B474,products_2026!A:A,products_2026!D:D,,0,)</f>
        <v>34.36</v>
      </c>
      <c r="F474">
        <f t="shared" si="7"/>
        <v>68.72</v>
      </c>
      <c r="G474" t="str">
        <f>_xlfn.XLOOKUP(B474,products_2026!A:A,products_2026!B:B,,0,)</f>
        <v>Spa Pamper Gift Set Relaxing Calm</v>
      </c>
      <c r="H474" t="str">
        <f>_xlfn.XLOOKUP(B474,products_2026!A:A,products_2026!E:E,,0,)</f>
        <v>SELL0078</v>
      </c>
      <c r="I474" t="str">
        <f>IFERROR(_xlfn.XLOOKUP(H474,sellers_2026!A:A,sellers_2026!G:G,,0,), "unknown/inactive")</f>
        <v>TAS</v>
      </c>
      <c r="J474" t="str">
        <f>_xlfn.XLOOKUP(H474,sellers_2026!A:A,sellers_2026!B:B,,0,)</f>
        <v>r6vd2aojq8</v>
      </c>
    </row>
    <row r="475" spans="1:10" ht="14.25" customHeight="1" x14ac:dyDescent="0.3">
      <c r="A475" s="2" t="s">
        <v>2921</v>
      </c>
      <c r="B475" s="2" t="s">
        <v>555</v>
      </c>
      <c r="C475" s="2">
        <v>1</v>
      </c>
      <c r="D475" t="str">
        <f>_xlfn.XLOOKUP(order_items!B475,products_2026!A:A,products_2026!C:C,,0,)</f>
        <v>Toys</v>
      </c>
      <c r="E475">
        <f>_xlfn.XLOOKUP(B475,products_2026!A:A,products_2026!D:D,,0,)</f>
        <v>26.73</v>
      </c>
      <c r="F475">
        <f t="shared" si="7"/>
        <v>26.73</v>
      </c>
      <c r="G475" t="str">
        <f>_xlfn.XLOOKUP(B475,products_2026!A:A,products_2026!B:B,,0,)</f>
        <v>Skipping Rope</v>
      </c>
      <c r="H475" t="str">
        <f>_xlfn.XLOOKUP(B475,products_2026!A:A,products_2026!E:E,,0,)</f>
        <v>SELL0076</v>
      </c>
      <c r="I475" t="str">
        <f>IFERROR(_xlfn.XLOOKUP(H475,sellers_2026!A:A,sellers_2026!G:G,,0,), "unknown/inactive")</f>
        <v>QLD</v>
      </c>
      <c r="J475" t="str">
        <f>_xlfn.XLOOKUP(H475,sellers_2026!A:A,sellers_2026!B:B,,0,)</f>
        <v>generalstuff</v>
      </c>
    </row>
    <row r="476" spans="1:10" ht="14.25" customHeight="1" x14ac:dyDescent="0.3">
      <c r="A476" s="2" t="s">
        <v>2922</v>
      </c>
      <c r="B476" s="2" t="s">
        <v>535</v>
      </c>
      <c r="C476" s="2">
        <v>1</v>
      </c>
      <c r="D476" t="str">
        <f>_xlfn.XLOOKUP(order_items!B476,products_2026!A:A,products_2026!C:C,,0,)</f>
        <v>Beauty</v>
      </c>
      <c r="E476">
        <f>_xlfn.XLOOKUP(B476,products_2026!A:A,products_2026!D:D,,0,)</f>
        <v>32.19</v>
      </c>
      <c r="F476">
        <f t="shared" si="7"/>
        <v>32.19</v>
      </c>
      <c r="G476" t="str">
        <f>_xlfn.XLOOKUP(B476,products_2026!A:A,products_2026!B:B,,0,)</f>
        <v>Makeup Sponge Pack Orange</v>
      </c>
      <c r="H476" t="str">
        <f>_xlfn.XLOOKUP(B476,products_2026!A:A,products_2026!E:E,,0,)</f>
        <v>SELL0074</v>
      </c>
      <c r="I476" t="str">
        <f>IFERROR(_xlfn.XLOOKUP(H476,sellers_2026!A:A,sellers_2026!G:G,,0,), "unknown/inactive")</f>
        <v>NT</v>
      </c>
      <c r="J476" t="str">
        <f>_xlfn.XLOOKUP(H476,sellers_2026!A:A,sellers_2026!B:B,,0,)</f>
        <v>springlesprungle3</v>
      </c>
    </row>
    <row r="477" spans="1:10" ht="14.25" customHeight="1" x14ac:dyDescent="0.3">
      <c r="A477" s="2" t="s">
        <v>2922</v>
      </c>
      <c r="B477" s="2" t="s">
        <v>781</v>
      </c>
      <c r="C477" s="2">
        <v>1</v>
      </c>
      <c r="D477" t="str">
        <f>_xlfn.XLOOKUP(order_items!B477,products_2026!A:A,products_2026!C:C,,0,)</f>
        <v>Beauty</v>
      </c>
      <c r="E477">
        <f>_xlfn.XLOOKUP(B477,products_2026!A:A,products_2026!D:D,,0,)</f>
        <v>17.829999999999998</v>
      </c>
      <c r="F477">
        <f t="shared" si="7"/>
        <v>17.829999999999998</v>
      </c>
      <c r="G477" t="str">
        <f>_xlfn.XLOOKUP(B477,products_2026!A:A,products_2026!B:B,,0,)</f>
        <v>Aloe Vera Gel 500ml</v>
      </c>
      <c r="H477" t="str">
        <f>_xlfn.XLOOKUP(B477,products_2026!A:A,products_2026!E:E,,0,)</f>
        <v>SELL0083</v>
      </c>
      <c r="I477" t="str">
        <f>IFERROR(_xlfn.XLOOKUP(H477,sellers_2026!A:A,sellers_2026!G:G,,0,), "unknown/inactive")</f>
        <v>WA</v>
      </c>
      <c r="J477" t="str">
        <f>_xlfn.XLOOKUP(H477,sellers_2026!A:A,sellers_2026!B:B,,0,)</f>
        <v>makeupped</v>
      </c>
    </row>
    <row r="478" spans="1:10" ht="14.25" customHeight="1" x14ac:dyDescent="0.3">
      <c r="A478" s="2" t="s">
        <v>2923</v>
      </c>
      <c r="B478" s="2" t="s">
        <v>333</v>
      </c>
      <c r="C478" s="2">
        <v>1</v>
      </c>
      <c r="D478" t="str">
        <f>_xlfn.XLOOKUP(order_items!B478,products_2026!A:A,products_2026!C:C,,0,)</f>
        <v>Electronics</v>
      </c>
      <c r="E478">
        <f>_xlfn.XLOOKUP(B478,products_2026!A:A,products_2026!D:D,,0,)</f>
        <v>81.81</v>
      </c>
      <c r="F478">
        <f t="shared" si="7"/>
        <v>81.81</v>
      </c>
      <c r="G478" t="str">
        <f>_xlfn.XLOOKUP(B478,products_2026!A:A,products_2026!B:B,,0,)</f>
        <v>Wireless Bluetooth Earbuds</v>
      </c>
      <c r="H478" t="str">
        <f>_xlfn.XLOOKUP(B478,products_2026!A:A,products_2026!E:E,,0,)</f>
        <v>SELL0049</v>
      </c>
      <c r="I478" t="str">
        <f>IFERROR(_xlfn.XLOOKUP(H478,sellers_2026!A:A,sellers_2026!G:G,,0,), "unknown/inactive")</f>
        <v>VIC</v>
      </c>
      <c r="J478" t="str">
        <f>_xlfn.XLOOKUP(H478,sellers_2026!A:A,sellers_2026!B:B,,0,)</f>
        <v>beautifullife472</v>
      </c>
    </row>
    <row r="479" spans="1:10" ht="14.25" customHeight="1" x14ac:dyDescent="0.3">
      <c r="A479" s="2" t="s">
        <v>2924</v>
      </c>
      <c r="B479" s="2" t="s">
        <v>123</v>
      </c>
      <c r="C479" s="2">
        <v>1</v>
      </c>
      <c r="D479" t="str">
        <f>_xlfn.XLOOKUP(order_items!B479,products_2026!A:A,products_2026!C:C,,0,)</f>
        <v>Clothes</v>
      </c>
      <c r="E479">
        <f>_xlfn.XLOOKUP(B479,products_2026!A:A,products_2026!D:D,,0,)</f>
        <v>54.17</v>
      </c>
      <c r="F479">
        <f t="shared" si="7"/>
        <v>54.17</v>
      </c>
      <c r="G479" t="str">
        <f>_xlfn.XLOOKUP(B479,products_2026!A:A,products_2026!B:B,,0,)</f>
        <v>Unisex Hoodie - Black XXXL</v>
      </c>
      <c r="H479" t="str">
        <f>_xlfn.XLOOKUP(B479,products_2026!A:A,products_2026!E:E,,0,)</f>
        <v>SELL0025</v>
      </c>
      <c r="I479" t="str">
        <f>IFERROR(_xlfn.XLOOKUP(H479,sellers_2026!A:A,sellers_2026!G:G,,0,), "unknown/inactive")</f>
        <v>VIC</v>
      </c>
      <c r="J479" t="str">
        <f>_xlfn.XLOOKUP(H479,sellers_2026!A:A,sellers_2026!B:B,,0,)</f>
        <v>clothes832</v>
      </c>
    </row>
    <row r="480" spans="1:10" ht="14.25" customHeight="1" x14ac:dyDescent="0.3">
      <c r="A480" s="2" t="s">
        <v>2925</v>
      </c>
      <c r="B480" s="2" t="s">
        <v>720</v>
      </c>
      <c r="C480" s="2">
        <v>2</v>
      </c>
      <c r="D480" t="str">
        <f>_xlfn.XLOOKUP(order_items!B480,products_2026!A:A,products_2026!C:C,,0,)</f>
        <v>Gift_Sets</v>
      </c>
      <c r="E480">
        <f>_xlfn.XLOOKUP(B480,products_2026!A:A,products_2026!D:D,,0,)</f>
        <v>33.89</v>
      </c>
      <c r="F480">
        <f t="shared" si="7"/>
        <v>67.78</v>
      </c>
      <c r="G480" t="str">
        <f>_xlfn.XLOOKUP(B480,products_2026!A:A,products_2026!B:B,,0,)</f>
        <v>Mini Plant Starter Kit (Lily)</v>
      </c>
      <c r="H480" t="str">
        <f>_xlfn.XLOOKUP(B480,products_2026!A:A,products_2026!E:E,,0,)</f>
        <v>SELL0088</v>
      </c>
      <c r="I480" t="str">
        <f>IFERROR(_xlfn.XLOOKUP(H480,sellers_2026!A:A,sellers_2026!G:G,,0,), "unknown/inactive")</f>
        <v>TAS</v>
      </c>
      <c r="J480" t="str">
        <f>_xlfn.XLOOKUP(H480,sellers_2026!A:A,sellers_2026!B:B,,0,)</f>
        <v>7ti9lfa6h5</v>
      </c>
    </row>
    <row r="481" spans="1:10" ht="14.25" customHeight="1" x14ac:dyDescent="0.3">
      <c r="A481" s="2" t="s">
        <v>2925</v>
      </c>
      <c r="B481" s="2" t="s">
        <v>813</v>
      </c>
      <c r="C481" s="2">
        <v>2</v>
      </c>
      <c r="D481" t="str">
        <f>_xlfn.XLOOKUP(order_items!B481,products_2026!A:A,products_2026!C:C,,0,)</f>
        <v>Home</v>
      </c>
      <c r="E481">
        <f>_xlfn.XLOOKUP(B481,products_2026!A:A,products_2026!D:D,,0,)</f>
        <v>29.92</v>
      </c>
      <c r="F481">
        <f t="shared" si="7"/>
        <v>59.84</v>
      </c>
      <c r="G481" t="str">
        <f>_xlfn.XLOOKUP(B481,products_2026!A:A,products_2026!B:B,,0,)</f>
        <v>LED Floor Lamp Battery</v>
      </c>
      <c r="H481" t="str">
        <f>_xlfn.XLOOKUP(B481,products_2026!A:A,products_2026!E:E,,0,)</f>
        <v>SELL0090</v>
      </c>
      <c r="I481" t="str">
        <f>IFERROR(_xlfn.XLOOKUP(H481,sellers_2026!A:A,sellers_2026!G:G,,0,), "unknown/inactive")</f>
        <v>TAS</v>
      </c>
      <c r="J481" t="str">
        <f>_xlfn.XLOOKUP(H481,sellers_2026!A:A,sellers_2026!B:B,,0,)</f>
        <v>housenice</v>
      </c>
    </row>
    <row r="482" spans="1:10" ht="14.25" customHeight="1" x14ac:dyDescent="0.3">
      <c r="A482" s="2" t="s">
        <v>2925</v>
      </c>
      <c r="B482" s="2" t="s">
        <v>849</v>
      </c>
      <c r="C482" s="2">
        <v>1</v>
      </c>
      <c r="D482" t="str">
        <f>_xlfn.XLOOKUP(order_items!B482,products_2026!A:A,products_2026!C:C,,0,)</f>
        <v>Home</v>
      </c>
      <c r="E482">
        <f>_xlfn.XLOOKUP(B482,products_2026!A:A,products_2026!D:D,,0,)</f>
        <v>21.89</v>
      </c>
      <c r="F482">
        <f t="shared" si="7"/>
        <v>21.89</v>
      </c>
      <c r="G482" t="str">
        <f>_xlfn.XLOOKUP(B482,products_2026!A:A,products_2026!B:B,,0,)</f>
        <v>Decorative Cushion - Blue 60 x 60</v>
      </c>
      <c r="H482" t="str">
        <f>_xlfn.XLOOKUP(B482,products_2026!A:A,products_2026!E:E,,0,)</f>
        <v>SELL0091</v>
      </c>
      <c r="I482" t="str">
        <f>IFERROR(_xlfn.XLOOKUP(H482,sellers_2026!A:A,sellers_2026!G:G,,0,), "unknown/inactive")</f>
        <v>TAS</v>
      </c>
      <c r="J482" t="str">
        <f>_xlfn.XLOOKUP(H482,sellers_2026!A:A,sellers_2026!B:B,,0,)</f>
        <v>beautifullhome</v>
      </c>
    </row>
    <row r="483" spans="1:10" ht="14.25" customHeight="1" x14ac:dyDescent="0.3">
      <c r="A483" s="2" t="s">
        <v>2926</v>
      </c>
      <c r="B483" s="2" t="s">
        <v>396</v>
      </c>
      <c r="C483" s="2">
        <v>2</v>
      </c>
      <c r="D483" t="str">
        <f>_xlfn.XLOOKUP(order_items!B483,products_2026!A:A,products_2026!C:C,,0,)</f>
        <v>Jewellery</v>
      </c>
      <c r="E483">
        <f>_xlfn.XLOOKUP(B483,products_2026!A:A,products_2026!D:D,,0,)</f>
        <v>33.36</v>
      </c>
      <c r="F483">
        <f t="shared" si="7"/>
        <v>66.72</v>
      </c>
      <c r="G483" t="str">
        <f>_xlfn.XLOOKUP(B483,products_2026!A:A,products_2026!B:B,,0,)</f>
        <v>Pearl Stud Earrings</v>
      </c>
      <c r="H483" t="str">
        <f>_xlfn.XLOOKUP(B483,products_2026!A:A,products_2026!E:E,,0,)</f>
        <v>SELL0058</v>
      </c>
      <c r="I483" t="str">
        <f>IFERROR(_xlfn.XLOOKUP(H483,sellers_2026!A:A,sellers_2026!G:G,,0,), "unknown/inactive")</f>
        <v>QLD</v>
      </c>
      <c r="J483" t="str">
        <f>_xlfn.XLOOKUP(H483,sellers_2026!A:A,sellers_2026!B:B,,0,)</f>
        <v>au6ynzdcy5</v>
      </c>
    </row>
    <row r="484" spans="1:10" ht="14.25" customHeight="1" x14ac:dyDescent="0.3">
      <c r="A484" s="2" t="s">
        <v>2927</v>
      </c>
      <c r="B484" s="2" t="s">
        <v>251</v>
      </c>
      <c r="C484" s="2">
        <v>2</v>
      </c>
      <c r="D484" t="str">
        <f>_xlfn.XLOOKUP(order_items!B484,products_2026!A:A,products_2026!C:C,,0,)</f>
        <v>Clothes</v>
      </c>
      <c r="E484">
        <f>_xlfn.XLOOKUP(B484,products_2026!A:A,products_2026!D:D,,0,)</f>
        <v>39.99</v>
      </c>
      <c r="F484">
        <f t="shared" si="7"/>
        <v>79.98</v>
      </c>
      <c r="G484" t="str">
        <f>_xlfn.XLOOKUP(B484,products_2026!A:A,products_2026!B:B,,0,)</f>
        <v>Cotton T‑Shirt Green XL</v>
      </c>
      <c r="H484" t="str">
        <f>_xlfn.XLOOKUP(B484,products_2026!A:A,products_2026!E:E,,0,)</f>
        <v>SELL0041</v>
      </c>
      <c r="I484" t="str">
        <f>IFERROR(_xlfn.XLOOKUP(H484,sellers_2026!A:A,sellers_2026!G:G,,0,), "unknown/inactive")</f>
        <v>NT</v>
      </c>
      <c r="J484" t="str">
        <f>_xlfn.XLOOKUP(H484,sellers_2026!A:A,sellers_2026!B:B,,0,)</f>
        <v>wcs62ctlxh</v>
      </c>
    </row>
    <row r="485" spans="1:10" ht="14.25" customHeight="1" x14ac:dyDescent="0.3">
      <c r="A485" s="2" t="s">
        <v>2927</v>
      </c>
      <c r="B485" s="2" t="s">
        <v>532</v>
      </c>
      <c r="C485" s="2">
        <v>1</v>
      </c>
      <c r="D485" t="str">
        <f>_xlfn.XLOOKUP(order_items!B485,products_2026!A:A,products_2026!C:C,,0,)</f>
        <v>Home</v>
      </c>
      <c r="E485">
        <f>_xlfn.XLOOKUP(B485,products_2026!A:A,products_2026!D:D,,0,)</f>
        <v>64.55</v>
      </c>
      <c r="F485">
        <f t="shared" si="7"/>
        <v>64.55</v>
      </c>
      <c r="G485" t="str">
        <f>_xlfn.XLOOKUP(B485,products_2026!A:A,products_2026!B:B,,0,)</f>
        <v>Carbon Fiber Mug Set</v>
      </c>
      <c r="H485" t="str">
        <f>_xlfn.XLOOKUP(B485,products_2026!A:A,products_2026!E:E,,0,)</f>
        <v>SELL0074</v>
      </c>
      <c r="I485" t="str">
        <f>IFERROR(_xlfn.XLOOKUP(H485,sellers_2026!A:A,sellers_2026!G:G,,0,), "unknown/inactive")</f>
        <v>NT</v>
      </c>
      <c r="J485" t="str">
        <f>_xlfn.XLOOKUP(H485,sellers_2026!A:A,sellers_2026!B:B,,0,)</f>
        <v>springlesprungle3</v>
      </c>
    </row>
    <row r="486" spans="1:10" ht="14.25" customHeight="1" x14ac:dyDescent="0.3">
      <c r="A486" s="2" t="s">
        <v>2928</v>
      </c>
      <c r="B486" s="2" t="s">
        <v>322</v>
      </c>
      <c r="C486" s="2">
        <v>6</v>
      </c>
      <c r="D486" t="str">
        <f>_xlfn.XLOOKUP(order_items!B486,products_2026!A:A,products_2026!C:C,,0,)</f>
        <v>Outdoor</v>
      </c>
      <c r="E486">
        <f>_xlfn.XLOOKUP(B486,products_2026!A:A,products_2026!D:D,,0,)</f>
        <v>48.81</v>
      </c>
      <c r="F486">
        <f t="shared" si="7"/>
        <v>292.86</v>
      </c>
      <c r="G486" t="str">
        <f>_xlfn.XLOOKUP(B486,products_2026!A:A,products_2026!B:B,,0,)</f>
        <v>Garden Light Sun Powered No Recharge</v>
      </c>
      <c r="H486" t="str">
        <f>_xlfn.XLOOKUP(B486,products_2026!A:A,products_2026!E:E,,0,)</f>
        <v>SELL0048</v>
      </c>
      <c r="I486" t="str">
        <f>IFERROR(_xlfn.XLOOKUP(H486,sellers_2026!A:A,sellers_2026!G:G,,0,), "unknown/inactive")</f>
        <v>VIC</v>
      </c>
      <c r="J486" t="str">
        <f>_xlfn.XLOOKUP(H486,sellers_2026!A:A,sellers_2026!B:B,,0,)</f>
        <v>jy9binq4v9</v>
      </c>
    </row>
    <row r="487" spans="1:10" ht="14.25" customHeight="1" x14ac:dyDescent="0.3">
      <c r="A487" s="2" t="s">
        <v>2929</v>
      </c>
      <c r="B487" s="2" t="s">
        <v>324</v>
      </c>
      <c r="C487" s="2">
        <v>1</v>
      </c>
      <c r="D487" t="str">
        <f>_xlfn.XLOOKUP(order_items!B487,products_2026!A:A,products_2026!C:C,,0,)</f>
        <v>Toys</v>
      </c>
      <c r="E487">
        <f>_xlfn.XLOOKUP(B487,products_2026!A:A,products_2026!D:D,,0,)</f>
        <v>20.309999999999999</v>
      </c>
      <c r="F487">
        <f t="shared" si="7"/>
        <v>20.309999999999999</v>
      </c>
      <c r="G487" t="str">
        <f>_xlfn.XLOOKUP(B487,products_2026!A:A,products_2026!B:B,,0,)</f>
        <v>Rainbow Kite - Light-Up</v>
      </c>
      <c r="H487" t="str">
        <f>_xlfn.XLOOKUP(B487,products_2026!A:A,products_2026!E:E,,0,)</f>
        <v>SELL0049</v>
      </c>
      <c r="I487" t="str">
        <f>IFERROR(_xlfn.XLOOKUP(H487,sellers_2026!A:A,sellers_2026!G:G,,0,), "unknown/inactive")</f>
        <v>VIC</v>
      </c>
      <c r="J487" t="str">
        <f>_xlfn.XLOOKUP(H487,sellers_2026!A:A,sellers_2026!B:B,,0,)</f>
        <v>beautifullife472</v>
      </c>
    </row>
    <row r="488" spans="1:10" ht="14.25" customHeight="1" x14ac:dyDescent="0.3">
      <c r="A488" s="2" t="s">
        <v>2929</v>
      </c>
      <c r="B488" s="2" t="s">
        <v>689</v>
      </c>
      <c r="C488" s="2">
        <v>1</v>
      </c>
      <c r="D488" t="str">
        <f>_xlfn.XLOOKUP(order_items!B488,products_2026!A:A,products_2026!C:C,,0,)</f>
        <v>Electronics</v>
      </c>
      <c r="E488">
        <f>_xlfn.XLOOKUP(B488,products_2026!A:A,products_2026!D:D,,0,)</f>
        <v>66.33</v>
      </c>
      <c r="F488">
        <f t="shared" si="7"/>
        <v>66.33</v>
      </c>
      <c r="G488" t="str">
        <f>_xlfn.XLOOKUP(B488,products_2026!A:A,products_2026!B:B,,0,)</f>
        <v>Smart Home Hub (Green) 2023</v>
      </c>
      <c r="H488" t="str">
        <f>_xlfn.XLOOKUP(B488,products_2026!A:A,products_2026!E:E,,0,)</f>
        <v>SELL0024</v>
      </c>
      <c r="I488" t="str">
        <f>IFERROR(_xlfn.XLOOKUP(H488,sellers_2026!A:A,sellers_2026!G:G,,0,), "unknown/inactive")</f>
        <v>VIC</v>
      </c>
      <c r="J488" t="str">
        <f>_xlfn.XLOOKUP(H488,sellers_2026!A:A,sellers_2026!B:B,,0,)</f>
        <v>ELEC25B</v>
      </c>
    </row>
    <row r="489" spans="1:10" ht="14.25" customHeight="1" x14ac:dyDescent="0.3">
      <c r="A489" s="2" t="s">
        <v>2929</v>
      </c>
      <c r="B489" s="2" t="s">
        <v>712</v>
      </c>
      <c r="C489" s="2">
        <v>1</v>
      </c>
      <c r="D489" t="str">
        <f>_xlfn.XLOOKUP(order_items!B489,products_2026!A:A,products_2026!C:C,,0,)</f>
        <v>Electronics</v>
      </c>
      <c r="E489">
        <f>_xlfn.XLOOKUP(B489,products_2026!A:A,products_2026!D:D,,0,)</f>
        <v>36.57</v>
      </c>
      <c r="F489">
        <f t="shared" si="7"/>
        <v>36.57</v>
      </c>
      <c r="G489" t="str">
        <f>_xlfn.XLOOKUP(B489,products_2026!A:A,products_2026!B:B,,0,)</f>
        <v>Portable Power Bank 10,000mAh (White)</v>
      </c>
      <c r="H489" t="str">
        <f>_xlfn.XLOOKUP(B489,products_2026!A:A,products_2026!E:E,,0,)</f>
        <v>SELL0088</v>
      </c>
      <c r="I489" t="str">
        <f>IFERROR(_xlfn.XLOOKUP(H489,sellers_2026!A:A,sellers_2026!G:G,,0,), "unknown/inactive")</f>
        <v>TAS</v>
      </c>
      <c r="J489" t="str">
        <f>_xlfn.XLOOKUP(H489,sellers_2026!A:A,sellers_2026!B:B,,0,)</f>
        <v>7ti9lfa6h5</v>
      </c>
    </row>
    <row r="490" spans="1:10" ht="14.25" customHeight="1" x14ac:dyDescent="0.3">
      <c r="A490" s="2" t="s">
        <v>2930</v>
      </c>
      <c r="B490" s="2" t="s">
        <v>937</v>
      </c>
      <c r="C490" s="2">
        <v>1</v>
      </c>
      <c r="D490" t="str">
        <f>_xlfn.XLOOKUP(order_items!B490,products_2026!A:A,products_2026!C:C,,0,)</f>
        <v>Outdoor</v>
      </c>
      <c r="E490">
        <f>_xlfn.XLOOKUP(B490,products_2026!A:A,products_2026!D:D,,0,)</f>
        <v>55.99</v>
      </c>
      <c r="F490">
        <f t="shared" si="7"/>
        <v>55.99</v>
      </c>
      <c r="G490" t="str">
        <f>_xlfn.XLOOKUP(B490,products_2026!A:A,products_2026!B:B,,0,)</f>
        <v>Garden Hose 20m (Grey)</v>
      </c>
      <c r="H490" t="str">
        <f>_xlfn.XLOOKUP(B490,products_2026!A:A,products_2026!E:E,,0,)</f>
        <v>SELL0093</v>
      </c>
      <c r="I490" t="str">
        <f>IFERROR(_xlfn.XLOOKUP(H490,sellers_2026!A:A,sellers_2026!G:G,,0,), "unknown/inactive")</f>
        <v>NT</v>
      </c>
      <c r="J490" t="str">
        <f>_xlfn.XLOOKUP(H490,sellers_2026!A:A,sellers_2026!B:B,,0,)</f>
        <v>millies-outdoor-shop</v>
      </c>
    </row>
    <row r="491" spans="1:10" ht="14.25" customHeight="1" x14ac:dyDescent="0.3">
      <c r="A491" s="2" t="s">
        <v>2931</v>
      </c>
      <c r="B491" s="2" t="s">
        <v>98</v>
      </c>
      <c r="C491" s="2">
        <v>1</v>
      </c>
      <c r="D491" t="str">
        <f>_xlfn.XLOOKUP(order_items!B491,products_2026!A:A,products_2026!C:C,,0,)</f>
        <v>Toys</v>
      </c>
      <c r="E491">
        <f>_xlfn.XLOOKUP(B491,products_2026!A:A,products_2026!D:D,,0,)</f>
        <v>17.940000000000001</v>
      </c>
      <c r="F491">
        <f t="shared" si="7"/>
        <v>17.940000000000001</v>
      </c>
      <c r="G491" t="str">
        <f>_xlfn.XLOOKUP(B491,products_2026!A:A,products_2026!B:B,,0,)</f>
        <v>Snorkel Set - Child</v>
      </c>
      <c r="H491" t="str">
        <f>_xlfn.XLOOKUP(B491,products_2026!A:A,products_2026!E:E,,0,)</f>
        <v>SELL0022</v>
      </c>
      <c r="I491" t="str">
        <f>IFERROR(_xlfn.XLOOKUP(H491,sellers_2026!A:A,sellers_2026!G:G,,0,), "unknown/inactive")</f>
        <v>WA</v>
      </c>
      <c r="J491" t="str">
        <f>_xlfn.XLOOKUP(H491,sellers_2026!A:A,sellers_2026!B:B,,0,)</f>
        <v>g5x9v55sct</v>
      </c>
    </row>
    <row r="492" spans="1:10" ht="14.25" customHeight="1" x14ac:dyDescent="0.3">
      <c r="A492" s="2" t="s">
        <v>2932</v>
      </c>
      <c r="B492" s="2" t="s">
        <v>118</v>
      </c>
      <c r="C492" s="2">
        <v>1</v>
      </c>
      <c r="D492" t="str">
        <f>_xlfn.XLOOKUP(order_items!B492,products_2026!A:A,products_2026!C:C,,0,)</f>
        <v>Clothes</v>
      </c>
      <c r="E492">
        <f>_xlfn.XLOOKUP(B492,products_2026!A:A,products_2026!D:D,,0,)</f>
        <v>54.17</v>
      </c>
      <c r="F492">
        <f t="shared" si="7"/>
        <v>54.17</v>
      </c>
      <c r="G492" t="str">
        <f>_xlfn.XLOOKUP(B492,products_2026!A:A,products_2026!B:B,,0,)</f>
        <v>Unisex Hoodie - Blue XXXL</v>
      </c>
      <c r="H492" t="str">
        <f>_xlfn.XLOOKUP(B492,products_2026!A:A,products_2026!E:E,,0,)</f>
        <v>SELL0023</v>
      </c>
      <c r="I492" t="str">
        <f>IFERROR(_xlfn.XLOOKUP(H492,sellers_2026!A:A,sellers_2026!G:G,,0,), "unknown/inactive")</f>
        <v>VIC</v>
      </c>
      <c r="J492" t="str">
        <f>_xlfn.XLOOKUP(H492,sellers_2026!A:A,sellers_2026!B:B,,0,)</f>
        <v>cleaning_out_my_shed</v>
      </c>
    </row>
    <row r="493" spans="1:10" ht="14.25" customHeight="1" x14ac:dyDescent="0.3">
      <c r="A493" s="2" t="s">
        <v>2932</v>
      </c>
      <c r="B493" s="2" t="s">
        <v>405</v>
      </c>
      <c r="C493" s="2">
        <v>1</v>
      </c>
      <c r="D493" t="str">
        <f>_xlfn.XLOOKUP(order_items!B493,products_2026!A:A,products_2026!C:C,,0,)</f>
        <v>Gift_Sets</v>
      </c>
      <c r="E493">
        <f>_xlfn.XLOOKUP(B493,products_2026!A:A,products_2026!D:D,,0,)</f>
        <v>29.98</v>
      </c>
      <c r="F493">
        <f t="shared" si="7"/>
        <v>29.98</v>
      </c>
      <c r="G493" t="str">
        <f>_xlfn.XLOOKUP(B493,products_2026!A:A,products_2026!B:B,,0,)</f>
        <v>Coffee Sampler Pack</v>
      </c>
      <c r="H493" t="str">
        <f>_xlfn.XLOOKUP(B493,products_2026!A:A,products_2026!E:E,,0,)</f>
        <v>SELL0058</v>
      </c>
      <c r="I493" t="str">
        <f>IFERROR(_xlfn.XLOOKUP(H493,sellers_2026!A:A,sellers_2026!G:G,,0,), "unknown/inactive")</f>
        <v>QLD</v>
      </c>
      <c r="J493" t="str">
        <f>_xlfn.XLOOKUP(H493,sellers_2026!A:A,sellers_2026!B:B,,0,)</f>
        <v>au6ynzdcy5</v>
      </c>
    </row>
    <row r="494" spans="1:10" ht="14.25" customHeight="1" x14ac:dyDescent="0.3">
      <c r="A494" s="2" t="s">
        <v>2933</v>
      </c>
      <c r="B494" s="2" t="s">
        <v>54</v>
      </c>
      <c r="C494" s="2">
        <v>1</v>
      </c>
      <c r="D494" t="str">
        <f>_xlfn.XLOOKUP(order_items!B494,products_2026!A:A,products_2026!C:C,,0,)</f>
        <v>Outdoor</v>
      </c>
      <c r="E494">
        <f>_xlfn.XLOOKUP(B494,products_2026!A:A,products_2026!D:D,,0,)</f>
        <v>73.55</v>
      </c>
      <c r="F494">
        <f t="shared" si="7"/>
        <v>73.55</v>
      </c>
      <c r="G494" t="str">
        <f>_xlfn.XLOOKUP(B494,products_2026!A:A,products_2026!B:B,,0,)</f>
        <v>Stainless Steel Grill Basket XL</v>
      </c>
      <c r="H494" t="str">
        <f>_xlfn.XLOOKUP(B494,products_2026!A:A,products_2026!E:E,,0,)</f>
        <v>SELL0015</v>
      </c>
      <c r="I494" t="str">
        <f>IFERROR(_xlfn.XLOOKUP(H494,sellers_2026!A:A,sellers_2026!G:G,,0,), "unknown/inactive")</f>
        <v>NSW</v>
      </c>
      <c r="J494" t="str">
        <f>_xlfn.XLOOKUP(H494,sellers_2026!A:A,sellers_2026!B:B,,0,)</f>
        <v>outhomelovely</v>
      </c>
    </row>
    <row r="495" spans="1:10" ht="14.25" customHeight="1" x14ac:dyDescent="0.3">
      <c r="A495" s="2" t="s">
        <v>2934</v>
      </c>
      <c r="B495" s="2" t="s">
        <v>499</v>
      </c>
      <c r="C495" s="2">
        <v>1</v>
      </c>
      <c r="D495" t="str">
        <f>_xlfn.XLOOKUP(order_items!B495,products_2026!A:A,products_2026!C:C,,0,)</f>
        <v>Jewellery</v>
      </c>
      <c r="E495">
        <f>_xlfn.XLOOKUP(B495,products_2026!A:A,products_2026!D:D,,0,)</f>
        <v>52.35</v>
      </c>
      <c r="F495">
        <f t="shared" si="7"/>
        <v>52.35</v>
      </c>
      <c r="G495" t="str">
        <f>_xlfn.XLOOKUP(B495,products_2026!A:A,products_2026!B:B,,0,)</f>
        <v>Sterling Silver 925 Stud Earrings Pair Ladybird</v>
      </c>
      <c r="H495" t="str">
        <f>_xlfn.XLOOKUP(B495,products_2026!A:A,products_2026!E:E,,0,)</f>
        <v>SELL0063</v>
      </c>
      <c r="I495" t="str">
        <f>IFERROR(_xlfn.XLOOKUP(H495,sellers_2026!A:A,sellers_2026!G:G,,0,), "unknown/inactive")</f>
        <v>SA</v>
      </c>
      <c r="J495" t="str">
        <f>_xlfn.XLOOKUP(H495,sellers_2026!A:A,sellers_2026!B:B,,0,)</f>
        <v>uqcoiiv4s9</v>
      </c>
    </row>
    <row r="496" spans="1:10" ht="14.25" customHeight="1" x14ac:dyDescent="0.3">
      <c r="A496" s="2" t="s">
        <v>2935</v>
      </c>
      <c r="B496" s="2" t="s">
        <v>126</v>
      </c>
      <c r="C496" s="2">
        <v>1</v>
      </c>
      <c r="D496" t="str">
        <f>_xlfn.XLOOKUP(order_items!B496,products_2026!A:A,products_2026!C:C,,0,)</f>
        <v>Electronics</v>
      </c>
      <c r="E496">
        <f>_xlfn.XLOOKUP(B496,products_2026!A:A,products_2026!D:D,,0,)</f>
        <v>89.8</v>
      </c>
      <c r="F496">
        <f t="shared" si="7"/>
        <v>89.8</v>
      </c>
      <c r="G496" t="str">
        <f>_xlfn.XLOOKUP(B496,products_2026!A:A,products_2026!B:B,,0,)</f>
        <v>Wireless Keyboard (Navy)</v>
      </c>
      <c r="H496" t="str">
        <f>_xlfn.XLOOKUP(B496,products_2026!A:A,products_2026!E:E,,0,)</f>
        <v>SELL0026</v>
      </c>
      <c r="I496" t="str">
        <f>IFERROR(_xlfn.XLOOKUP(H496,sellers_2026!A:A,sellers_2026!G:G,,0,), "unknown/inactive")</f>
        <v>NSW</v>
      </c>
      <c r="J496" t="str">
        <f>_xlfn.XLOOKUP(H496,sellers_2026!A:A,sellers_2026!B:B,,0,)</f>
        <v>buyeverything-1</v>
      </c>
    </row>
    <row r="497" spans="1:10" ht="14.25" customHeight="1" x14ac:dyDescent="0.3">
      <c r="A497" s="2" t="s">
        <v>2935</v>
      </c>
      <c r="B497" s="2" t="s">
        <v>640</v>
      </c>
      <c r="C497" s="2">
        <v>2</v>
      </c>
      <c r="D497" t="str">
        <f>_xlfn.XLOOKUP(order_items!B497,products_2026!A:A,products_2026!C:C,,0,)</f>
        <v>Clothes</v>
      </c>
      <c r="E497">
        <f>_xlfn.XLOOKUP(B497,products_2026!A:A,products_2026!D:D,,0,)</f>
        <v>37.99</v>
      </c>
      <c r="F497">
        <f t="shared" si="7"/>
        <v>75.98</v>
      </c>
      <c r="G497" t="str">
        <f>_xlfn.XLOOKUP(B497,products_2026!A:A,products_2026!B:B,,0,)</f>
        <v>Cotton T Black Small</v>
      </c>
      <c r="H497" t="str">
        <f>_xlfn.XLOOKUP(B497,products_2026!A:A,products_2026!E:E,,0,)</f>
        <v>SELL0086</v>
      </c>
      <c r="I497" t="str">
        <f>IFERROR(_xlfn.XLOOKUP(H497,sellers_2026!A:A,sellers_2026!G:G,,0,), "unknown/inactive")</f>
        <v>VIC</v>
      </c>
      <c r="J497" t="str">
        <f>_xlfn.XLOOKUP(H497,sellers_2026!A:A,sellers_2026!B:B,,0,)</f>
        <v>clothesforlife</v>
      </c>
    </row>
    <row r="498" spans="1:10" ht="14.25" customHeight="1" x14ac:dyDescent="0.3">
      <c r="A498" s="2" t="s">
        <v>2935</v>
      </c>
      <c r="B498" s="2" t="s">
        <v>991</v>
      </c>
      <c r="C498" s="2">
        <v>1</v>
      </c>
      <c r="D498" t="str">
        <f>_xlfn.XLOOKUP(order_items!B498,products_2026!A:A,products_2026!C:C,,0,)</f>
        <v>Toys</v>
      </c>
      <c r="E498">
        <f>_xlfn.XLOOKUP(B498,products_2026!A:A,products_2026!D:D,,0,)</f>
        <v>21.04</v>
      </c>
      <c r="F498">
        <f t="shared" si="7"/>
        <v>21.04</v>
      </c>
      <c r="G498" t="str">
        <f>_xlfn.XLOOKUP(B498,products_2026!A:A,products_2026!B:B,,0,)</f>
        <v>Talking doll happy smile matching outfit</v>
      </c>
      <c r="H498" t="str">
        <f>_xlfn.XLOOKUP(B498,products_2026!A:A,products_2026!E:E,,0,)</f>
        <v>SELL0095</v>
      </c>
      <c r="I498" t="str">
        <f>IFERROR(_xlfn.XLOOKUP(H498,sellers_2026!A:A,sellers_2026!G:G,,0,), "unknown/inactive")</f>
        <v>TAS</v>
      </c>
      <c r="J498" t="str">
        <f>_xlfn.XLOOKUP(H498,sellers_2026!A:A,sellers_2026!B:B,,0,)</f>
        <v>toybuy</v>
      </c>
    </row>
    <row r="499" spans="1:10" ht="14.25" customHeight="1" x14ac:dyDescent="0.3">
      <c r="A499" s="2" t="s">
        <v>2936</v>
      </c>
      <c r="B499" s="2" t="s">
        <v>264</v>
      </c>
      <c r="C499" s="2">
        <v>2</v>
      </c>
      <c r="D499" t="str">
        <f>_xlfn.XLOOKUP(order_items!B499,products_2026!A:A,products_2026!C:C,,0,)</f>
        <v>Jewellery</v>
      </c>
      <c r="E499">
        <f>_xlfn.XLOOKUP(B499,products_2026!A:A,products_2026!D:D,,0,)</f>
        <v>13.16</v>
      </c>
      <c r="F499">
        <f t="shared" si="7"/>
        <v>26.32</v>
      </c>
      <c r="G499" t="str">
        <f>_xlfn.XLOOKUP(B499,products_2026!A:A,products_2026!B:B,,0,)</f>
        <v>Sterling Silver Necklace</v>
      </c>
      <c r="H499" t="str">
        <f>_xlfn.XLOOKUP(B499,products_2026!A:A,products_2026!E:E,,0,)</f>
        <v>SELL0042</v>
      </c>
      <c r="I499" t="str">
        <f>IFERROR(_xlfn.XLOOKUP(H499,sellers_2026!A:A,sellers_2026!G:G,,0,), "unknown/inactive")</f>
        <v>WA</v>
      </c>
      <c r="J499" t="str">
        <f>_xlfn.XLOOKUP(H499,sellers_2026!A:A,sellers_2026!B:B,,0,)</f>
        <v>beauty490</v>
      </c>
    </row>
    <row r="500" spans="1:10" ht="14.25" customHeight="1" x14ac:dyDescent="0.3">
      <c r="A500" s="2" t="s">
        <v>2936</v>
      </c>
      <c r="B500" s="2" t="s">
        <v>772</v>
      </c>
      <c r="C500" s="2">
        <v>1</v>
      </c>
      <c r="D500" t="str">
        <f>_xlfn.XLOOKUP(order_items!B500,products_2026!A:A,products_2026!C:C,,0,)</f>
        <v>Health</v>
      </c>
      <c r="E500">
        <f>_xlfn.XLOOKUP(B500,products_2026!A:A,products_2026!D:D,,0,)</f>
        <v>32.93</v>
      </c>
      <c r="F500">
        <f t="shared" si="7"/>
        <v>32.93</v>
      </c>
      <c r="G500" t="str">
        <f>_xlfn.XLOOKUP(B500,products_2026!A:A,products_2026!B:B,,0,)</f>
        <v>Protein Shaker Bottle 500ml</v>
      </c>
      <c r="H500" t="str">
        <f>_xlfn.XLOOKUP(B500,products_2026!A:A,products_2026!E:E,,0,)</f>
        <v>SELL0051</v>
      </c>
      <c r="I500" t="str">
        <f>IFERROR(_xlfn.XLOOKUP(H500,sellers_2026!A:A,sellers_2026!G:G,,0,), "unknown/inactive")</f>
        <v>NT</v>
      </c>
      <c r="J500" t="str">
        <f>_xlfn.XLOOKUP(H500,sellers_2026!A:A,sellers_2026!B:B,,0,)</f>
        <v>healthway</v>
      </c>
    </row>
    <row r="501" spans="1:10" ht="14.25" customHeight="1" x14ac:dyDescent="0.3">
      <c r="A501" s="2" t="s">
        <v>2937</v>
      </c>
      <c r="B501" s="2" t="s">
        <v>269</v>
      </c>
      <c r="C501" s="2">
        <v>1</v>
      </c>
      <c r="D501" t="str">
        <f>_xlfn.XLOOKUP(order_items!B501,products_2026!A:A,products_2026!C:C,,0,)</f>
        <v>Clothes</v>
      </c>
      <c r="E501">
        <f>_xlfn.XLOOKUP(B501,products_2026!A:A,products_2026!D:D,,0,)</f>
        <v>37.79</v>
      </c>
      <c r="F501">
        <f t="shared" si="7"/>
        <v>37.79</v>
      </c>
      <c r="G501" t="str">
        <f>_xlfn.XLOOKUP(B501,products_2026!A:A,products_2026!B:B,,0,)</f>
        <v>Kids Cotton Pyjamas 18month</v>
      </c>
      <c r="H501" t="str">
        <f>_xlfn.XLOOKUP(B501,products_2026!A:A,products_2026!E:E,,0,)</f>
        <v>SELL0043</v>
      </c>
      <c r="I501" t="str">
        <f>IFERROR(_xlfn.XLOOKUP(H501,sellers_2026!A:A,sellers_2026!G:G,,0,), "unknown/inactive")</f>
        <v>WA</v>
      </c>
      <c r="J501" t="str">
        <f>_xlfn.XLOOKUP(H501,sellers_2026!A:A,sellers_2026!B:B,,0,)</f>
        <v>g9x1rt9dw8</v>
      </c>
    </row>
    <row r="502" spans="1:10" ht="14.25" customHeight="1" x14ac:dyDescent="0.3">
      <c r="A502" s="2" t="s">
        <v>2937</v>
      </c>
      <c r="B502" s="2" t="s">
        <v>682</v>
      </c>
      <c r="C502" s="2">
        <v>1</v>
      </c>
      <c r="D502" t="str">
        <f>_xlfn.XLOOKUP(order_items!B502,products_2026!A:A,products_2026!C:C,,0,)</f>
        <v>Electronics</v>
      </c>
      <c r="E502">
        <f>_xlfn.XLOOKUP(B502,products_2026!A:A,products_2026!D:D,,0,)</f>
        <v>63.55</v>
      </c>
      <c r="F502">
        <f t="shared" si="7"/>
        <v>63.55</v>
      </c>
      <c r="G502" t="str">
        <f>_xlfn.XLOOKUP(B502,products_2026!A:A,products_2026!B:B,,0,)</f>
        <v>Smart Home Hub (Navy) 2023</v>
      </c>
      <c r="H502" t="str">
        <f>_xlfn.XLOOKUP(B502,products_2026!A:A,products_2026!E:E,,0,)</f>
        <v>SELL0024</v>
      </c>
      <c r="I502" t="str">
        <f>IFERROR(_xlfn.XLOOKUP(H502,sellers_2026!A:A,sellers_2026!G:G,,0,), "unknown/inactive")</f>
        <v>VIC</v>
      </c>
      <c r="J502" t="str">
        <f>_xlfn.XLOOKUP(H502,sellers_2026!A:A,sellers_2026!B:B,,0,)</f>
        <v>ELEC25B</v>
      </c>
    </row>
    <row r="503" spans="1:10" ht="14.25" customHeight="1" x14ac:dyDescent="0.3">
      <c r="A503" s="2" t="s">
        <v>2937</v>
      </c>
      <c r="B503" s="2" t="s">
        <v>989</v>
      </c>
      <c r="C503" s="2">
        <v>1</v>
      </c>
      <c r="D503" t="str">
        <f>_xlfn.XLOOKUP(order_items!B503,products_2026!A:A,products_2026!C:C,,0,)</f>
        <v>Toys</v>
      </c>
      <c r="E503">
        <f>_xlfn.XLOOKUP(B503,products_2026!A:A,products_2026!D:D,,0,)</f>
        <v>24.92</v>
      </c>
      <c r="F503">
        <f t="shared" si="7"/>
        <v>24.92</v>
      </c>
      <c r="G503" t="str">
        <f>_xlfn.XLOOKUP(B503,products_2026!A:A,products_2026!B:B,,0,)</f>
        <v>building blocks 800 pc</v>
      </c>
      <c r="H503" t="str">
        <f>_xlfn.XLOOKUP(B503,products_2026!A:A,products_2026!E:E,,0,)</f>
        <v>SELL0095</v>
      </c>
      <c r="I503" t="str">
        <f>IFERROR(_xlfn.XLOOKUP(H503,sellers_2026!A:A,sellers_2026!G:G,,0,), "unknown/inactive")</f>
        <v>TAS</v>
      </c>
      <c r="J503" t="str">
        <f>_xlfn.XLOOKUP(H503,sellers_2026!A:A,sellers_2026!B:B,,0,)</f>
        <v>toybuy</v>
      </c>
    </row>
    <row r="504" spans="1:10" ht="14.25" customHeight="1" x14ac:dyDescent="0.3">
      <c r="A504" s="2" t="s">
        <v>2938</v>
      </c>
      <c r="B504" s="2" t="s">
        <v>588</v>
      </c>
      <c r="C504" s="2">
        <v>1</v>
      </c>
      <c r="D504" t="str">
        <f>_xlfn.XLOOKUP(order_items!B504,products_2026!A:A,products_2026!C:C,,0,)</f>
        <v>Clothes</v>
      </c>
      <c r="E504">
        <f>_xlfn.XLOOKUP(B504,products_2026!A:A,products_2026!D:D,,0,)</f>
        <v>56.67</v>
      </c>
      <c r="F504">
        <f t="shared" si="7"/>
        <v>56.67</v>
      </c>
      <c r="G504" t="str">
        <f>_xlfn.XLOOKUP(B504,products_2026!A:A,products_2026!B:B,,0,)</f>
        <v>Men’s Chino Shorts M</v>
      </c>
      <c r="H504" t="str">
        <f>_xlfn.XLOOKUP(B504,products_2026!A:A,products_2026!E:E,,0,)</f>
        <v>SELL0081</v>
      </c>
      <c r="I504" t="str">
        <f>IFERROR(_xlfn.XLOOKUP(H504,sellers_2026!A:A,sellers_2026!G:G,,0,), "unknown/inactive")</f>
        <v>QLD</v>
      </c>
      <c r="J504" t="str">
        <f>_xlfn.XLOOKUP(H504,sellers_2026!A:A,sellers_2026!B:B,,0,)</f>
        <v>brizzy_bonanza_48</v>
      </c>
    </row>
    <row r="505" spans="1:10" ht="14.25" customHeight="1" x14ac:dyDescent="0.3">
      <c r="A505" s="2" t="s">
        <v>2939</v>
      </c>
      <c r="B505" s="2" t="s">
        <v>829</v>
      </c>
      <c r="C505" s="2">
        <v>1</v>
      </c>
      <c r="D505" t="str">
        <f>_xlfn.XLOOKUP(order_items!B505,products_2026!A:A,products_2026!C:C,,0,)</f>
        <v>Home</v>
      </c>
      <c r="E505">
        <f>_xlfn.XLOOKUP(B505,products_2026!A:A,products_2026!D:D,,0,)</f>
        <v>16.88</v>
      </c>
      <c r="F505">
        <f t="shared" si="7"/>
        <v>16.88</v>
      </c>
      <c r="G505" t="str">
        <f>_xlfn.XLOOKUP(B505,products_2026!A:A,products_2026!B:B,,0,)</f>
        <v>Scented Soy Candle - Oud</v>
      </c>
      <c r="H505" t="str">
        <f>_xlfn.XLOOKUP(B505,products_2026!A:A,products_2026!E:E,,0,)</f>
        <v>SELL0027</v>
      </c>
      <c r="I505" t="str">
        <f>IFERROR(_xlfn.XLOOKUP(H505,sellers_2026!A:A,sellers_2026!G:G,,0,), "unknown/inactive")</f>
        <v>QLD</v>
      </c>
      <c r="J505" t="str">
        <f>_xlfn.XLOOKUP(H505,sellers_2026!A:A,sellers_2026!B:B,,0,)</f>
        <v>home458</v>
      </c>
    </row>
    <row r="506" spans="1:10" ht="14.25" customHeight="1" x14ac:dyDescent="0.3">
      <c r="A506" s="2" t="s">
        <v>2940</v>
      </c>
      <c r="B506" s="2" t="s">
        <v>951</v>
      </c>
      <c r="C506" s="2">
        <v>1</v>
      </c>
      <c r="D506" t="str">
        <f>_xlfn.XLOOKUP(order_items!B506,products_2026!A:A,products_2026!C:C,,0,)</f>
        <v>Outdoor</v>
      </c>
      <c r="E506">
        <f>_xlfn.XLOOKUP(B506,products_2026!A:A,products_2026!D:D,,0,)</f>
        <v>54.41</v>
      </c>
      <c r="F506">
        <f t="shared" si="7"/>
        <v>54.41</v>
      </c>
      <c r="G506" t="str">
        <f>_xlfn.XLOOKUP(B506,products_2026!A:A,products_2026!B:B,,0,)</f>
        <v>BBQ Grill Mat - Non‑stick (Navy)</v>
      </c>
      <c r="H506" t="str">
        <f>_xlfn.XLOOKUP(B506,products_2026!A:A,products_2026!E:E,,0,)</f>
        <v>SELL0093</v>
      </c>
      <c r="I506" t="str">
        <f>IFERROR(_xlfn.XLOOKUP(H506,sellers_2026!A:A,sellers_2026!G:G,,0,), "unknown/inactive")</f>
        <v>NT</v>
      </c>
      <c r="J506" t="str">
        <f>_xlfn.XLOOKUP(H506,sellers_2026!A:A,sellers_2026!B:B,,0,)</f>
        <v>millies-outdoor-shop</v>
      </c>
    </row>
    <row r="507" spans="1:10" ht="14.25" customHeight="1" x14ac:dyDescent="0.3">
      <c r="A507" s="2" t="s">
        <v>2941</v>
      </c>
      <c r="B507" s="2" t="s">
        <v>860</v>
      </c>
      <c r="C507" s="2">
        <v>1</v>
      </c>
      <c r="D507" t="str">
        <f>_xlfn.XLOOKUP(order_items!B507,products_2026!A:A,products_2026!C:C,,0,)</f>
        <v>Jewellery</v>
      </c>
      <c r="E507">
        <f>_xlfn.XLOOKUP(B507,products_2026!A:A,products_2026!D:D,,0,)</f>
        <v>49.13</v>
      </c>
      <c r="F507">
        <f t="shared" si="7"/>
        <v>49.13</v>
      </c>
      <c r="G507" t="str">
        <f>_xlfn.XLOOKUP(B507,products_2026!A:A,products_2026!B:B,,0,)</f>
        <v>Ring Set (Rose Gold)</v>
      </c>
      <c r="H507" t="str">
        <f>_xlfn.XLOOKUP(B507,products_2026!A:A,products_2026!E:E,,0,)</f>
        <v>SELL0092</v>
      </c>
      <c r="I507" t="str">
        <f>IFERROR(_xlfn.XLOOKUP(H507,sellers_2026!A:A,sellers_2026!G:G,,0,), "unknown/inactive")</f>
        <v>VIC</v>
      </c>
      <c r="J507" t="str">
        <f>_xlfn.XLOOKUP(H507,sellers_2026!A:A,sellers_2026!B:B,,0,)</f>
        <v>dress4beauty</v>
      </c>
    </row>
    <row r="508" spans="1:10" ht="14.25" customHeight="1" x14ac:dyDescent="0.3">
      <c r="A508" s="2" t="s">
        <v>2941</v>
      </c>
      <c r="B508" s="2" t="s">
        <v>958</v>
      </c>
      <c r="C508" s="2">
        <v>1</v>
      </c>
      <c r="D508" t="str">
        <f>_xlfn.XLOOKUP(order_items!B508,products_2026!A:A,products_2026!C:C,,0,)</f>
        <v>Outdoor</v>
      </c>
      <c r="E508">
        <f>_xlfn.XLOOKUP(B508,products_2026!A:A,products_2026!D:D,,0,)</f>
        <v>26.7</v>
      </c>
      <c r="F508">
        <f t="shared" si="7"/>
        <v>26.7</v>
      </c>
      <c r="G508" t="str">
        <f>_xlfn.XLOOKUP(B508,products_2026!A:A,products_2026!B:B,,0,)</f>
        <v>Waterproof Picnic Mat</v>
      </c>
      <c r="H508" t="str">
        <f>_xlfn.XLOOKUP(B508,products_2026!A:A,products_2026!E:E,,0,)</f>
        <v>SELL0094</v>
      </c>
      <c r="I508" t="str">
        <f>IFERROR(_xlfn.XLOOKUP(H508,sellers_2026!A:A,sellers_2026!G:G,,0,), "unknown/inactive")</f>
        <v>WA</v>
      </c>
      <c r="J508" t="str">
        <f>_xlfn.XLOOKUP(H508,sellers_2026!A:A,sellers_2026!B:B,,0,)</f>
        <v>excelinall</v>
      </c>
    </row>
    <row r="509" spans="1:10" ht="14.25" customHeight="1" x14ac:dyDescent="0.3">
      <c r="A509" s="2" t="s">
        <v>2942</v>
      </c>
      <c r="B509" s="2" t="s">
        <v>931</v>
      </c>
      <c r="C509" s="2">
        <v>1</v>
      </c>
      <c r="D509" t="str">
        <f>_xlfn.XLOOKUP(order_items!B509,products_2026!A:A,products_2026!C:C,,0,)</f>
        <v>Outdoor</v>
      </c>
      <c r="E509">
        <f>_xlfn.XLOOKUP(B509,products_2026!A:A,products_2026!D:D,,0,)</f>
        <v>114.11</v>
      </c>
      <c r="F509">
        <f t="shared" si="7"/>
        <v>114.11</v>
      </c>
      <c r="G509" t="str">
        <f>_xlfn.XLOOKUP(B509,products_2026!A:A,products_2026!B:B,,0,)</f>
        <v>Compact Hiking Backpack 20L (Blue)</v>
      </c>
      <c r="H509" t="str">
        <f>_xlfn.XLOOKUP(B509,products_2026!A:A,products_2026!E:E,,0,)</f>
        <v>SELL0093</v>
      </c>
      <c r="I509" t="str">
        <f>IFERROR(_xlfn.XLOOKUP(H509,sellers_2026!A:A,sellers_2026!G:G,,0,), "unknown/inactive")</f>
        <v>NT</v>
      </c>
      <c r="J509" t="str">
        <f>_xlfn.XLOOKUP(H509,sellers_2026!A:A,sellers_2026!B:B,,0,)</f>
        <v>millies-outdoor-shop</v>
      </c>
    </row>
    <row r="510" spans="1:10" ht="14.25" customHeight="1" x14ac:dyDescent="0.3">
      <c r="A510" s="2" t="s">
        <v>2943</v>
      </c>
      <c r="B510" s="2" t="s">
        <v>501</v>
      </c>
      <c r="C510" s="2">
        <v>1</v>
      </c>
      <c r="D510" t="str">
        <f>_xlfn.XLOOKUP(order_items!B510,products_2026!A:A,products_2026!C:C,,0,)</f>
        <v>Outdoor</v>
      </c>
      <c r="E510">
        <f>_xlfn.XLOOKUP(B510,products_2026!A:A,products_2026!D:D,,0,)</f>
        <v>32.67</v>
      </c>
      <c r="F510">
        <f t="shared" si="7"/>
        <v>32.67</v>
      </c>
      <c r="G510" t="str">
        <f>_xlfn.XLOOKUP(B510,products_2026!A:A,products_2026!B:B,,0,)</f>
        <v>Snorkel Set - Adult Small</v>
      </c>
      <c r="H510" t="str">
        <f>_xlfn.XLOOKUP(B510,products_2026!A:A,products_2026!E:E,,0,)</f>
        <v>SELL0070</v>
      </c>
      <c r="I510" t="str">
        <f>IFERROR(_xlfn.XLOOKUP(H510,sellers_2026!A:A,sellers_2026!G:G,,0,), "unknown/inactive")</f>
        <v>QLD</v>
      </c>
      <c r="J510" t="str">
        <f>_xlfn.XLOOKUP(H510,sellers_2026!A:A,sellers_2026!B:B,,0,)</f>
        <v>homeandaways</v>
      </c>
    </row>
    <row r="511" spans="1:10" ht="14.25" customHeight="1" x14ac:dyDescent="0.3">
      <c r="A511" s="2" t="s">
        <v>2944</v>
      </c>
      <c r="B511" s="2" t="s">
        <v>893</v>
      </c>
      <c r="C511" s="2">
        <v>1</v>
      </c>
      <c r="D511" t="str">
        <f>_xlfn.XLOOKUP(order_items!B511,products_2026!A:A,products_2026!C:C,,0,)</f>
        <v>Clothes</v>
      </c>
      <c r="E511">
        <f>_xlfn.XLOOKUP(B511,products_2026!A:A,products_2026!D:D,,0,)</f>
        <v>64.84</v>
      </c>
      <c r="F511">
        <f t="shared" si="7"/>
        <v>64.84</v>
      </c>
      <c r="G511" t="str">
        <f>_xlfn.XLOOKUP(B511,products_2026!A:A,products_2026!B:B,,0,)</f>
        <v>Portable Camping Chair (Blue)</v>
      </c>
      <c r="H511" t="str">
        <f>_xlfn.XLOOKUP(B511,products_2026!A:A,products_2026!E:E,,0,)</f>
        <v>SELL0092</v>
      </c>
      <c r="I511" t="str">
        <f>IFERROR(_xlfn.XLOOKUP(H511,sellers_2026!A:A,sellers_2026!G:G,,0,), "unknown/inactive")</f>
        <v>VIC</v>
      </c>
      <c r="J511" t="str">
        <f>_xlfn.XLOOKUP(H511,sellers_2026!A:A,sellers_2026!B:B,,0,)</f>
        <v>dress4beauty</v>
      </c>
    </row>
    <row r="512" spans="1:10" ht="14.25" customHeight="1" x14ac:dyDescent="0.3">
      <c r="A512" s="2" t="s">
        <v>2945</v>
      </c>
      <c r="B512" s="2" t="s">
        <v>105</v>
      </c>
      <c r="C512" s="2">
        <v>1</v>
      </c>
      <c r="D512" t="str">
        <f>_xlfn.XLOOKUP(order_items!B512,products_2026!A:A,products_2026!C:C,,0,)</f>
        <v>Outdoor</v>
      </c>
      <c r="E512">
        <f>_xlfn.XLOOKUP(B512,products_2026!A:A,products_2026!D:D,,0,)</f>
        <v>45.46</v>
      </c>
      <c r="F512">
        <f t="shared" si="7"/>
        <v>45.46</v>
      </c>
      <c r="G512" t="str">
        <f>_xlfn.XLOOKUP(B512,products_2026!A:A,products_2026!B:B,,0,)</f>
        <v>Outdoor Oven Gloves (Pink)</v>
      </c>
      <c r="H512" t="str">
        <f>_xlfn.XLOOKUP(B512,products_2026!A:A,products_2026!E:E,,0,)</f>
        <v>SELL0022</v>
      </c>
      <c r="I512" t="str">
        <f>IFERROR(_xlfn.XLOOKUP(H512,sellers_2026!A:A,sellers_2026!G:G,,0,), "unknown/inactive")</f>
        <v>WA</v>
      </c>
      <c r="J512" t="str">
        <f>_xlfn.XLOOKUP(H512,sellers_2026!A:A,sellers_2026!B:B,,0,)</f>
        <v>g5x9v55sct</v>
      </c>
    </row>
    <row r="513" spans="1:10" ht="14.25" customHeight="1" x14ac:dyDescent="0.3">
      <c r="A513" s="2" t="s">
        <v>2945</v>
      </c>
      <c r="B513" s="2" t="s">
        <v>472</v>
      </c>
      <c r="C513" s="2">
        <v>1</v>
      </c>
      <c r="D513" t="str">
        <f>_xlfn.XLOOKUP(order_items!B513,products_2026!A:A,products_2026!C:C,,0,)</f>
        <v>Outdoor</v>
      </c>
      <c r="E513">
        <f>_xlfn.XLOOKUP(B513,products_2026!A:A,products_2026!D:D,,0,)</f>
        <v>72.790000000000006</v>
      </c>
      <c r="F513">
        <f t="shared" si="7"/>
        <v>72.790000000000006</v>
      </c>
      <c r="G513" t="str">
        <f>_xlfn.XLOOKUP(B513,products_2026!A:A,products_2026!B:B,,0,)</f>
        <v>BBQ Cleaning Brush XXL</v>
      </c>
      <c r="H513" t="str">
        <f>_xlfn.XLOOKUP(B513,products_2026!A:A,products_2026!E:E,,0,)</f>
        <v>SELL0067</v>
      </c>
      <c r="I513" t="str">
        <f>IFERROR(_xlfn.XLOOKUP(H513,sellers_2026!A:A,sellers_2026!G:G,,0,), "unknown/inactive")</f>
        <v>WA</v>
      </c>
      <c r="J513" t="str">
        <f>_xlfn.XLOOKUP(H513,sellers_2026!A:A,sellers_2026!B:B,,0,)</f>
        <v>w71bv3mee1</v>
      </c>
    </row>
    <row r="514" spans="1:10" ht="14.25" customHeight="1" x14ac:dyDescent="0.3">
      <c r="A514" s="2" t="s">
        <v>2946</v>
      </c>
      <c r="B514" s="2" t="s">
        <v>67</v>
      </c>
      <c r="C514" s="2">
        <v>1</v>
      </c>
      <c r="D514" t="str">
        <f>_xlfn.XLOOKUP(order_items!B514,products_2026!A:A,products_2026!C:C,,0,)</f>
        <v>Outdoor</v>
      </c>
      <c r="E514">
        <f>_xlfn.XLOOKUP(B514,products_2026!A:A,products_2026!D:D,,0,)</f>
        <v>113.99</v>
      </c>
      <c r="F514">
        <f t="shared" si="7"/>
        <v>113.99</v>
      </c>
      <c r="G514" t="str">
        <f>_xlfn.XLOOKUP(B514,products_2026!A:A,products_2026!B:B,,0,)</f>
        <v>Garden Lights 10 pack Solar Power</v>
      </c>
      <c r="H514" t="str">
        <f>_xlfn.XLOOKUP(B514,products_2026!A:A,products_2026!E:E,,0,)</f>
        <v>SELL0017</v>
      </c>
      <c r="I514" t="str">
        <f>IFERROR(_xlfn.XLOOKUP(H514,sellers_2026!A:A,sellers_2026!G:G,,0,), "unknown/inactive")</f>
        <v>QLD</v>
      </c>
      <c r="J514" t="str">
        <f>_xlfn.XLOOKUP(H514,sellers_2026!A:A,sellers_2026!B:B,,0,)</f>
        <v>7e16xoz37j</v>
      </c>
    </row>
    <row r="515" spans="1:10" ht="14.25" customHeight="1" x14ac:dyDescent="0.3">
      <c r="A515" s="2" t="s">
        <v>2947</v>
      </c>
      <c r="B515" s="2" t="s">
        <v>746</v>
      </c>
      <c r="C515" s="2">
        <v>1</v>
      </c>
      <c r="D515" t="str">
        <f>_xlfn.XLOOKUP(order_items!B515,products_2026!A:A,products_2026!C:C,,0,)</f>
        <v>Gift_Sets</v>
      </c>
      <c r="E515">
        <f>_xlfn.XLOOKUP(B515,products_2026!A:A,products_2026!D:D,,0,)</f>
        <v>32.299999999999997</v>
      </c>
      <c r="F515">
        <f t="shared" ref="F515:F578" si="8">C515*E515</f>
        <v>32.299999999999997</v>
      </c>
      <c r="G515" t="str">
        <f>_xlfn.XLOOKUP(B515,products_2026!A:A,products_2026!B:B,,0,)</f>
        <v>Mens Cologne Gift Set Tester Bottles</v>
      </c>
      <c r="H515" t="str">
        <f>_xlfn.XLOOKUP(B515,products_2026!A:A,products_2026!E:E,,0,)</f>
        <v>SELL0088</v>
      </c>
      <c r="I515" t="str">
        <f>IFERROR(_xlfn.XLOOKUP(H515,sellers_2026!A:A,sellers_2026!G:G,,0,), "unknown/inactive")</f>
        <v>TAS</v>
      </c>
      <c r="J515" t="str">
        <f>_xlfn.XLOOKUP(H515,sellers_2026!A:A,sellers_2026!B:B,,0,)</f>
        <v>7ti9lfa6h5</v>
      </c>
    </row>
    <row r="516" spans="1:10" ht="14.25" customHeight="1" x14ac:dyDescent="0.3">
      <c r="A516" s="2" t="s">
        <v>2947</v>
      </c>
      <c r="B516" s="2" t="s">
        <v>883</v>
      </c>
      <c r="C516" s="2">
        <v>1</v>
      </c>
      <c r="D516" t="str">
        <f>_xlfn.XLOOKUP(order_items!B516,products_2026!A:A,products_2026!C:C,,0,)</f>
        <v>Outdoor</v>
      </c>
      <c r="E516">
        <f>_xlfn.XLOOKUP(B516,products_2026!A:A,products_2026!D:D,,0,)</f>
        <v>81.02</v>
      </c>
      <c r="F516">
        <f t="shared" si="8"/>
        <v>81.02</v>
      </c>
      <c r="G516" t="str">
        <f>_xlfn.XLOOKUP(B516,products_2026!A:A,products_2026!B:B,,0,)</f>
        <v>BBQ Meat Thermometer Bluetooth</v>
      </c>
      <c r="H516" t="str">
        <f>_xlfn.XLOOKUP(B516,products_2026!A:A,products_2026!E:E,,0,)</f>
        <v>SELL0092</v>
      </c>
      <c r="I516" t="str">
        <f>IFERROR(_xlfn.XLOOKUP(H516,sellers_2026!A:A,sellers_2026!G:G,,0,), "unknown/inactive")</f>
        <v>VIC</v>
      </c>
      <c r="J516" t="str">
        <f>_xlfn.XLOOKUP(H516,sellers_2026!A:A,sellers_2026!B:B,,0,)</f>
        <v>dress4beauty</v>
      </c>
    </row>
    <row r="517" spans="1:10" ht="14.25" customHeight="1" x14ac:dyDescent="0.3">
      <c r="A517" s="2" t="s">
        <v>2948</v>
      </c>
      <c r="B517" s="2" t="s">
        <v>57</v>
      </c>
      <c r="C517" s="2">
        <v>1</v>
      </c>
      <c r="D517" t="str">
        <f>_xlfn.XLOOKUP(order_items!B517,products_2026!A:A,products_2026!C:C,,0,)</f>
        <v>Outdoor</v>
      </c>
      <c r="E517">
        <f>_xlfn.XLOOKUP(B517,products_2026!A:A,products_2026!D:D,,0,)</f>
        <v>13.71</v>
      </c>
      <c r="F517">
        <f t="shared" si="8"/>
        <v>13.71</v>
      </c>
      <c r="G517" t="str">
        <f>_xlfn.XLOOKUP(B517,products_2026!A:A,products_2026!B:B,,0,)</f>
        <v>BBQ Skewers - 12 pack (Bamboo)</v>
      </c>
      <c r="H517" t="str">
        <f>_xlfn.XLOOKUP(B517,products_2026!A:A,products_2026!E:E,,0,)</f>
        <v>SELL0016</v>
      </c>
      <c r="I517" t="str">
        <f>IFERROR(_xlfn.XLOOKUP(H517,sellers_2026!A:A,sellers_2026!G:G,,0,), "unknown/inactive")</f>
        <v>TAS</v>
      </c>
      <c r="J517" t="str">
        <f>_xlfn.XLOOKUP(H517,sellers_2026!A:A,sellers_2026!B:B,,0,)</f>
        <v>abracadabra_002</v>
      </c>
    </row>
    <row r="518" spans="1:10" ht="14.25" customHeight="1" x14ac:dyDescent="0.3">
      <c r="A518" s="2" t="s">
        <v>2948</v>
      </c>
      <c r="B518" s="2" t="s">
        <v>171</v>
      </c>
      <c r="C518" s="2">
        <v>1</v>
      </c>
      <c r="D518" t="str">
        <f>_xlfn.XLOOKUP(order_items!B518,products_2026!A:A,products_2026!C:C,,0,)</f>
        <v>Outdoor</v>
      </c>
      <c r="E518">
        <f>_xlfn.XLOOKUP(B518,products_2026!A:A,products_2026!D:D,,0,)</f>
        <v>21.37</v>
      </c>
      <c r="F518">
        <f t="shared" si="8"/>
        <v>21.37</v>
      </c>
      <c r="G518" t="str">
        <f>_xlfn.XLOOKUP(B518,products_2026!A:A,products_2026!B:B,,0,)</f>
        <v>BBQ Meat Thermometer Battery Powered</v>
      </c>
      <c r="H518" t="str">
        <f>_xlfn.XLOOKUP(B518,products_2026!A:A,products_2026!E:E,,0,)</f>
        <v>SELL0034</v>
      </c>
      <c r="I518" t="str">
        <f>IFERROR(_xlfn.XLOOKUP(H518,sellers_2026!A:A,sellers_2026!G:G,,0,), "unknown/inactive")</f>
        <v>NT</v>
      </c>
      <c r="J518" t="str">
        <f>_xlfn.XLOOKUP(H518,sellers_2026!A:A,sellers_2026!B:B,,0,)</f>
        <v>outer40</v>
      </c>
    </row>
    <row r="519" spans="1:10" ht="14.25" customHeight="1" x14ac:dyDescent="0.3">
      <c r="A519" s="2" t="s">
        <v>2948</v>
      </c>
      <c r="B519" s="2" t="s">
        <v>961</v>
      </c>
      <c r="C519" s="2">
        <v>2</v>
      </c>
      <c r="D519" t="str">
        <f>_xlfn.XLOOKUP(order_items!B519,products_2026!A:A,products_2026!C:C,,0,)</f>
        <v>Outdoor</v>
      </c>
      <c r="E519">
        <f>_xlfn.XLOOKUP(B519,products_2026!A:A,products_2026!D:D,,0,)</f>
        <v>80.069999999999993</v>
      </c>
      <c r="F519">
        <f t="shared" si="8"/>
        <v>160.13999999999999</v>
      </c>
      <c r="G519" t="str">
        <f>_xlfn.XLOOKUP(B519,products_2026!A:A,products_2026!B:B,,0,)</f>
        <v>BBQ Apron - Blue</v>
      </c>
      <c r="H519" t="str">
        <f>_xlfn.XLOOKUP(B519,products_2026!A:A,products_2026!E:E,,0,)</f>
        <v>SELL0094</v>
      </c>
      <c r="I519" t="str">
        <f>IFERROR(_xlfn.XLOOKUP(H519,sellers_2026!A:A,sellers_2026!G:G,,0,), "unknown/inactive")</f>
        <v>WA</v>
      </c>
      <c r="J519" t="str">
        <f>_xlfn.XLOOKUP(H519,sellers_2026!A:A,sellers_2026!B:B,,0,)</f>
        <v>excelinall</v>
      </c>
    </row>
    <row r="520" spans="1:10" ht="14.25" customHeight="1" x14ac:dyDescent="0.3">
      <c r="A520" s="2" t="s">
        <v>2949</v>
      </c>
      <c r="B520" s="2" t="s">
        <v>512</v>
      </c>
      <c r="C520" s="2">
        <v>1</v>
      </c>
      <c r="D520" t="str">
        <f>_xlfn.XLOOKUP(order_items!B520,products_2026!A:A,products_2026!C:C,,0,)</f>
        <v>Outdoor</v>
      </c>
      <c r="E520">
        <f>_xlfn.XLOOKUP(B520,products_2026!A:A,products_2026!D:D,,0,)</f>
        <v>74.39</v>
      </c>
      <c r="F520">
        <f t="shared" si="8"/>
        <v>74.39</v>
      </c>
      <c r="G520" t="str">
        <f>_xlfn.XLOOKUP(B520,products_2026!A:A,products_2026!B:B,,0,)</f>
        <v>Waterproof Picnic Mat Tartan</v>
      </c>
      <c r="H520" t="str">
        <f>_xlfn.XLOOKUP(B520,products_2026!A:A,products_2026!E:E,,0,)</f>
        <v>SELL0072</v>
      </c>
      <c r="I520" t="str">
        <f>IFERROR(_xlfn.XLOOKUP(H520,sellers_2026!A:A,sellers_2026!G:G,,0,), "unknown/inactive")</f>
        <v>ACT</v>
      </c>
      <c r="J520" t="str">
        <f>_xlfn.XLOOKUP(H520,sellers_2026!A:A,sellers_2026!B:B,,0,)</f>
        <v>swanium</v>
      </c>
    </row>
    <row r="521" spans="1:10" ht="14.25" customHeight="1" x14ac:dyDescent="0.3">
      <c r="A521" s="2" t="s">
        <v>2950</v>
      </c>
      <c r="B521" s="2" t="s">
        <v>501</v>
      </c>
      <c r="C521" s="2">
        <v>1</v>
      </c>
      <c r="D521" t="str">
        <f>_xlfn.XLOOKUP(order_items!B521,products_2026!A:A,products_2026!C:C,,0,)</f>
        <v>Outdoor</v>
      </c>
      <c r="E521">
        <f>_xlfn.XLOOKUP(B521,products_2026!A:A,products_2026!D:D,,0,)</f>
        <v>32.67</v>
      </c>
      <c r="F521">
        <f t="shared" si="8"/>
        <v>32.67</v>
      </c>
      <c r="G521" t="str">
        <f>_xlfn.XLOOKUP(B521,products_2026!A:A,products_2026!B:B,,0,)</f>
        <v>Snorkel Set - Adult Small</v>
      </c>
      <c r="H521" t="str">
        <f>_xlfn.XLOOKUP(B521,products_2026!A:A,products_2026!E:E,,0,)</f>
        <v>SELL0070</v>
      </c>
      <c r="I521" t="str">
        <f>IFERROR(_xlfn.XLOOKUP(H521,sellers_2026!A:A,sellers_2026!G:G,,0,), "unknown/inactive")</f>
        <v>QLD</v>
      </c>
      <c r="J521" t="str">
        <f>_xlfn.XLOOKUP(H521,sellers_2026!A:A,sellers_2026!B:B,,0,)</f>
        <v>homeandaways</v>
      </c>
    </row>
    <row r="522" spans="1:10" ht="14.25" customHeight="1" x14ac:dyDescent="0.3">
      <c r="A522" s="2" t="s">
        <v>2950</v>
      </c>
      <c r="B522" s="2" t="s">
        <v>542</v>
      </c>
      <c r="C522" s="2">
        <v>1</v>
      </c>
      <c r="D522" t="str">
        <f>_xlfn.XLOOKUP(order_items!B522,products_2026!A:A,products_2026!C:C,,0,)</f>
        <v>Outdoor</v>
      </c>
      <c r="E522">
        <f>_xlfn.XLOOKUP(B522,products_2026!A:A,products_2026!D:D,,0,)</f>
        <v>75.099999999999994</v>
      </c>
      <c r="F522">
        <f t="shared" si="8"/>
        <v>75.099999999999994</v>
      </c>
      <c r="G522" t="str">
        <f>_xlfn.XLOOKUP(B522,products_2026!A:A,products_2026!B:B,,0,)</f>
        <v>BBQ - Charcoal</v>
      </c>
      <c r="H522" t="str">
        <f>_xlfn.XLOOKUP(B522,products_2026!A:A,products_2026!E:E,,0,)</f>
        <v>SELL0075</v>
      </c>
      <c r="I522" t="str">
        <f>IFERROR(_xlfn.XLOOKUP(H522,sellers_2026!A:A,sellers_2026!G:G,,0,), "unknown/inactive")</f>
        <v>NSW</v>
      </c>
      <c r="J522" t="str">
        <f>_xlfn.XLOOKUP(H522,sellers_2026!A:A,sellers_2026!B:B,,0,)</f>
        <v>nhlay6j49a</v>
      </c>
    </row>
    <row r="523" spans="1:10" ht="14.25" customHeight="1" x14ac:dyDescent="0.3">
      <c r="A523" s="2" t="s">
        <v>2951</v>
      </c>
      <c r="B523" s="2" t="s">
        <v>90</v>
      </c>
      <c r="C523" s="2">
        <v>2</v>
      </c>
      <c r="D523" t="str">
        <f>_xlfn.XLOOKUP(order_items!B523,products_2026!A:A,products_2026!C:C,,0,)</f>
        <v>Outdoor</v>
      </c>
      <c r="E523">
        <f>_xlfn.XLOOKUP(B523,products_2026!A:A,products_2026!D:D,,0,)</f>
        <v>43.27</v>
      </c>
      <c r="F523">
        <f t="shared" si="8"/>
        <v>86.54</v>
      </c>
      <c r="G523" t="str">
        <f>_xlfn.XLOOKUP(B523,products_2026!A:A,products_2026!B:B,,0,)</f>
        <v>Solar Garden Light Set (4 pack)</v>
      </c>
      <c r="H523" t="str">
        <f>_xlfn.XLOOKUP(B523,products_2026!A:A,products_2026!E:E,,0,)</f>
        <v>SELL0021</v>
      </c>
      <c r="I523" t="str">
        <f>IFERROR(_xlfn.XLOOKUP(H523,sellers_2026!A:A,sellers_2026!G:G,,0,), "unknown/inactive")</f>
        <v>VIC</v>
      </c>
      <c r="J523" t="str">
        <f>_xlfn.XLOOKUP(H523,sellers_2026!A:A,sellers_2026!B:B,,0,)</f>
        <v>stuff-on-sale</v>
      </c>
    </row>
    <row r="524" spans="1:10" ht="14.25" customHeight="1" x14ac:dyDescent="0.3">
      <c r="A524" s="2" t="s">
        <v>2951</v>
      </c>
      <c r="B524" s="2" t="s">
        <v>189</v>
      </c>
      <c r="C524" s="2">
        <v>1</v>
      </c>
      <c r="D524" t="str">
        <f>_xlfn.XLOOKUP(order_items!B524,products_2026!A:A,products_2026!C:C,,0,)</f>
        <v>Outdoor</v>
      </c>
      <c r="E524">
        <f>_xlfn.XLOOKUP(B524,products_2026!A:A,products_2026!D:D,,0,)</f>
        <v>49.99</v>
      </c>
      <c r="F524">
        <f t="shared" si="8"/>
        <v>49.99</v>
      </c>
      <c r="G524" t="str">
        <f>_xlfn.XLOOKUP(B524,products_2026!A:A,products_2026!B:B,,0,)</f>
        <v>Wood Chips Smoked Mesquite Premium</v>
      </c>
      <c r="H524" t="str">
        <f>_xlfn.XLOOKUP(B524,products_2026!A:A,products_2026!E:E,,0,)</f>
        <v>SELL0036</v>
      </c>
      <c r="I524" t="str">
        <f>IFERROR(_xlfn.XLOOKUP(H524,sellers_2026!A:A,sellers_2026!G:G,,0,), "unknown/inactive")</f>
        <v>NT</v>
      </c>
      <c r="J524" t="str">
        <f>_xlfn.XLOOKUP(H524,sellers_2026!A:A,sellers_2026!B:B,,0,)</f>
        <v>goodqualityemporium</v>
      </c>
    </row>
    <row r="525" spans="1:10" ht="14.25" customHeight="1" x14ac:dyDescent="0.3">
      <c r="A525" s="2" t="s">
        <v>2951</v>
      </c>
      <c r="B525" s="2" t="s">
        <v>569</v>
      </c>
      <c r="C525" s="2">
        <v>1</v>
      </c>
      <c r="D525" t="str">
        <f>_xlfn.XLOOKUP(order_items!B525,products_2026!A:A,products_2026!C:C,,0,)</f>
        <v>Gift_Sets</v>
      </c>
      <c r="E525">
        <f>_xlfn.XLOOKUP(B525,products_2026!A:A,products_2026!D:D,,0,)</f>
        <v>34.36</v>
      </c>
      <c r="F525">
        <f t="shared" si="8"/>
        <v>34.36</v>
      </c>
      <c r="G525" t="str">
        <f>_xlfn.XLOOKUP(B525,products_2026!A:A,products_2026!B:B,,0,)</f>
        <v>Spa Pamper Gift Set Relaxing Calm</v>
      </c>
      <c r="H525" t="str">
        <f>_xlfn.XLOOKUP(B525,products_2026!A:A,products_2026!E:E,,0,)</f>
        <v>SELL0078</v>
      </c>
      <c r="I525" t="str">
        <f>IFERROR(_xlfn.XLOOKUP(H525,sellers_2026!A:A,sellers_2026!G:G,,0,), "unknown/inactive")</f>
        <v>TAS</v>
      </c>
      <c r="J525" t="str">
        <f>_xlfn.XLOOKUP(H525,sellers_2026!A:A,sellers_2026!B:B,,0,)</f>
        <v>r6vd2aojq8</v>
      </c>
    </row>
    <row r="526" spans="1:10" ht="14.25" customHeight="1" x14ac:dyDescent="0.3">
      <c r="A526" s="2" t="s">
        <v>2952</v>
      </c>
      <c r="B526" s="2" t="s">
        <v>838</v>
      </c>
      <c r="C526" s="2">
        <v>1</v>
      </c>
      <c r="D526" t="str">
        <f>_xlfn.XLOOKUP(order_items!B526,products_2026!A:A,products_2026!C:C,,0,)</f>
        <v>Home</v>
      </c>
      <c r="E526">
        <f>_xlfn.XLOOKUP(B526,products_2026!A:A,products_2026!D:D,,0,)</f>
        <v>18.559999999999999</v>
      </c>
      <c r="F526">
        <f t="shared" si="8"/>
        <v>18.559999999999999</v>
      </c>
      <c r="G526" t="str">
        <f>_xlfn.XLOOKUP(B526,products_2026!A:A,products_2026!B:B,,0,)</f>
        <v>LED Floor Lamp</v>
      </c>
      <c r="H526" t="str">
        <f>_xlfn.XLOOKUP(B526,products_2026!A:A,products_2026!E:E,,0,)</f>
        <v>SELL0091</v>
      </c>
      <c r="I526" t="str">
        <f>IFERROR(_xlfn.XLOOKUP(H526,sellers_2026!A:A,sellers_2026!G:G,,0,), "unknown/inactive")</f>
        <v>TAS</v>
      </c>
      <c r="J526" t="str">
        <f>_xlfn.XLOOKUP(H526,sellers_2026!A:A,sellers_2026!B:B,,0,)</f>
        <v>beautifullhome</v>
      </c>
    </row>
    <row r="527" spans="1:10" ht="14.25" customHeight="1" x14ac:dyDescent="0.3">
      <c r="A527" s="2" t="s">
        <v>2953</v>
      </c>
      <c r="B527" s="2" t="s">
        <v>57</v>
      </c>
      <c r="C527" s="2">
        <v>1</v>
      </c>
      <c r="D527" t="str">
        <f>_xlfn.XLOOKUP(order_items!B527,products_2026!A:A,products_2026!C:C,,0,)</f>
        <v>Outdoor</v>
      </c>
      <c r="E527">
        <f>_xlfn.XLOOKUP(B527,products_2026!A:A,products_2026!D:D,,0,)</f>
        <v>13.71</v>
      </c>
      <c r="F527">
        <f t="shared" si="8"/>
        <v>13.71</v>
      </c>
      <c r="G527" t="str">
        <f>_xlfn.XLOOKUP(B527,products_2026!A:A,products_2026!B:B,,0,)</f>
        <v>BBQ Skewers - 12 pack (Bamboo)</v>
      </c>
      <c r="H527" t="str">
        <f>_xlfn.XLOOKUP(B527,products_2026!A:A,products_2026!E:E,,0,)</f>
        <v>SELL0016</v>
      </c>
      <c r="I527" t="str">
        <f>IFERROR(_xlfn.XLOOKUP(H527,sellers_2026!A:A,sellers_2026!G:G,,0,), "unknown/inactive")</f>
        <v>TAS</v>
      </c>
      <c r="J527" t="str">
        <f>_xlfn.XLOOKUP(H527,sellers_2026!A:A,sellers_2026!B:B,,0,)</f>
        <v>abracadabra_002</v>
      </c>
    </row>
    <row r="528" spans="1:10" ht="14.25" customHeight="1" x14ac:dyDescent="0.3">
      <c r="A528" s="2" t="s">
        <v>2953</v>
      </c>
      <c r="B528" s="2" t="s">
        <v>441</v>
      </c>
      <c r="C528" s="2">
        <v>1</v>
      </c>
      <c r="D528" t="str">
        <f>_xlfn.XLOOKUP(order_items!B528,products_2026!A:A,products_2026!C:C,,0,)</f>
        <v>Outdoor</v>
      </c>
      <c r="E528">
        <f>_xlfn.XLOOKUP(B528,products_2026!A:A,products_2026!D:D,,0,)</f>
        <v>110.01</v>
      </c>
      <c r="F528">
        <f t="shared" si="8"/>
        <v>110.01</v>
      </c>
      <c r="G528" t="str">
        <f>_xlfn.XLOOKUP(B528,products_2026!A:A,products_2026!B:B,,0,)</f>
        <v>Waterproof Mat</v>
      </c>
      <c r="H528" t="str">
        <f>_xlfn.XLOOKUP(B528,products_2026!A:A,products_2026!E:E,,0,)</f>
        <v>SELL0062</v>
      </c>
      <c r="I528" t="str">
        <f>IFERROR(_xlfn.XLOOKUP(H528,sellers_2026!A:A,sellers_2026!G:G,,0,), "unknown/inactive")</f>
        <v>QLD</v>
      </c>
      <c r="J528" t="str">
        <f>_xlfn.XLOOKUP(H528,sellers_2026!A:A,sellers_2026!B:B,,0,)</f>
        <v>queenslandqweenie</v>
      </c>
    </row>
    <row r="529" spans="1:10" ht="14.25" customHeight="1" x14ac:dyDescent="0.3">
      <c r="A529" s="2" t="s">
        <v>2954</v>
      </c>
      <c r="B529" s="2" t="s">
        <v>401</v>
      </c>
      <c r="C529" s="2">
        <v>1</v>
      </c>
      <c r="D529" t="str">
        <f>_xlfn.XLOOKUP(order_items!B529,products_2026!A:A,products_2026!C:C,,0,)</f>
        <v>Outdoor</v>
      </c>
      <c r="E529">
        <f>_xlfn.XLOOKUP(B529,products_2026!A:A,products_2026!D:D,,0,)</f>
        <v>75.239999999999995</v>
      </c>
      <c r="F529">
        <f t="shared" si="8"/>
        <v>75.239999999999995</v>
      </c>
      <c r="G529" t="str">
        <f>_xlfn.XLOOKUP(B529,products_2026!A:A,products_2026!B:B,,0,)</f>
        <v>Ice bucket outdoor beers garden picnic</v>
      </c>
      <c r="H529" t="str">
        <f>_xlfn.XLOOKUP(B529,products_2026!A:A,products_2026!E:E,,0,)</f>
        <v>SELL0058</v>
      </c>
      <c r="I529" t="str">
        <f>IFERROR(_xlfn.XLOOKUP(H529,sellers_2026!A:A,sellers_2026!G:G,,0,), "unknown/inactive")</f>
        <v>QLD</v>
      </c>
      <c r="J529" t="str">
        <f>_xlfn.XLOOKUP(H529,sellers_2026!A:A,sellers_2026!B:B,,0,)</f>
        <v>au6ynzdcy5</v>
      </c>
    </row>
    <row r="530" spans="1:10" ht="14.25" customHeight="1" x14ac:dyDescent="0.3">
      <c r="A530" s="2" t="s">
        <v>2954</v>
      </c>
      <c r="B530" s="2" t="s">
        <v>503</v>
      </c>
      <c r="C530" s="2">
        <v>1</v>
      </c>
      <c r="D530" t="str">
        <f>_xlfn.XLOOKUP(order_items!B530,products_2026!A:A,products_2026!C:C,,0,)</f>
        <v>Home</v>
      </c>
      <c r="E530">
        <f>_xlfn.XLOOKUP(B530,products_2026!A:A,products_2026!D:D,,0,)</f>
        <v>19.989999999999998</v>
      </c>
      <c r="F530">
        <f t="shared" si="8"/>
        <v>19.989999999999998</v>
      </c>
      <c r="G530" t="str">
        <f>_xlfn.XLOOKUP(B530,products_2026!A:A,products_2026!B:B,,0,)</f>
        <v>Drawer Organiser 5 sections</v>
      </c>
      <c r="H530" t="str">
        <f>_xlfn.XLOOKUP(B530,products_2026!A:A,products_2026!E:E,,0,)</f>
        <v>SELL0070</v>
      </c>
      <c r="I530" t="str">
        <f>IFERROR(_xlfn.XLOOKUP(H530,sellers_2026!A:A,sellers_2026!G:G,,0,), "unknown/inactive")</f>
        <v>QLD</v>
      </c>
      <c r="J530" t="str">
        <f>_xlfn.XLOOKUP(H530,sellers_2026!A:A,sellers_2026!B:B,,0,)</f>
        <v>homeandaways</v>
      </c>
    </row>
    <row r="531" spans="1:10" ht="14.25" customHeight="1" x14ac:dyDescent="0.3">
      <c r="A531" s="2" t="s">
        <v>2954</v>
      </c>
      <c r="B531" s="2" t="s">
        <v>542</v>
      </c>
      <c r="C531" s="2">
        <v>1</v>
      </c>
      <c r="D531" t="str">
        <f>_xlfn.XLOOKUP(order_items!B531,products_2026!A:A,products_2026!C:C,,0,)</f>
        <v>Outdoor</v>
      </c>
      <c r="E531">
        <f>_xlfn.XLOOKUP(B531,products_2026!A:A,products_2026!D:D,,0,)</f>
        <v>75.099999999999994</v>
      </c>
      <c r="F531">
        <f t="shared" si="8"/>
        <v>75.099999999999994</v>
      </c>
      <c r="G531" t="str">
        <f>_xlfn.XLOOKUP(B531,products_2026!A:A,products_2026!B:B,,0,)</f>
        <v>BBQ - Charcoal</v>
      </c>
      <c r="H531" t="str">
        <f>_xlfn.XLOOKUP(B531,products_2026!A:A,products_2026!E:E,,0,)</f>
        <v>SELL0075</v>
      </c>
      <c r="I531" t="str">
        <f>IFERROR(_xlfn.XLOOKUP(H531,sellers_2026!A:A,sellers_2026!G:G,,0,), "unknown/inactive")</f>
        <v>NSW</v>
      </c>
      <c r="J531" t="str">
        <f>_xlfn.XLOOKUP(H531,sellers_2026!A:A,sellers_2026!B:B,,0,)</f>
        <v>nhlay6j49a</v>
      </c>
    </row>
    <row r="532" spans="1:10" ht="14.25" customHeight="1" x14ac:dyDescent="0.3">
      <c r="A532" s="2" t="s">
        <v>2954</v>
      </c>
      <c r="B532" s="2" t="s">
        <v>851</v>
      </c>
      <c r="C532" s="2">
        <v>1</v>
      </c>
      <c r="D532" t="str">
        <f>_xlfn.XLOOKUP(order_items!B532,products_2026!A:A,products_2026!C:C,,0,)</f>
        <v>Home</v>
      </c>
      <c r="E532">
        <f>_xlfn.XLOOKUP(B532,products_2026!A:A,products_2026!D:D,,0,)</f>
        <v>110.1</v>
      </c>
      <c r="F532">
        <f t="shared" si="8"/>
        <v>110.1</v>
      </c>
      <c r="G532" t="str">
        <f>_xlfn.XLOOKUP(B532,products_2026!A:A,products_2026!B:B,,0,)</f>
        <v>Memory Foam Pillow Firm</v>
      </c>
      <c r="H532" t="str">
        <f>_xlfn.XLOOKUP(B532,products_2026!A:A,products_2026!E:E,,0,)</f>
        <v>SELL0091</v>
      </c>
      <c r="I532" t="str">
        <f>IFERROR(_xlfn.XLOOKUP(H532,sellers_2026!A:A,sellers_2026!G:G,,0,), "unknown/inactive")</f>
        <v>TAS</v>
      </c>
      <c r="J532" t="str">
        <f>_xlfn.XLOOKUP(H532,sellers_2026!A:A,sellers_2026!B:B,,0,)</f>
        <v>beautifullhome</v>
      </c>
    </row>
    <row r="533" spans="1:10" ht="14.25" customHeight="1" x14ac:dyDescent="0.3">
      <c r="A533" s="2" t="s">
        <v>2955</v>
      </c>
      <c r="B533" s="2" t="s">
        <v>57</v>
      </c>
      <c r="C533" s="2">
        <v>1</v>
      </c>
      <c r="D533" t="str">
        <f>_xlfn.XLOOKUP(order_items!B533,products_2026!A:A,products_2026!C:C,,0,)</f>
        <v>Outdoor</v>
      </c>
      <c r="E533">
        <f>_xlfn.XLOOKUP(B533,products_2026!A:A,products_2026!D:D,,0,)</f>
        <v>13.71</v>
      </c>
      <c r="F533">
        <f t="shared" si="8"/>
        <v>13.71</v>
      </c>
      <c r="G533" t="str">
        <f>_xlfn.XLOOKUP(B533,products_2026!A:A,products_2026!B:B,,0,)</f>
        <v>BBQ Skewers - 12 pack (Bamboo)</v>
      </c>
      <c r="H533" t="str">
        <f>_xlfn.XLOOKUP(B533,products_2026!A:A,products_2026!E:E,,0,)</f>
        <v>SELL0016</v>
      </c>
      <c r="I533" t="str">
        <f>IFERROR(_xlfn.XLOOKUP(H533,sellers_2026!A:A,sellers_2026!G:G,,0,), "unknown/inactive")</f>
        <v>TAS</v>
      </c>
      <c r="J533" t="str">
        <f>_xlfn.XLOOKUP(H533,sellers_2026!A:A,sellers_2026!B:B,,0,)</f>
        <v>abracadabra_002</v>
      </c>
    </row>
    <row r="534" spans="1:10" ht="14.25" customHeight="1" x14ac:dyDescent="0.3">
      <c r="A534" s="2" t="s">
        <v>2955</v>
      </c>
      <c r="B534" s="2" t="s">
        <v>103</v>
      </c>
      <c r="C534" s="2">
        <v>1</v>
      </c>
      <c r="D534" t="str">
        <f>_xlfn.XLOOKUP(order_items!B534,products_2026!A:A,products_2026!C:C,,0,)</f>
        <v>Outdoor</v>
      </c>
      <c r="E534">
        <f>_xlfn.XLOOKUP(B534,products_2026!A:A,products_2026!D:D,,0,)</f>
        <v>24.22</v>
      </c>
      <c r="F534">
        <f t="shared" si="8"/>
        <v>24.22</v>
      </c>
      <c r="G534" t="str">
        <f>_xlfn.XLOOKUP(B534,products_2026!A:A,products_2026!B:B,,0,)</f>
        <v>Outdoor Oven Gloves (Red)</v>
      </c>
      <c r="H534" t="str">
        <f>_xlfn.XLOOKUP(B534,products_2026!A:A,products_2026!E:E,,0,)</f>
        <v>SELL0022</v>
      </c>
      <c r="I534" t="str">
        <f>IFERROR(_xlfn.XLOOKUP(H534,sellers_2026!A:A,sellers_2026!G:G,,0,), "unknown/inactive")</f>
        <v>WA</v>
      </c>
      <c r="J534" t="str">
        <f>_xlfn.XLOOKUP(H534,sellers_2026!A:A,sellers_2026!B:B,,0,)</f>
        <v>g5x9v55sct</v>
      </c>
    </row>
    <row r="535" spans="1:10" ht="14.25" customHeight="1" x14ac:dyDescent="0.3">
      <c r="A535" s="2" t="s">
        <v>2955</v>
      </c>
      <c r="B535" s="2" t="s">
        <v>260</v>
      </c>
      <c r="C535" s="2">
        <v>1</v>
      </c>
      <c r="D535" t="str">
        <f>_xlfn.XLOOKUP(order_items!B535,products_2026!A:A,products_2026!C:C,,0,)</f>
        <v>Clothes</v>
      </c>
      <c r="E535">
        <f>_xlfn.XLOOKUP(B535,products_2026!A:A,products_2026!D:D,,0,)</f>
        <v>41.73</v>
      </c>
      <c r="F535">
        <f t="shared" si="8"/>
        <v>41.73</v>
      </c>
      <c r="G535" t="str">
        <f>_xlfn.XLOOKUP(B535,products_2026!A:A,products_2026!B:B,,0,)</f>
        <v>Rain Jacket Red L</v>
      </c>
      <c r="H535" t="str">
        <f>_xlfn.XLOOKUP(B535,products_2026!A:A,products_2026!E:E,,0,)</f>
        <v>SELL0042</v>
      </c>
      <c r="I535" t="str">
        <f>IFERROR(_xlfn.XLOOKUP(H535,sellers_2026!A:A,sellers_2026!G:G,,0,), "unknown/inactive")</f>
        <v>WA</v>
      </c>
      <c r="J535" t="str">
        <f>_xlfn.XLOOKUP(H535,sellers_2026!A:A,sellers_2026!B:B,,0,)</f>
        <v>beauty490</v>
      </c>
    </row>
    <row r="536" spans="1:10" ht="14.25" customHeight="1" x14ac:dyDescent="0.3">
      <c r="A536" s="2" t="s">
        <v>2955</v>
      </c>
      <c r="B536" s="2" t="s">
        <v>726</v>
      </c>
      <c r="C536" s="2">
        <v>2</v>
      </c>
      <c r="D536" t="str">
        <f>_xlfn.XLOOKUP(order_items!B536,products_2026!A:A,products_2026!C:C,,0,)</f>
        <v>Gift_Sets</v>
      </c>
      <c r="E536">
        <f>_xlfn.XLOOKUP(B536,products_2026!A:A,products_2026!D:D,,0,)</f>
        <v>21.81</v>
      </c>
      <c r="F536">
        <f t="shared" si="8"/>
        <v>43.62</v>
      </c>
      <c r="G536" t="str">
        <f>_xlfn.XLOOKUP(B536,products_2026!A:A,products_2026!B:B,,0,)</f>
        <v>White Chocolate Selection Box</v>
      </c>
      <c r="H536" t="str">
        <f>_xlfn.XLOOKUP(B536,products_2026!A:A,products_2026!E:E,,0,)</f>
        <v>SELL0088</v>
      </c>
      <c r="I536" t="str">
        <f>IFERROR(_xlfn.XLOOKUP(H536,sellers_2026!A:A,sellers_2026!G:G,,0,), "unknown/inactive")</f>
        <v>TAS</v>
      </c>
      <c r="J536" t="str">
        <f>_xlfn.XLOOKUP(H536,sellers_2026!A:A,sellers_2026!B:B,,0,)</f>
        <v>7ti9lfa6h5</v>
      </c>
    </row>
    <row r="537" spans="1:10" ht="14.25" customHeight="1" x14ac:dyDescent="0.3">
      <c r="A537" s="2" t="s">
        <v>2955</v>
      </c>
      <c r="B537" s="2" t="s">
        <v>951</v>
      </c>
      <c r="C537" s="2">
        <v>2</v>
      </c>
      <c r="D537" t="str">
        <f>_xlfn.XLOOKUP(order_items!B537,products_2026!A:A,products_2026!C:C,,0,)</f>
        <v>Outdoor</v>
      </c>
      <c r="E537">
        <f>_xlfn.XLOOKUP(B537,products_2026!A:A,products_2026!D:D,,0,)</f>
        <v>54.41</v>
      </c>
      <c r="F537">
        <f t="shared" si="8"/>
        <v>108.82</v>
      </c>
      <c r="G537" t="str">
        <f>_xlfn.XLOOKUP(B537,products_2026!A:A,products_2026!B:B,,0,)</f>
        <v>BBQ Grill Mat - Non‑stick (Navy)</v>
      </c>
      <c r="H537" t="str">
        <f>_xlfn.XLOOKUP(B537,products_2026!A:A,products_2026!E:E,,0,)</f>
        <v>SELL0093</v>
      </c>
      <c r="I537" t="str">
        <f>IFERROR(_xlfn.XLOOKUP(H537,sellers_2026!A:A,sellers_2026!G:G,,0,), "unknown/inactive")</f>
        <v>NT</v>
      </c>
      <c r="J537" t="str">
        <f>_xlfn.XLOOKUP(H537,sellers_2026!A:A,sellers_2026!B:B,,0,)</f>
        <v>millies-outdoor-shop</v>
      </c>
    </row>
    <row r="538" spans="1:10" ht="14.25" customHeight="1" x14ac:dyDescent="0.3">
      <c r="A538" s="2" t="s">
        <v>2956</v>
      </c>
      <c r="B538" s="2" t="s">
        <v>415</v>
      </c>
      <c r="C538" s="2">
        <v>1</v>
      </c>
      <c r="D538" t="str">
        <f>_xlfn.XLOOKUP(order_items!B538,products_2026!A:A,products_2026!C:C,,0,)</f>
        <v>Outdoor</v>
      </c>
      <c r="E538">
        <f>_xlfn.XLOOKUP(B538,products_2026!A:A,products_2026!D:D,,0,)</f>
        <v>34.86</v>
      </c>
      <c r="F538">
        <f t="shared" si="8"/>
        <v>34.86</v>
      </c>
      <c r="G538" t="str">
        <f>_xlfn.XLOOKUP(B538,products_2026!A:A,products_2026!B:B,,0,)</f>
        <v>Steel Grill Basket</v>
      </c>
      <c r="H538" t="str">
        <f>_xlfn.XLOOKUP(B538,products_2026!A:A,products_2026!E:E,,0,)</f>
        <v>SELL0060</v>
      </c>
      <c r="I538" t="str">
        <f>IFERROR(_xlfn.XLOOKUP(H538,sellers_2026!A:A,sellers_2026!G:G,,0,), "unknown/inactive")</f>
        <v>VIC</v>
      </c>
      <c r="J538" t="str">
        <f>_xlfn.XLOOKUP(H538,sellers_2026!A:A,sellers_2026!B:B,,0,)</f>
        <v>shop689</v>
      </c>
    </row>
    <row r="539" spans="1:10" ht="14.25" customHeight="1" x14ac:dyDescent="0.3">
      <c r="A539" s="2" t="s">
        <v>2957</v>
      </c>
      <c r="B539" s="2" t="s">
        <v>187</v>
      </c>
      <c r="C539" s="2">
        <v>1</v>
      </c>
      <c r="D539" t="str">
        <f>_xlfn.XLOOKUP(order_items!B539,products_2026!A:A,products_2026!C:C,,0,)</f>
        <v>Outdoor</v>
      </c>
      <c r="E539">
        <f>_xlfn.XLOOKUP(B539,products_2026!A:A,products_2026!D:D,,0,)</f>
        <v>31.66</v>
      </c>
      <c r="F539">
        <f t="shared" si="8"/>
        <v>31.66</v>
      </c>
      <c r="G539" t="str">
        <f>_xlfn.XLOOKUP(B539,products_2026!A:A,products_2026!B:B,,0,)</f>
        <v>Wood Chips - Oak</v>
      </c>
      <c r="H539" t="str">
        <f>_xlfn.XLOOKUP(B539,products_2026!A:A,products_2026!E:E,,0,)</f>
        <v>SELL0035</v>
      </c>
      <c r="I539" t="str">
        <f>IFERROR(_xlfn.XLOOKUP(H539,sellers_2026!A:A,sellers_2026!G:G,,0,), "unknown/inactive")</f>
        <v>ACT</v>
      </c>
      <c r="J539" t="str">
        <f>_xlfn.XLOOKUP(H539,sellers_2026!A:A,sellers_2026!B:B,,0,)</f>
        <v>maddie-sells</v>
      </c>
    </row>
    <row r="540" spans="1:10" ht="14.25" customHeight="1" x14ac:dyDescent="0.3">
      <c r="A540" s="2" t="s">
        <v>2957</v>
      </c>
      <c r="B540" s="2" t="s">
        <v>598</v>
      </c>
      <c r="C540" s="2">
        <v>2</v>
      </c>
      <c r="D540" t="str">
        <f>_xlfn.XLOOKUP(order_items!B540,products_2026!A:A,products_2026!C:C,,0,)</f>
        <v>Beauty</v>
      </c>
      <c r="E540">
        <f>_xlfn.XLOOKUP(B540,products_2026!A:A,products_2026!D:D,,0,)</f>
        <v>17.28</v>
      </c>
      <c r="F540">
        <f t="shared" si="8"/>
        <v>34.56</v>
      </c>
      <c r="G540" t="str">
        <f>_xlfn.XLOOKUP(B540,products_2026!A:A,products_2026!B:B,,0,)</f>
        <v>Face Mist Vitamin E</v>
      </c>
      <c r="H540" t="str">
        <f>_xlfn.XLOOKUP(B540,products_2026!A:A,products_2026!E:E,,0,)</f>
        <v>SELL0082</v>
      </c>
      <c r="I540" t="str">
        <f>IFERROR(_xlfn.XLOOKUP(H540,sellers_2026!A:A,sellers_2026!G:G,,0,), "unknown/inactive")</f>
        <v>NSW</v>
      </c>
      <c r="J540" t="str">
        <f>_xlfn.XLOOKUP(H540,sellers_2026!A:A,sellers_2026!B:B,,0,)</f>
        <v>blessedforall</v>
      </c>
    </row>
    <row r="541" spans="1:10" ht="14.25" customHeight="1" x14ac:dyDescent="0.3">
      <c r="A541" s="2" t="s">
        <v>2957</v>
      </c>
      <c r="B541" s="2" t="s">
        <v>726</v>
      </c>
      <c r="C541" s="2">
        <v>1</v>
      </c>
      <c r="D541" t="str">
        <f>_xlfn.XLOOKUP(order_items!B541,products_2026!A:A,products_2026!C:C,,0,)</f>
        <v>Gift_Sets</v>
      </c>
      <c r="E541">
        <f>_xlfn.XLOOKUP(B541,products_2026!A:A,products_2026!D:D,,0,)</f>
        <v>21.81</v>
      </c>
      <c r="F541">
        <f t="shared" si="8"/>
        <v>21.81</v>
      </c>
      <c r="G541" t="str">
        <f>_xlfn.XLOOKUP(B541,products_2026!A:A,products_2026!B:B,,0,)</f>
        <v>White Chocolate Selection Box</v>
      </c>
      <c r="H541" t="str">
        <f>_xlfn.XLOOKUP(B541,products_2026!A:A,products_2026!E:E,,0,)</f>
        <v>SELL0088</v>
      </c>
      <c r="I541" t="str">
        <f>IFERROR(_xlfn.XLOOKUP(H541,sellers_2026!A:A,sellers_2026!G:G,,0,), "unknown/inactive")</f>
        <v>TAS</v>
      </c>
      <c r="J541" t="str">
        <f>_xlfn.XLOOKUP(H541,sellers_2026!A:A,sellers_2026!B:B,,0,)</f>
        <v>7ti9lfa6h5</v>
      </c>
    </row>
    <row r="542" spans="1:10" ht="14.25" customHeight="1" x14ac:dyDescent="0.3">
      <c r="A542" s="2" t="s">
        <v>2958</v>
      </c>
      <c r="B542" s="2" t="s">
        <v>253</v>
      </c>
      <c r="C542" s="2">
        <v>1</v>
      </c>
      <c r="D542" t="str">
        <f>_xlfn.XLOOKUP(order_items!B542,products_2026!A:A,products_2026!C:C,,0,)</f>
        <v>Outdoor</v>
      </c>
      <c r="E542">
        <f>_xlfn.XLOOKUP(B542,products_2026!A:A,products_2026!D:D,,0,)</f>
        <v>44.42</v>
      </c>
      <c r="F542">
        <f t="shared" si="8"/>
        <v>44.42</v>
      </c>
      <c r="G542" t="str">
        <f>_xlfn.XLOOKUP(B542,products_2026!A:A,products_2026!B:B,,0,)</f>
        <v>OutdoorOven Oven Gloves (Green)</v>
      </c>
      <c r="H542" t="str">
        <f>_xlfn.XLOOKUP(B542,products_2026!A:A,products_2026!E:E,,0,)</f>
        <v>SELL0041</v>
      </c>
      <c r="I542" t="str">
        <f>IFERROR(_xlfn.XLOOKUP(H542,sellers_2026!A:A,sellers_2026!G:G,,0,), "unknown/inactive")</f>
        <v>NT</v>
      </c>
      <c r="J542" t="str">
        <f>_xlfn.XLOOKUP(H542,sellers_2026!A:A,sellers_2026!B:B,,0,)</f>
        <v>wcs62ctlxh</v>
      </c>
    </row>
    <row r="543" spans="1:10" ht="14.25" customHeight="1" x14ac:dyDescent="0.3">
      <c r="A543" s="2" t="s">
        <v>2959</v>
      </c>
      <c r="B543" s="2" t="s">
        <v>64</v>
      </c>
      <c r="C543" s="2">
        <v>2</v>
      </c>
      <c r="D543" t="str">
        <f>_xlfn.XLOOKUP(order_items!B543,products_2026!A:A,products_2026!C:C,,0,)</f>
        <v>Outdoor</v>
      </c>
      <c r="E543">
        <f>_xlfn.XLOOKUP(B543,products_2026!A:A,products_2026!D:D,,0,)</f>
        <v>15.05</v>
      </c>
      <c r="F543">
        <f t="shared" si="8"/>
        <v>30.1</v>
      </c>
      <c r="G543" t="str">
        <f>_xlfn.XLOOKUP(B543,products_2026!A:A,products_2026!B:B,,0,)</f>
        <v>BBQ Skewers - 12 pack (Stainless Steel)</v>
      </c>
      <c r="H543" t="str">
        <f>_xlfn.XLOOKUP(B543,products_2026!A:A,products_2026!E:E,,0,)</f>
        <v>SELL0009</v>
      </c>
      <c r="I543" t="str">
        <f>IFERROR(_xlfn.XLOOKUP(H543,sellers_2026!A:A,sellers_2026!G:G,,0,), "unknown/inactive")</f>
        <v>QLD</v>
      </c>
      <c r="J543" t="str">
        <f>_xlfn.XLOOKUP(H543,sellers_2026!A:A,sellers_2026!B:B,,0,)</f>
        <v>bootsandcamping</v>
      </c>
    </row>
    <row r="544" spans="1:10" ht="14.25" customHeight="1" x14ac:dyDescent="0.3">
      <c r="A544" s="2" t="s">
        <v>2959</v>
      </c>
      <c r="B544" s="2" t="s">
        <v>687</v>
      </c>
      <c r="C544" s="2">
        <v>1</v>
      </c>
      <c r="D544" t="str">
        <f>_xlfn.XLOOKUP(order_items!B544,products_2026!A:A,products_2026!C:C,,0,)</f>
        <v>Clothes</v>
      </c>
      <c r="E544">
        <f>_xlfn.XLOOKUP(B544,products_2026!A:A,products_2026!D:D,,0,)</f>
        <v>53.17</v>
      </c>
      <c r="F544">
        <f t="shared" si="8"/>
        <v>53.17</v>
      </c>
      <c r="G544" t="str">
        <f>_xlfn.XLOOKUP(B544,products_2026!A:A,products_2026!B:B,,0,)</f>
        <v>Unisex Hoodie - Grey L</v>
      </c>
      <c r="H544" t="str">
        <f>_xlfn.XLOOKUP(B544,products_2026!A:A,products_2026!E:E,,0,)</f>
        <v>SELL0039</v>
      </c>
      <c r="I544" t="str">
        <f>IFERROR(_xlfn.XLOOKUP(H544,sellers_2026!A:A,sellers_2026!G:G,,0,), "unknown/inactive")</f>
        <v>QLD</v>
      </c>
      <c r="J544" t="str">
        <f>_xlfn.XLOOKUP(H544,sellers_2026!A:A,sellers_2026!B:B,,0,)</f>
        <v>zmkizlf6t6</v>
      </c>
    </row>
    <row r="545" spans="1:10" ht="14.25" customHeight="1" x14ac:dyDescent="0.3">
      <c r="A545" s="2" t="s">
        <v>2959</v>
      </c>
      <c r="B545" s="2" t="s">
        <v>963</v>
      </c>
      <c r="C545" s="2">
        <v>2</v>
      </c>
      <c r="D545" t="str">
        <f>_xlfn.XLOOKUP(order_items!B545,products_2026!A:A,products_2026!C:C,,0,)</f>
        <v>Outdoor</v>
      </c>
      <c r="E545">
        <f>_xlfn.XLOOKUP(B545,products_2026!A:A,products_2026!D:D,,0,)</f>
        <v>20.55</v>
      </c>
      <c r="F545">
        <f t="shared" si="8"/>
        <v>41.1</v>
      </c>
      <c r="G545" t="str">
        <f>_xlfn.XLOOKUP(B545,products_2026!A:A,products_2026!B:B,,0,)</f>
        <v>Stainless Steel Grill Basket</v>
      </c>
      <c r="H545" t="str">
        <f>_xlfn.XLOOKUP(B545,products_2026!A:A,products_2026!E:E,,0,)</f>
        <v>SELL0094</v>
      </c>
      <c r="I545" t="str">
        <f>IFERROR(_xlfn.XLOOKUP(H545,sellers_2026!A:A,sellers_2026!G:G,,0,), "unknown/inactive")</f>
        <v>WA</v>
      </c>
      <c r="J545" t="str">
        <f>_xlfn.XLOOKUP(H545,sellers_2026!A:A,sellers_2026!B:B,,0,)</f>
        <v>excelinall</v>
      </c>
    </row>
    <row r="546" spans="1:10" ht="14.25" customHeight="1" x14ac:dyDescent="0.3">
      <c r="A546" s="2" t="s">
        <v>2960</v>
      </c>
      <c r="B546" s="2" t="s">
        <v>378</v>
      </c>
      <c r="C546" s="2">
        <v>1</v>
      </c>
      <c r="D546" t="str">
        <f>_xlfn.XLOOKUP(order_items!B546,products_2026!A:A,products_2026!C:C,,0,)</f>
        <v>Toys</v>
      </c>
      <c r="E546">
        <f>_xlfn.XLOOKUP(B546,products_2026!A:A,products_2026!D:D,,0,)</f>
        <v>13.7</v>
      </c>
      <c r="F546">
        <f t="shared" si="8"/>
        <v>13.7</v>
      </c>
      <c r="G546" t="str">
        <f>_xlfn.XLOOKUP(B546,products_2026!A:A,products_2026!B:B,,0,)</f>
        <v>Kids Paint Kit (Blue)</v>
      </c>
      <c r="H546" t="str">
        <f>_xlfn.XLOOKUP(B546,products_2026!A:A,products_2026!E:E,,0,)</f>
        <v>SELL0047</v>
      </c>
      <c r="I546" t="str">
        <f>IFERROR(_xlfn.XLOOKUP(H546,sellers_2026!A:A,sellers_2026!G:G,,0,), "unknown/inactive")</f>
        <v>NT</v>
      </c>
      <c r="J546" t="str">
        <f>_xlfn.XLOOKUP(H546,sellers_2026!A:A,sellers_2026!B:B,,0,)</f>
        <v>toymajoy</v>
      </c>
    </row>
    <row r="547" spans="1:10" ht="14.25" customHeight="1" x14ac:dyDescent="0.3">
      <c r="A547" s="2" t="s">
        <v>2960</v>
      </c>
      <c r="B547" s="2" t="s">
        <v>501</v>
      </c>
      <c r="C547" s="2">
        <v>1</v>
      </c>
      <c r="D547" t="str">
        <f>_xlfn.XLOOKUP(order_items!B547,products_2026!A:A,products_2026!C:C,,0,)</f>
        <v>Outdoor</v>
      </c>
      <c r="E547">
        <f>_xlfn.XLOOKUP(B547,products_2026!A:A,products_2026!D:D,,0,)</f>
        <v>32.67</v>
      </c>
      <c r="F547">
        <f t="shared" si="8"/>
        <v>32.67</v>
      </c>
      <c r="G547" t="str">
        <f>_xlfn.XLOOKUP(B547,products_2026!A:A,products_2026!B:B,,0,)</f>
        <v>Snorkel Set - Adult Small</v>
      </c>
      <c r="H547" t="str">
        <f>_xlfn.XLOOKUP(B547,products_2026!A:A,products_2026!E:E,,0,)</f>
        <v>SELL0070</v>
      </c>
      <c r="I547" t="str">
        <f>IFERROR(_xlfn.XLOOKUP(H547,sellers_2026!A:A,sellers_2026!G:G,,0,), "unknown/inactive")</f>
        <v>QLD</v>
      </c>
      <c r="J547" t="str">
        <f>_xlfn.XLOOKUP(H547,sellers_2026!A:A,sellers_2026!B:B,,0,)</f>
        <v>homeandaways</v>
      </c>
    </row>
    <row r="548" spans="1:10" ht="14.25" customHeight="1" x14ac:dyDescent="0.3">
      <c r="A548" s="2" t="s">
        <v>2960</v>
      </c>
      <c r="B548" s="2" t="s">
        <v>885</v>
      </c>
      <c r="C548" s="2">
        <v>1</v>
      </c>
      <c r="D548" t="str">
        <f>_xlfn.XLOOKUP(order_items!B548,products_2026!A:A,products_2026!C:C,,0,)</f>
        <v>Outdoor</v>
      </c>
      <c r="E548">
        <f>_xlfn.XLOOKUP(B548,products_2026!A:A,products_2026!D:D,,0,)</f>
        <v>99.85</v>
      </c>
      <c r="F548">
        <f t="shared" si="8"/>
        <v>99.85</v>
      </c>
      <c r="G548" t="str">
        <f>_xlfn.XLOOKUP(B548,products_2026!A:A,products_2026!B:B,,0,)</f>
        <v>Turtle Ornament Garden</v>
      </c>
      <c r="H548" t="str">
        <f>_xlfn.XLOOKUP(B548,products_2026!A:A,products_2026!E:E,,0,)</f>
        <v>SELL0092</v>
      </c>
      <c r="I548" t="str">
        <f>IFERROR(_xlfn.XLOOKUP(H548,sellers_2026!A:A,sellers_2026!G:G,,0,), "unknown/inactive")</f>
        <v>VIC</v>
      </c>
      <c r="J548" t="str">
        <f>_xlfn.XLOOKUP(H548,sellers_2026!A:A,sellers_2026!B:B,,0,)</f>
        <v>dress4beauty</v>
      </c>
    </row>
    <row r="549" spans="1:10" ht="14.25" customHeight="1" x14ac:dyDescent="0.3">
      <c r="A549" s="2" t="s">
        <v>2961</v>
      </c>
      <c r="B549" s="2" t="s">
        <v>415</v>
      </c>
      <c r="C549" s="2">
        <v>1</v>
      </c>
      <c r="D549" t="str">
        <f>_xlfn.XLOOKUP(order_items!B549,products_2026!A:A,products_2026!C:C,,0,)</f>
        <v>Outdoor</v>
      </c>
      <c r="E549">
        <f>_xlfn.XLOOKUP(B549,products_2026!A:A,products_2026!D:D,,0,)</f>
        <v>34.86</v>
      </c>
      <c r="F549">
        <f t="shared" si="8"/>
        <v>34.86</v>
      </c>
      <c r="G549" t="str">
        <f>_xlfn.XLOOKUP(B549,products_2026!A:A,products_2026!B:B,,0,)</f>
        <v>Steel Grill Basket</v>
      </c>
      <c r="H549" t="str">
        <f>_xlfn.XLOOKUP(B549,products_2026!A:A,products_2026!E:E,,0,)</f>
        <v>SELL0060</v>
      </c>
      <c r="I549" t="str">
        <f>IFERROR(_xlfn.XLOOKUP(H549,sellers_2026!A:A,sellers_2026!G:G,,0,), "unknown/inactive")</f>
        <v>VIC</v>
      </c>
      <c r="J549" t="str">
        <f>_xlfn.XLOOKUP(H549,sellers_2026!A:A,sellers_2026!B:B,,0,)</f>
        <v>shop689</v>
      </c>
    </row>
    <row r="550" spans="1:10" ht="14.25" customHeight="1" x14ac:dyDescent="0.3">
      <c r="A550" s="2" t="s">
        <v>2961</v>
      </c>
      <c r="B550" s="2" t="s">
        <v>501</v>
      </c>
      <c r="C550" s="2">
        <v>1</v>
      </c>
      <c r="D550" t="str">
        <f>_xlfn.XLOOKUP(order_items!B550,products_2026!A:A,products_2026!C:C,,0,)</f>
        <v>Outdoor</v>
      </c>
      <c r="E550">
        <f>_xlfn.XLOOKUP(B550,products_2026!A:A,products_2026!D:D,,0,)</f>
        <v>32.67</v>
      </c>
      <c r="F550">
        <f t="shared" si="8"/>
        <v>32.67</v>
      </c>
      <c r="G550" t="str">
        <f>_xlfn.XLOOKUP(B550,products_2026!A:A,products_2026!B:B,,0,)</f>
        <v>Snorkel Set - Adult Small</v>
      </c>
      <c r="H550" t="str">
        <f>_xlfn.XLOOKUP(B550,products_2026!A:A,products_2026!E:E,,0,)</f>
        <v>SELL0070</v>
      </c>
      <c r="I550" t="str">
        <f>IFERROR(_xlfn.XLOOKUP(H550,sellers_2026!A:A,sellers_2026!G:G,,0,), "unknown/inactive")</f>
        <v>QLD</v>
      </c>
      <c r="J550" t="str">
        <f>_xlfn.XLOOKUP(H550,sellers_2026!A:A,sellers_2026!B:B,,0,)</f>
        <v>homeandaways</v>
      </c>
    </row>
    <row r="551" spans="1:10" ht="14.25" customHeight="1" x14ac:dyDescent="0.3">
      <c r="A551" s="2" t="s">
        <v>2961</v>
      </c>
      <c r="B551" s="2" t="s">
        <v>895</v>
      </c>
      <c r="C551" s="2">
        <v>1</v>
      </c>
      <c r="D551" t="str">
        <f>_xlfn.XLOOKUP(order_items!B551,products_2026!A:A,products_2026!C:C,,0,)</f>
        <v>Outdoor</v>
      </c>
      <c r="E551">
        <f>_xlfn.XLOOKUP(B551,products_2026!A:A,products_2026!D:D,,0,)</f>
        <v>97.96</v>
      </c>
      <c r="F551">
        <f t="shared" si="8"/>
        <v>97.96</v>
      </c>
      <c r="G551" t="str">
        <f>_xlfn.XLOOKUP(B551,products_2026!A:A,products_2026!B:B,,0,)</f>
        <v>Portable Camping Chair (Yellow)</v>
      </c>
      <c r="H551" t="str">
        <f>_xlfn.XLOOKUP(B551,products_2026!A:A,products_2026!E:E,,0,)</f>
        <v>SELL0092</v>
      </c>
      <c r="I551" t="str">
        <f>IFERROR(_xlfn.XLOOKUP(H551,sellers_2026!A:A,sellers_2026!G:G,,0,), "unknown/inactive")</f>
        <v>VIC</v>
      </c>
      <c r="J551" t="str">
        <f>_xlfn.XLOOKUP(H551,sellers_2026!A:A,sellers_2026!B:B,,0,)</f>
        <v>dress4beauty</v>
      </c>
    </row>
    <row r="552" spans="1:10" ht="14.25" customHeight="1" x14ac:dyDescent="0.3">
      <c r="A552" s="2" t="s">
        <v>2962</v>
      </c>
      <c r="B552" s="2" t="s">
        <v>47</v>
      </c>
      <c r="C552" s="2">
        <v>2</v>
      </c>
      <c r="D552" t="str">
        <f>_xlfn.XLOOKUP(order_items!B552,products_2026!A:A,products_2026!C:C,,0,)</f>
        <v>Outdoor</v>
      </c>
      <c r="E552">
        <f>_xlfn.XLOOKUP(B552,products_2026!A:A,products_2026!D:D,,0,)</f>
        <v>46.45</v>
      </c>
      <c r="F552">
        <f t="shared" si="8"/>
        <v>92.9</v>
      </c>
      <c r="G552" t="str">
        <f>_xlfn.XLOOKUP(B552,products_2026!A:A,products_2026!B:B,,0,)</f>
        <v>Waterproof Picnic Mat 100x100</v>
      </c>
      <c r="H552" t="str">
        <f>_xlfn.XLOOKUP(B552,products_2026!A:A,products_2026!E:E,,0,)</f>
        <v>SELL0012</v>
      </c>
      <c r="I552" t="str">
        <f>IFERROR(_xlfn.XLOOKUP(H552,sellers_2026!A:A,sellers_2026!G:G,,0,), "unknown/inactive")</f>
        <v>WA</v>
      </c>
      <c r="J552" t="str">
        <f>_xlfn.XLOOKUP(H552,sellers_2026!A:A,sellers_2026!B:B,,0,)</f>
        <v>jane-outside</v>
      </c>
    </row>
    <row r="553" spans="1:10" ht="14.25" customHeight="1" x14ac:dyDescent="0.3">
      <c r="A553" s="2" t="s">
        <v>2962</v>
      </c>
      <c r="B553" s="2" t="s">
        <v>260</v>
      </c>
      <c r="C553" s="2">
        <v>1</v>
      </c>
      <c r="D553" t="str">
        <f>_xlfn.XLOOKUP(order_items!B553,products_2026!A:A,products_2026!C:C,,0,)</f>
        <v>Clothes</v>
      </c>
      <c r="E553">
        <f>_xlfn.XLOOKUP(B553,products_2026!A:A,products_2026!D:D,,0,)</f>
        <v>41.73</v>
      </c>
      <c r="F553">
        <f t="shared" si="8"/>
        <v>41.73</v>
      </c>
      <c r="G553" t="str">
        <f>_xlfn.XLOOKUP(B553,products_2026!A:A,products_2026!B:B,,0,)</f>
        <v>Rain Jacket Red L</v>
      </c>
      <c r="H553" t="str">
        <f>_xlfn.XLOOKUP(B553,products_2026!A:A,products_2026!E:E,,0,)</f>
        <v>SELL0042</v>
      </c>
      <c r="I553" t="str">
        <f>IFERROR(_xlfn.XLOOKUP(H553,sellers_2026!A:A,sellers_2026!G:G,,0,), "unknown/inactive")</f>
        <v>WA</v>
      </c>
      <c r="J553" t="str">
        <f>_xlfn.XLOOKUP(H553,sellers_2026!A:A,sellers_2026!B:B,,0,)</f>
        <v>beauty490</v>
      </c>
    </row>
    <row r="554" spans="1:10" ht="14.25" customHeight="1" x14ac:dyDescent="0.3">
      <c r="A554" s="2" t="s">
        <v>2962</v>
      </c>
      <c r="B554" s="2" t="s">
        <v>501</v>
      </c>
      <c r="C554" s="2">
        <v>2</v>
      </c>
      <c r="D554" t="str">
        <f>_xlfn.XLOOKUP(order_items!B554,products_2026!A:A,products_2026!C:C,,0,)</f>
        <v>Outdoor</v>
      </c>
      <c r="E554">
        <f>_xlfn.XLOOKUP(B554,products_2026!A:A,products_2026!D:D,,0,)</f>
        <v>32.67</v>
      </c>
      <c r="F554">
        <f t="shared" si="8"/>
        <v>65.34</v>
      </c>
      <c r="G554" t="str">
        <f>_xlfn.XLOOKUP(B554,products_2026!A:A,products_2026!B:B,,0,)</f>
        <v>Snorkel Set - Adult Small</v>
      </c>
      <c r="H554" t="str">
        <f>_xlfn.XLOOKUP(B554,products_2026!A:A,products_2026!E:E,,0,)</f>
        <v>SELL0070</v>
      </c>
      <c r="I554" t="str">
        <f>IFERROR(_xlfn.XLOOKUP(H554,sellers_2026!A:A,sellers_2026!G:G,,0,), "unknown/inactive")</f>
        <v>QLD</v>
      </c>
      <c r="J554" t="str">
        <f>_xlfn.XLOOKUP(H554,sellers_2026!A:A,sellers_2026!B:B,,0,)</f>
        <v>homeandaways</v>
      </c>
    </row>
    <row r="555" spans="1:10" ht="14.25" customHeight="1" x14ac:dyDescent="0.3">
      <c r="A555" s="2" t="s">
        <v>2963</v>
      </c>
      <c r="B555" s="2" t="s">
        <v>51</v>
      </c>
      <c r="C555" s="2">
        <v>1</v>
      </c>
      <c r="D555" t="str">
        <f>_xlfn.XLOOKUP(order_items!B555,products_2026!A:A,products_2026!C:C,,0,)</f>
        <v>Outdoor</v>
      </c>
      <c r="E555">
        <f>_xlfn.XLOOKUP(B555,products_2026!A:A,products_2026!D:D,,0,)</f>
        <v>48.06</v>
      </c>
      <c r="F555">
        <f t="shared" si="8"/>
        <v>48.06</v>
      </c>
      <c r="G555" t="str">
        <f>_xlfn.XLOOKUP(B555,products_2026!A:A,products_2026!B:B,,0,)</f>
        <v>Garden Lights 4 pack Solar Power</v>
      </c>
      <c r="H555" t="str">
        <f>_xlfn.XLOOKUP(B555,products_2026!A:A,products_2026!E:E,,0,)</f>
        <v>SELL0014</v>
      </c>
      <c r="I555" t="str">
        <f>IFERROR(_xlfn.XLOOKUP(H555,sellers_2026!A:A,sellers_2026!G:G,,0,), "unknown/inactive")</f>
        <v>ACT</v>
      </c>
      <c r="J555" t="str">
        <f>_xlfn.XLOOKUP(H555,sellers_2026!A:A,sellers_2026!B:B,,0,)</f>
        <v>gardenandco</v>
      </c>
    </row>
    <row r="556" spans="1:10" ht="14.25" customHeight="1" x14ac:dyDescent="0.3">
      <c r="A556" s="2" t="s">
        <v>2963</v>
      </c>
      <c r="B556" s="2" t="s">
        <v>103</v>
      </c>
      <c r="C556" s="2">
        <v>1</v>
      </c>
      <c r="D556" t="str">
        <f>_xlfn.XLOOKUP(order_items!B556,products_2026!A:A,products_2026!C:C,,0,)</f>
        <v>Outdoor</v>
      </c>
      <c r="E556">
        <f>_xlfn.XLOOKUP(B556,products_2026!A:A,products_2026!D:D,,0,)</f>
        <v>24.22</v>
      </c>
      <c r="F556">
        <f t="shared" si="8"/>
        <v>24.22</v>
      </c>
      <c r="G556" t="str">
        <f>_xlfn.XLOOKUP(B556,products_2026!A:A,products_2026!B:B,,0,)</f>
        <v>Outdoor Oven Gloves (Red)</v>
      </c>
      <c r="H556" t="str">
        <f>_xlfn.XLOOKUP(B556,products_2026!A:A,products_2026!E:E,,0,)</f>
        <v>SELL0022</v>
      </c>
      <c r="I556" t="str">
        <f>IFERROR(_xlfn.XLOOKUP(H556,sellers_2026!A:A,sellers_2026!G:G,,0,), "unknown/inactive")</f>
        <v>WA</v>
      </c>
      <c r="J556" t="str">
        <f>_xlfn.XLOOKUP(H556,sellers_2026!A:A,sellers_2026!B:B,,0,)</f>
        <v>g5x9v55sct</v>
      </c>
    </row>
    <row r="557" spans="1:10" ht="14.25" customHeight="1" x14ac:dyDescent="0.3">
      <c r="A557" s="2" t="s">
        <v>2963</v>
      </c>
      <c r="B557" s="2" t="s">
        <v>470</v>
      </c>
      <c r="C557" s="2">
        <v>1</v>
      </c>
      <c r="D557" t="str">
        <f>_xlfn.XLOOKUP(order_items!B557,products_2026!A:A,products_2026!C:C,,0,)</f>
        <v>Outdoor</v>
      </c>
      <c r="E557">
        <f>_xlfn.XLOOKUP(B557,products_2026!A:A,products_2026!D:D,,0,)</f>
        <v>30.95</v>
      </c>
      <c r="F557">
        <f t="shared" si="8"/>
        <v>30.95</v>
      </c>
      <c r="G557" t="str">
        <f>_xlfn.XLOOKUP(B557,products_2026!A:A,products_2026!B:B,,0,)</f>
        <v>BBQ Cleaning Brush</v>
      </c>
      <c r="H557" t="str">
        <f>_xlfn.XLOOKUP(B557,products_2026!A:A,products_2026!E:E,,0,)</f>
        <v>SELL0067</v>
      </c>
      <c r="I557" t="str">
        <f>IFERROR(_xlfn.XLOOKUP(H557,sellers_2026!A:A,sellers_2026!G:G,,0,), "unknown/inactive")</f>
        <v>WA</v>
      </c>
      <c r="J557" t="str">
        <f>_xlfn.XLOOKUP(H557,sellers_2026!A:A,sellers_2026!B:B,,0,)</f>
        <v>w71bv3mee1</v>
      </c>
    </row>
    <row r="558" spans="1:10" ht="14.25" customHeight="1" x14ac:dyDescent="0.3">
      <c r="A558" s="2" t="s">
        <v>2964</v>
      </c>
      <c r="B558" s="2" t="s">
        <v>722</v>
      </c>
      <c r="C558" s="2">
        <v>1</v>
      </c>
      <c r="D558" t="str">
        <f>_xlfn.XLOOKUP(order_items!B558,products_2026!A:A,products_2026!C:C,,0,)</f>
        <v>Gift_Sets</v>
      </c>
      <c r="E558">
        <f>_xlfn.XLOOKUP(B558,products_2026!A:A,products_2026!D:D,,0,)</f>
        <v>32.33</v>
      </c>
      <c r="F558">
        <f t="shared" si="8"/>
        <v>32.33</v>
      </c>
      <c r="G558" t="str">
        <f>_xlfn.XLOOKUP(B558,products_2026!A:A,products_2026!B:B,,0,)</f>
        <v>Tea Lovers Hamper Darjelling</v>
      </c>
      <c r="H558" t="str">
        <f>_xlfn.XLOOKUP(B558,products_2026!A:A,products_2026!E:E,,0,)</f>
        <v>SELL0088</v>
      </c>
      <c r="I558" t="str">
        <f>IFERROR(_xlfn.XLOOKUP(H558,sellers_2026!A:A,sellers_2026!G:G,,0,), "unknown/inactive")</f>
        <v>TAS</v>
      </c>
      <c r="J558" t="str">
        <f>_xlfn.XLOOKUP(H558,sellers_2026!A:A,sellers_2026!B:B,,0,)</f>
        <v>7ti9lfa6h5</v>
      </c>
    </row>
    <row r="559" spans="1:10" ht="14.25" customHeight="1" x14ac:dyDescent="0.3">
      <c r="A559" s="2" t="s">
        <v>2965</v>
      </c>
      <c r="B559" s="2" t="s">
        <v>815</v>
      </c>
      <c r="C559" s="2">
        <v>1</v>
      </c>
      <c r="D559" t="str">
        <f>_xlfn.XLOOKUP(order_items!B559,products_2026!A:A,products_2026!C:C,,0,)</f>
        <v>Home</v>
      </c>
      <c r="E559">
        <f>_xlfn.XLOOKUP(B559,products_2026!A:A,products_2026!D:D,,0,)</f>
        <v>101.55</v>
      </c>
      <c r="F559">
        <f t="shared" si="8"/>
        <v>101.55</v>
      </c>
      <c r="G559" t="str">
        <f>_xlfn.XLOOKUP(B559,products_2026!A:A,products_2026!B:B,,0,)</f>
        <v>Ceramic Vase Grey Sand</v>
      </c>
      <c r="H559" t="str">
        <f>_xlfn.XLOOKUP(B559,products_2026!A:A,products_2026!E:E,,0,)</f>
        <v>SELL0090</v>
      </c>
      <c r="I559" t="str">
        <f>IFERROR(_xlfn.XLOOKUP(H559,sellers_2026!A:A,sellers_2026!G:G,,0,), "unknown/inactive")</f>
        <v>TAS</v>
      </c>
      <c r="J559" t="str">
        <f>_xlfn.XLOOKUP(H559,sellers_2026!A:A,sellers_2026!B:B,,0,)</f>
        <v>housenice</v>
      </c>
    </row>
    <row r="560" spans="1:10" ht="14.25" customHeight="1" x14ac:dyDescent="0.3">
      <c r="A560" s="2" t="s">
        <v>2966</v>
      </c>
      <c r="B560" s="2" t="s">
        <v>233</v>
      </c>
      <c r="C560" s="2">
        <v>1</v>
      </c>
      <c r="D560" t="str">
        <f>_xlfn.XLOOKUP(order_items!B560,products_2026!A:A,products_2026!C:C,,0,)</f>
        <v>Outdoor</v>
      </c>
      <c r="E560">
        <f>_xlfn.XLOOKUP(B560,products_2026!A:A,products_2026!D:D,,0,)</f>
        <v>40.83</v>
      </c>
      <c r="F560">
        <f t="shared" si="8"/>
        <v>40.83</v>
      </c>
      <c r="G560" t="str">
        <f>_xlfn.XLOOKUP(B560,products_2026!A:A,products_2026!B:B,,0,)</f>
        <v>BBQ Cleaning Fluid</v>
      </c>
      <c r="H560" t="str">
        <f>_xlfn.XLOOKUP(B560,products_2026!A:A,products_2026!E:E,,0,)</f>
        <v>SELL0040</v>
      </c>
      <c r="I560" t="str">
        <f>IFERROR(_xlfn.XLOOKUP(H560,sellers_2026!A:A,sellers_2026!G:G,,0,), "unknown/inactive")</f>
        <v>TAS</v>
      </c>
      <c r="J560" t="str">
        <f>_xlfn.XLOOKUP(H560,sellers_2026!A:A,sellers_2026!B:B,,0,)</f>
        <v>cheapandgood27</v>
      </c>
    </row>
    <row r="561" spans="1:10" ht="14.25" customHeight="1" x14ac:dyDescent="0.3">
      <c r="A561" s="2" t="s">
        <v>2966</v>
      </c>
      <c r="B561" s="2" t="s">
        <v>889</v>
      </c>
      <c r="C561" s="2">
        <v>1</v>
      </c>
      <c r="D561" t="str">
        <f>_xlfn.XLOOKUP(order_items!B561,products_2026!A:A,products_2026!C:C,,0,)</f>
        <v>Outdoor</v>
      </c>
      <c r="E561">
        <f>_xlfn.XLOOKUP(B561,products_2026!A:A,products_2026!D:D,,0,)</f>
        <v>10.07</v>
      </c>
      <c r="F561">
        <f t="shared" si="8"/>
        <v>10.07</v>
      </c>
      <c r="G561" t="str">
        <f>_xlfn.XLOOKUP(B561,products_2026!A:A,products_2026!B:B,,0,)</f>
        <v>Bamboo Picnic Rug Recycled Material</v>
      </c>
      <c r="H561" t="str">
        <f>_xlfn.XLOOKUP(B561,products_2026!A:A,products_2026!E:E,,0,)</f>
        <v>SELL0092</v>
      </c>
      <c r="I561" t="str">
        <f>IFERROR(_xlfn.XLOOKUP(H561,sellers_2026!A:A,sellers_2026!G:G,,0,), "unknown/inactive")</f>
        <v>VIC</v>
      </c>
      <c r="J561" t="str">
        <f>_xlfn.XLOOKUP(H561,sellers_2026!A:A,sellers_2026!B:B,,0,)</f>
        <v>dress4beauty</v>
      </c>
    </row>
    <row r="562" spans="1:10" ht="14.25" customHeight="1" x14ac:dyDescent="0.3">
      <c r="A562" s="2" t="s">
        <v>2967</v>
      </c>
      <c r="B562" s="2" t="s">
        <v>114</v>
      </c>
      <c r="C562" s="2">
        <v>1</v>
      </c>
      <c r="D562" t="str">
        <f>_xlfn.XLOOKUP(order_items!B562,products_2026!A:A,products_2026!C:C,,0,)</f>
        <v>Outdoor</v>
      </c>
      <c r="E562">
        <f>_xlfn.XLOOKUP(B562,products_2026!A:A,products_2026!D:D,,0,)</f>
        <v>38.39</v>
      </c>
      <c r="F562">
        <f t="shared" si="8"/>
        <v>38.39</v>
      </c>
      <c r="G562" t="str">
        <f>_xlfn.XLOOKUP(B562,products_2026!A:A,products_2026!B:B,,0,)</f>
        <v>Fairy Lights Outdoor Garden String 100</v>
      </c>
      <c r="H562" t="str">
        <f>_xlfn.XLOOKUP(B562,products_2026!A:A,products_2026!E:E,,0,)</f>
        <v>SELL0023</v>
      </c>
      <c r="I562" t="str">
        <f>IFERROR(_xlfn.XLOOKUP(H562,sellers_2026!A:A,sellers_2026!G:G,,0,), "unknown/inactive")</f>
        <v>VIC</v>
      </c>
      <c r="J562" t="str">
        <f>_xlfn.XLOOKUP(H562,sellers_2026!A:A,sellers_2026!B:B,,0,)</f>
        <v>cleaning_out_my_shed</v>
      </c>
    </row>
    <row r="563" spans="1:10" ht="14.25" customHeight="1" x14ac:dyDescent="0.3">
      <c r="A563" s="2" t="s">
        <v>2967</v>
      </c>
      <c r="B563" s="2" t="s">
        <v>214</v>
      </c>
      <c r="C563" s="2">
        <v>2</v>
      </c>
      <c r="D563" t="str">
        <f>_xlfn.XLOOKUP(order_items!B563,products_2026!A:A,products_2026!C:C,,0,)</f>
        <v>Gift_Sets</v>
      </c>
      <c r="E563">
        <f>_xlfn.XLOOKUP(B563,products_2026!A:A,products_2026!D:D,,0,)</f>
        <v>37.840000000000003</v>
      </c>
      <c r="F563">
        <f t="shared" si="8"/>
        <v>75.680000000000007</v>
      </c>
      <c r="G563" t="str">
        <f>_xlfn.XLOOKUP(B563,products_2026!A:A,products_2026!B:B,,0,)</f>
        <v>Bath Bomb Strawberry Vanilla Gift Set</v>
      </c>
      <c r="H563" t="str">
        <f>_xlfn.XLOOKUP(B563,products_2026!A:A,products_2026!E:E,,0,)</f>
        <v>SELL0038</v>
      </c>
      <c r="I563" t="str">
        <f>IFERROR(_xlfn.XLOOKUP(H563,sellers_2026!A:A,sellers_2026!G:G,,0,), "unknown/inactive")</f>
        <v>SA</v>
      </c>
      <c r="J563" t="str">
        <f>_xlfn.XLOOKUP(H563,sellers_2026!A:A,sellers_2026!B:B,,0,)</f>
        <v>compradadonut</v>
      </c>
    </row>
    <row r="564" spans="1:10" ht="14.25" customHeight="1" x14ac:dyDescent="0.3">
      <c r="A564" s="2" t="s">
        <v>2967</v>
      </c>
      <c r="B564" s="2" t="s">
        <v>887</v>
      </c>
      <c r="C564" s="2">
        <v>1</v>
      </c>
      <c r="D564" t="str">
        <f>_xlfn.XLOOKUP(order_items!B564,products_2026!A:A,products_2026!C:C,,0,)</f>
        <v>Outdoor</v>
      </c>
      <c r="E564">
        <f>_xlfn.XLOOKUP(B564,products_2026!A:A,products_2026!D:D,,0,)</f>
        <v>23.33</v>
      </c>
      <c r="F564">
        <f t="shared" si="8"/>
        <v>23.33</v>
      </c>
      <c r="G564" t="str">
        <f>_xlfn.XLOOKUP(B564,products_2026!A:A,products_2026!B:B,,0,)</f>
        <v>Solar Garden Light Set</v>
      </c>
      <c r="H564" t="str">
        <f>_xlfn.XLOOKUP(B564,products_2026!A:A,products_2026!E:E,,0,)</f>
        <v>SELL0092</v>
      </c>
      <c r="I564" t="str">
        <f>IFERROR(_xlfn.XLOOKUP(H564,sellers_2026!A:A,sellers_2026!G:G,,0,), "unknown/inactive")</f>
        <v>VIC</v>
      </c>
      <c r="J564" t="str">
        <f>_xlfn.XLOOKUP(H564,sellers_2026!A:A,sellers_2026!B:B,,0,)</f>
        <v>dress4beauty</v>
      </c>
    </row>
    <row r="565" spans="1:10" ht="14.25" customHeight="1" x14ac:dyDescent="0.3">
      <c r="A565" s="2" t="s">
        <v>2968</v>
      </c>
      <c r="B565" s="2" t="s">
        <v>233</v>
      </c>
      <c r="C565" s="2">
        <v>1</v>
      </c>
      <c r="D565" t="str">
        <f>_xlfn.XLOOKUP(order_items!B565,products_2026!A:A,products_2026!C:C,,0,)</f>
        <v>Outdoor</v>
      </c>
      <c r="E565">
        <f>_xlfn.XLOOKUP(B565,products_2026!A:A,products_2026!D:D,,0,)</f>
        <v>40.83</v>
      </c>
      <c r="F565">
        <f t="shared" si="8"/>
        <v>40.83</v>
      </c>
      <c r="G565" t="str">
        <f>_xlfn.XLOOKUP(B565,products_2026!A:A,products_2026!B:B,,0,)</f>
        <v>BBQ Cleaning Fluid</v>
      </c>
      <c r="H565" t="str">
        <f>_xlfn.XLOOKUP(B565,products_2026!A:A,products_2026!E:E,,0,)</f>
        <v>SELL0040</v>
      </c>
      <c r="I565" t="str">
        <f>IFERROR(_xlfn.XLOOKUP(H565,sellers_2026!A:A,sellers_2026!G:G,,0,), "unknown/inactive")</f>
        <v>TAS</v>
      </c>
      <c r="J565" t="str">
        <f>_xlfn.XLOOKUP(H565,sellers_2026!A:A,sellers_2026!B:B,,0,)</f>
        <v>cheapandgood27</v>
      </c>
    </row>
    <row r="566" spans="1:10" ht="14.25" customHeight="1" x14ac:dyDescent="0.3">
      <c r="A566" s="2" t="s">
        <v>2968</v>
      </c>
      <c r="B566" s="2" t="s">
        <v>311</v>
      </c>
      <c r="C566" s="2">
        <v>2</v>
      </c>
      <c r="D566" t="str">
        <f>_xlfn.XLOOKUP(order_items!B566,products_2026!A:A,products_2026!C:C,,0,)</f>
        <v>Toys</v>
      </c>
      <c r="E566">
        <f>_xlfn.XLOOKUP(B566,products_2026!A:A,products_2026!D:D,,0,)</f>
        <v>12.31</v>
      </c>
      <c r="F566">
        <f t="shared" si="8"/>
        <v>24.62</v>
      </c>
      <c r="G566" t="str">
        <f>_xlfn.XLOOKUP(B566,products_2026!A:A,products_2026!B:B,,0,)</f>
        <v>Kite Glitter</v>
      </c>
      <c r="H566" t="str">
        <f>_xlfn.XLOOKUP(B566,products_2026!A:A,products_2026!E:E,,0,)</f>
        <v>SELL0047</v>
      </c>
      <c r="I566" t="str">
        <f>IFERROR(_xlfn.XLOOKUP(H566,sellers_2026!A:A,sellers_2026!G:G,,0,), "unknown/inactive")</f>
        <v>NT</v>
      </c>
      <c r="J566" t="str">
        <f>_xlfn.XLOOKUP(H566,sellers_2026!A:A,sellers_2026!B:B,,0,)</f>
        <v>toymajoy</v>
      </c>
    </row>
    <row r="567" spans="1:10" ht="14.25" customHeight="1" x14ac:dyDescent="0.3">
      <c r="A567" s="2" t="s">
        <v>2968</v>
      </c>
      <c r="B567" s="2" t="s">
        <v>675</v>
      </c>
      <c r="C567" s="2">
        <v>2</v>
      </c>
      <c r="D567" t="str">
        <f>_xlfn.XLOOKUP(order_items!B567,products_2026!A:A,products_2026!C:C,,0,)</f>
        <v>Electronics</v>
      </c>
      <c r="E567">
        <f>_xlfn.XLOOKUP(B567,products_2026!A:A,products_2026!D:D,,0,)</f>
        <v>110.9</v>
      </c>
      <c r="F567">
        <f t="shared" si="8"/>
        <v>221.8</v>
      </c>
      <c r="G567" t="str">
        <f>_xlfn.XLOOKUP(B567,products_2026!A:A,products_2026!B:B,,0,)</f>
        <v>Wireless Bluetooht Earphones</v>
      </c>
      <c r="H567" t="str">
        <f>_xlfn.XLOOKUP(B567,products_2026!A:A,products_2026!E:E,,0,)</f>
        <v>SELL0087</v>
      </c>
      <c r="I567" t="str">
        <f>IFERROR(_xlfn.XLOOKUP(H567,sellers_2026!A:A,sellers_2026!G:G,,0,), "unknown/inactive")</f>
        <v>TAS</v>
      </c>
      <c r="J567" t="str">
        <f>_xlfn.XLOOKUP(H567,sellers_2026!A:A,sellers_2026!B:B,,0,)</f>
        <v>electrowave</v>
      </c>
    </row>
    <row r="568" spans="1:10" ht="14.25" customHeight="1" x14ac:dyDescent="0.3">
      <c r="A568" s="2" t="s">
        <v>2969</v>
      </c>
      <c r="B568" s="2" t="s">
        <v>951</v>
      </c>
      <c r="C568" s="2">
        <v>2</v>
      </c>
      <c r="D568" t="str">
        <f>_xlfn.XLOOKUP(order_items!B568,products_2026!A:A,products_2026!C:C,,0,)</f>
        <v>Outdoor</v>
      </c>
      <c r="E568">
        <f>_xlfn.XLOOKUP(B568,products_2026!A:A,products_2026!D:D,,0,)</f>
        <v>54.41</v>
      </c>
      <c r="F568">
        <f t="shared" si="8"/>
        <v>108.82</v>
      </c>
      <c r="G568" t="str">
        <f>_xlfn.XLOOKUP(B568,products_2026!A:A,products_2026!B:B,,0,)</f>
        <v>BBQ Grill Mat - Non‑stick (Navy)</v>
      </c>
      <c r="H568" t="str">
        <f>_xlfn.XLOOKUP(B568,products_2026!A:A,products_2026!E:E,,0,)</f>
        <v>SELL0093</v>
      </c>
      <c r="I568" t="str">
        <f>IFERROR(_xlfn.XLOOKUP(H568,sellers_2026!A:A,sellers_2026!G:G,,0,), "unknown/inactive")</f>
        <v>NT</v>
      </c>
      <c r="J568" t="str">
        <f>_xlfn.XLOOKUP(H568,sellers_2026!A:A,sellers_2026!B:B,,0,)</f>
        <v>millies-outdoor-shop</v>
      </c>
    </row>
    <row r="569" spans="1:10" ht="14.25" customHeight="1" x14ac:dyDescent="0.3">
      <c r="A569" s="2" t="s">
        <v>2970</v>
      </c>
      <c r="B569" s="2" t="s">
        <v>608</v>
      </c>
      <c r="C569" s="2">
        <v>1</v>
      </c>
      <c r="D569" t="str">
        <f>_xlfn.XLOOKUP(order_items!B569,products_2026!A:A,products_2026!C:C,,0,)</f>
        <v>Beauty</v>
      </c>
      <c r="E569">
        <f>_xlfn.XLOOKUP(B569,products_2026!A:A,products_2026!D:D,,0,)</f>
        <v>6.91</v>
      </c>
      <c r="F569">
        <f t="shared" si="8"/>
        <v>6.91</v>
      </c>
      <c r="G569" t="str">
        <f>_xlfn.XLOOKUP(B569,products_2026!A:A,products_2026!B:B,,0,)</f>
        <v>Aloe Vera Gel 200ml</v>
      </c>
      <c r="H569" t="str">
        <f>_xlfn.XLOOKUP(B569,products_2026!A:A,products_2026!E:E,,0,)</f>
        <v>SELL0083</v>
      </c>
      <c r="I569" t="str">
        <f>IFERROR(_xlfn.XLOOKUP(H569,sellers_2026!A:A,sellers_2026!G:G,,0,), "unknown/inactive")</f>
        <v>WA</v>
      </c>
      <c r="J569" t="str">
        <f>_xlfn.XLOOKUP(H569,sellers_2026!A:A,sellers_2026!B:B,,0,)</f>
        <v>makeupped</v>
      </c>
    </row>
    <row r="570" spans="1:10" ht="14.25" customHeight="1" x14ac:dyDescent="0.3">
      <c r="A570" s="2" t="s">
        <v>2971</v>
      </c>
      <c r="B570" s="2" t="s">
        <v>47</v>
      </c>
      <c r="C570" s="2">
        <v>1</v>
      </c>
      <c r="D570" t="str">
        <f>_xlfn.XLOOKUP(order_items!B570,products_2026!A:A,products_2026!C:C,,0,)</f>
        <v>Outdoor</v>
      </c>
      <c r="E570">
        <f>_xlfn.XLOOKUP(B570,products_2026!A:A,products_2026!D:D,,0,)</f>
        <v>46.45</v>
      </c>
      <c r="F570">
        <f t="shared" si="8"/>
        <v>46.45</v>
      </c>
      <c r="G570" t="str">
        <f>_xlfn.XLOOKUP(B570,products_2026!A:A,products_2026!B:B,,0,)</f>
        <v>Waterproof Picnic Mat 100x100</v>
      </c>
      <c r="H570" t="str">
        <f>_xlfn.XLOOKUP(B570,products_2026!A:A,products_2026!E:E,,0,)</f>
        <v>SELL0012</v>
      </c>
      <c r="I570" t="str">
        <f>IFERROR(_xlfn.XLOOKUP(H570,sellers_2026!A:A,sellers_2026!G:G,,0,), "unknown/inactive")</f>
        <v>WA</v>
      </c>
      <c r="J570" t="str">
        <f>_xlfn.XLOOKUP(H570,sellers_2026!A:A,sellers_2026!B:B,,0,)</f>
        <v>jane-outside</v>
      </c>
    </row>
    <row r="571" spans="1:10" ht="14.25" customHeight="1" x14ac:dyDescent="0.3">
      <c r="A571" s="2" t="s">
        <v>2972</v>
      </c>
      <c r="B571" s="2" t="s">
        <v>470</v>
      </c>
      <c r="C571" s="2">
        <v>2</v>
      </c>
      <c r="D571" t="str">
        <f>_xlfn.XLOOKUP(order_items!B571,products_2026!A:A,products_2026!C:C,,0,)</f>
        <v>Outdoor</v>
      </c>
      <c r="E571">
        <f>_xlfn.XLOOKUP(B571,products_2026!A:A,products_2026!D:D,,0,)</f>
        <v>30.95</v>
      </c>
      <c r="F571">
        <f t="shared" si="8"/>
        <v>61.9</v>
      </c>
      <c r="G571" t="str">
        <f>_xlfn.XLOOKUP(B571,products_2026!A:A,products_2026!B:B,,0,)</f>
        <v>BBQ Cleaning Brush</v>
      </c>
      <c r="H571" t="str">
        <f>_xlfn.XLOOKUP(B571,products_2026!A:A,products_2026!E:E,,0,)</f>
        <v>SELL0067</v>
      </c>
      <c r="I571" t="str">
        <f>IFERROR(_xlfn.XLOOKUP(H571,sellers_2026!A:A,sellers_2026!G:G,,0,), "unknown/inactive")</f>
        <v>WA</v>
      </c>
      <c r="J571" t="str">
        <f>_xlfn.XLOOKUP(H571,sellers_2026!A:A,sellers_2026!B:B,,0,)</f>
        <v>w71bv3mee1</v>
      </c>
    </row>
    <row r="572" spans="1:10" ht="14.25" customHeight="1" x14ac:dyDescent="0.3">
      <c r="A572" s="2" t="s">
        <v>2973</v>
      </c>
      <c r="B572" s="2" t="s">
        <v>523</v>
      </c>
      <c r="C572" s="2">
        <v>1</v>
      </c>
      <c r="D572" t="str">
        <f>_xlfn.XLOOKUP(order_items!B572,products_2026!A:A,products_2026!C:C,,0,)</f>
        <v>Outdoor</v>
      </c>
      <c r="E572">
        <f>_xlfn.XLOOKUP(B572,products_2026!A:A,products_2026!D:D,,0,)</f>
        <v>26.98</v>
      </c>
      <c r="F572">
        <f t="shared" si="8"/>
        <v>26.98</v>
      </c>
      <c r="G572" t="str">
        <f>_xlfn.XLOOKUP(B572,products_2026!A:A,products_2026!B:B,,0,)</f>
        <v>Stainless Steel BBQ Tools Set</v>
      </c>
      <c r="H572" t="str">
        <f>_xlfn.XLOOKUP(B572,products_2026!A:A,products_2026!E:E,,0,)</f>
        <v>SELL0073</v>
      </c>
      <c r="I572" t="str">
        <f>IFERROR(_xlfn.XLOOKUP(H572,sellers_2026!A:A,sellers_2026!G:G,,0,), "unknown/inactive")</f>
        <v>NSW</v>
      </c>
      <c r="J572" t="str">
        <f>_xlfn.XLOOKUP(H572,sellers_2026!A:A,sellers_2026!B:B,,0,)</f>
        <v>new-south-sales</v>
      </c>
    </row>
    <row r="573" spans="1:10" ht="14.25" customHeight="1" x14ac:dyDescent="0.3">
      <c r="A573" s="2" t="s">
        <v>2974</v>
      </c>
      <c r="B573" s="2" t="s">
        <v>129</v>
      </c>
      <c r="C573" s="2">
        <v>2</v>
      </c>
      <c r="D573" t="str">
        <f>_xlfn.XLOOKUP(order_items!B573,products_2026!A:A,products_2026!C:C,,0,)</f>
        <v>Home</v>
      </c>
      <c r="E573">
        <f>_xlfn.XLOOKUP(B573,products_2026!A:A,products_2026!D:D,,0,)</f>
        <v>34.869999999999997</v>
      </c>
      <c r="F573">
        <f t="shared" si="8"/>
        <v>69.739999999999995</v>
      </c>
      <c r="G573" t="str">
        <f>_xlfn.XLOOKUP(B573,products_2026!A:A,products_2026!B:B,,0,)</f>
        <v>Essential Oil Diffuser</v>
      </c>
      <c r="H573" t="str">
        <f>_xlfn.XLOOKUP(B573,products_2026!A:A,products_2026!E:E,,0,)</f>
        <v>SELL0026</v>
      </c>
      <c r="I573" t="str">
        <f>IFERROR(_xlfn.XLOOKUP(H573,sellers_2026!A:A,sellers_2026!G:G,,0,), "unknown/inactive")</f>
        <v>NSW</v>
      </c>
      <c r="J573" t="str">
        <f>_xlfn.XLOOKUP(H573,sellers_2026!A:A,sellers_2026!B:B,,0,)</f>
        <v>buyeverything-1</v>
      </c>
    </row>
    <row r="574" spans="1:10" ht="14.25" customHeight="1" x14ac:dyDescent="0.3">
      <c r="A574" s="2" t="s">
        <v>2974</v>
      </c>
      <c r="B574" s="2" t="s">
        <v>470</v>
      </c>
      <c r="C574" s="2">
        <v>2</v>
      </c>
      <c r="D574" t="str">
        <f>_xlfn.XLOOKUP(order_items!B574,products_2026!A:A,products_2026!C:C,,0,)</f>
        <v>Outdoor</v>
      </c>
      <c r="E574">
        <f>_xlfn.XLOOKUP(B574,products_2026!A:A,products_2026!D:D,,0,)</f>
        <v>30.95</v>
      </c>
      <c r="F574">
        <f t="shared" si="8"/>
        <v>61.9</v>
      </c>
      <c r="G574" t="str">
        <f>_xlfn.XLOOKUP(B574,products_2026!A:A,products_2026!B:B,,0,)</f>
        <v>BBQ Cleaning Brush</v>
      </c>
      <c r="H574" t="str">
        <f>_xlfn.XLOOKUP(B574,products_2026!A:A,products_2026!E:E,,0,)</f>
        <v>SELL0067</v>
      </c>
      <c r="I574" t="str">
        <f>IFERROR(_xlfn.XLOOKUP(H574,sellers_2026!A:A,sellers_2026!G:G,,0,), "unknown/inactive")</f>
        <v>WA</v>
      </c>
      <c r="J574" t="str">
        <f>_xlfn.XLOOKUP(H574,sellers_2026!A:A,sellers_2026!B:B,,0,)</f>
        <v>w71bv3mee1</v>
      </c>
    </row>
    <row r="575" spans="1:10" ht="14.25" customHeight="1" x14ac:dyDescent="0.3">
      <c r="A575" s="2" t="s">
        <v>2975</v>
      </c>
      <c r="B575" s="2" t="s">
        <v>64</v>
      </c>
      <c r="C575" s="2">
        <v>1</v>
      </c>
      <c r="D575" t="str">
        <f>_xlfn.XLOOKUP(order_items!B575,products_2026!A:A,products_2026!C:C,,0,)</f>
        <v>Outdoor</v>
      </c>
      <c r="E575">
        <f>_xlfn.XLOOKUP(B575,products_2026!A:A,products_2026!D:D,,0,)</f>
        <v>15.05</v>
      </c>
      <c r="F575">
        <f t="shared" si="8"/>
        <v>15.05</v>
      </c>
      <c r="G575" t="str">
        <f>_xlfn.XLOOKUP(B575,products_2026!A:A,products_2026!B:B,,0,)</f>
        <v>BBQ Skewers - 12 pack (Stainless Steel)</v>
      </c>
      <c r="H575" t="str">
        <f>_xlfn.XLOOKUP(B575,products_2026!A:A,products_2026!E:E,,0,)</f>
        <v>SELL0009</v>
      </c>
      <c r="I575" t="str">
        <f>IFERROR(_xlfn.XLOOKUP(H575,sellers_2026!A:A,sellers_2026!G:G,,0,), "unknown/inactive")</f>
        <v>QLD</v>
      </c>
      <c r="J575" t="str">
        <f>_xlfn.XLOOKUP(H575,sellers_2026!A:A,sellers_2026!B:B,,0,)</f>
        <v>bootsandcamping</v>
      </c>
    </row>
    <row r="576" spans="1:10" ht="14.25" customHeight="1" x14ac:dyDescent="0.3">
      <c r="A576" s="2" t="s">
        <v>2975</v>
      </c>
      <c r="B576" s="2" t="s">
        <v>913</v>
      </c>
      <c r="C576" s="2">
        <v>1</v>
      </c>
      <c r="D576" t="str">
        <f>_xlfn.XLOOKUP(order_items!B576,products_2026!A:A,products_2026!C:C,,0,)</f>
        <v>Toys</v>
      </c>
      <c r="E576">
        <f>_xlfn.XLOOKUP(B576,products_2026!A:A,products_2026!D:D,,0,)</f>
        <v>26.9</v>
      </c>
      <c r="F576">
        <f t="shared" si="8"/>
        <v>26.9</v>
      </c>
      <c r="G576" t="str">
        <f>_xlfn.XLOOKUP(B576,products_2026!A:A,products_2026!B:B,,0,)</f>
        <v>Building Blocks 600 pcs</v>
      </c>
      <c r="H576" t="str">
        <f>_xlfn.XLOOKUP(B576,products_2026!A:A,products_2026!E:E,,0,)</f>
        <v>SELL0047</v>
      </c>
      <c r="I576" t="str">
        <f>IFERROR(_xlfn.XLOOKUP(H576,sellers_2026!A:A,sellers_2026!G:G,,0,), "unknown/inactive")</f>
        <v>NT</v>
      </c>
      <c r="J576" t="str">
        <f>_xlfn.XLOOKUP(H576,sellers_2026!A:A,sellers_2026!B:B,,0,)</f>
        <v>toymajoy</v>
      </c>
    </row>
    <row r="577" spans="1:10" ht="14.25" customHeight="1" x14ac:dyDescent="0.3">
      <c r="A577" s="2" t="s">
        <v>2975</v>
      </c>
      <c r="B577" s="2" t="s">
        <v>939</v>
      </c>
      <c r="C577" s="2">
        <v>1</v>
      </c>
      <c r="D577" t="str">
        <f>_xlfn.XLOOKUP(order_items!B577,products_2026!A:A,products_2026!C:C,,0,)</f>
        <v>Outdoor</v>
      </c>
      <c r="E577">
        <f>_xlfn.XLOOKUP(B577,products_2026!A:A,products_2026!D:D,,0,)</f>
        <v>57.98</v>
      </c>
      <c r="F577">
        <f t="shared" si="8"/>
        <v>57.98</v>
      </c>
      <c r="G577" t="str">
        <f>_xlfn.XLOOKUP(B577,products_2026!A:A,products_2026!B:B,,0,)</f>
        <v>Garden Hose 20m (Green)</v>
      </c>
      <c r="H577" t="str">
        <f>_xlfn.XLOOKUP(B577,products_2026!A:A,products_2026!E:E,,0,)</f>
        <v>SELL0093</v>
      </c>
      <c r="I577" t="str">
        <f>IFERROR(_xlfn.XLOOKUP(H577,sellers_2026!A:A,sellers_2026!G:G,,0,), "unknown/inactive")</f>
        <v>NT</v>
      </c>
      <c r="J577" t="str">
        <f>_xlfn.XLOOKUP(H577,sellers_2026!A:A,sellers_2026!B:B,,0,)</f>
        <v>millies-outdoor-shop</v>
      </c>
    </row>
    <row r="578" spans="1:10" ht="14.25" customHeight="1" x14ac:dyDescent="0.3">
      <c r="A578" s="2" t="s">
        <v>2976</v>
      </c>
      <c r="B578" s="2" t="s">
        <v>501</v>
      </c>
      <c r="C578" s="2">
        <v>2</v>
      </c>
      <c r="D578" t="str">
        <f>_xlfn.XLOOKUP(order_items!B578,products_2026!A:A,products_2026!C:C,,0,)</f>
        <v>Outdoor</v>
      </c>
      <c r="E578">
        <f>_xlfn.XLOOKUP(B578,products_2026!A:A,products_2026!D:D,,0,)</f>
        <v>32.67</v>
      </c>
      <c r="F578">
        <f t="shared" si="8"/>
        <v>65.34</v>
      </c>
      <c r="G578" t="str">
        <f>_xlfn.XLOOKUP(B578,products_2026!A:A,products_2026!B:B,,0,)</f>
        <v>Snorkel Set - Adult Small</v>
      </c>
      <c r="H578" t="str">
        <f>_xlfn.XLOOKUP(B578,products_2026!A:A,products_2026!E:E,,0,)</f>
        <v>SELL0070</v>
      </c>
      <c r="I578" t="str">
        <f>IFERROR(_xlfn.XLOOKUP(H578,sellers_2026!A:A,sellers_2026!G:G,,0,), "unknown/inactive")</f>
        <v>QLD</v>
      </c>
      <c r="J578" t="str">
        <f>_xlfn.XLOOKUP(H578,sellers_2026!A:A,sellers_2026!B:B,,0,)</f>
        <v>homeandaways</v>
      </c>
    </row>
    <row r="579" spans="1:10" ht="14.25" customHeight="1" x14ac:dyDescent="0.3">
      <c r="A579" s="2" t="s">
        <v>2976</v>
      </c>
      <c r="B579" s="2" t="s">
        <v>559</v>
      </c>
      <c r="C579" s="2">
        <v>2</v>
      </c>
      <c r="D579" t="str">
        <f>_xlfn.XLOOKUP(order_items!B579,products_2026!A:A,products_2026!C:C,,0,)</f>
        <v>Outdoor</v>
      </c>
      <c r="E579">
        <f>_xlfn.XLOOKUP(B579,products_2026!A:A,products_2026!D:D,,0,)</f>
        <v>51.74</v>
      </c>
      <c r="F579">
        <f t="shared" ref="F579:F642" si="9">C579*E579</f>
        <v>103.48</v>
      </c>
      <c r="G579" t="str">
        <f>_xlfn.XLOOKUP(B579,products_2026!A:A,products_2026!B:B,,0,)</f>
        <v>Garden Ornament Frog</v>
      </c>
      <c r="H579" t="str">
        <f>_xlfn.XLOOKUP(B579,products_2026!A:A,products_2026!E:E,,0,)</f>
        <v>SELL0077</v>
      </c>
      <c r="I579" t="str">
        <f>IFERROR(_xlfn.XLOOKUP(H579,sellers_2026!A:A,sellers_2026!G:G,,0,), "unknown/inactive")</f>
        <v>ACT</v>
      </c>
      <c r="J579" t="str">
        <f>_xlfn.XLOOKUP(H579,sellers_2026!A:A,sellers_2026!B:B,,0,)</f>
        <v>doorsyout</v>
      </c>
    </row>
    <row r="580" spans="1:10" ht="14.25" customHeight="1" x14ac:dyDescent="0.3">
      <c r="A580" s="2" t="s">
        <v>2977</v>
      </c>
      <c r="B580" s="2" t="s">
        <v>171</v>
      </c>
      <c r="C580" s="2">
        <v>1</v>
      </c>
      <c r="D580" t="str">
        <f>_xlfn.XLOOKUP(order_items!B580,products_2026!A:A,products_2026!C:C,,0,)</f>
        <v>Outdoor</v>
      </c>
      <c r="E580">
        <f>_xlfn.XLOOKUP(B580,products_2026!A:A,products_2026!D:D,,0,)</f>
        <v>21.37</v>
      </c>
      <c r="F580">
        <f t="shared" si="9"/>
        <v>21.37</v>
      </c>
      <c r="G580" t="str">
        <f>_xlfn.XLOOKUP(B580,products_2026!A:A,products_2026!B:B,,0,)</f>
        <v>BBQ Meat Thermometer Battery Powered</v>
      </c>
      <c r="H580" t="str">
        <f>_xlfn.XLOOKUP(B580,products_2026!A:A,products_2026!E:E,,0,)</f>
        <v>SELL0034</v>
      </c>
      <c r="I580" t="str">
        <f>IFERROR(_xlfn.XLOOKUP(H580,sellers_2026!A:A,sellers_2026!G:G,,0,), "unknown/inactive")</f>
        <v>NT</v>
      </c>
      <c r="J580" t="str">
        <f>_xlfn.XLOOKUP(H580,sellers_2026!A:A,sellers_2026!B:B,,0,)</f>
        <v>outer40</v>
      </c>
    </row>
    <row r="581" spans="1:10" ht="14.25" customHeight="1" x14ac:dyDescent="0.3">
      <c r="A581" s="2" t="s">
        <v>2977</v>
      </c>
      <c r="B581" s="2" t="s">
        <v>889</v>
      </c>
      <c r="C581" s="2">
        <v>1</v>
      </c>
      <c r="D581" t="str">
        <f>_xlfn.XLOOKUP(order_items!B581,products_2026!A:A,products_2026!C:C,,0,)</f>
        <v>Outdoor</v>
      </c>
      <c r="E581">
        <f>_xlfn.XLOOKUP(B581,products_2026!A:A,products_2026!D:D,,0,)</f>
        <v>10.07</v>
      </c>
      <c r="F581">
        <f t="shared" si="9"/>
        <v>10.07</v>
      </c>
      <c r="G581" t="str">
        <f>_xlfn.XLOOKUP(B581,products_2026!A:A,products_2026!B:B,,0,)</f>
        <v>Bamboo Picnic Rug Recycled Material</v>
      </c>
      <c r="H581" t="str">
        <f>_xlfn.XLOOKUP(B581,products_2026!A:A,products_2026!E:E,,0,)</f>
        <v>SELL0092</v>
      </c>
      <c r="I581" t="str">
        <f>IFERROR(_xlfn.XLOOKUP(H581,sellers_2026!A:A,sellers_2026!G:G,,0,), "unknown/inactive")</f>
        <v>VIC</v>
      </c>
      <c r="J581" t="str">
        <f>_xlfn.XLOOKUP(H581,sellers_2026!A:A,sellers_2026!B:B,,0,)</f>
        <v>dress4beauty</v>
      </c>
    </row>
    <row r="582" spans="1:10" ht="14.25" customHeight="1" x14ac:dyDescent="0.3">
      <c r="A582" s="2" t="s">
        <v>2978</v>
      </c>
      <c r="B582" s="2" t="s">
        <v>83</v>
      </c>
      <c r="C582" s="2">
        <v>1</v>
      </c>
      <c r="D582" t="str">
        <f>_xlfn.XLOOKUP(order_items!B582,products_2026!A:A,products_2026!C:C,,0,)</f>
        <v>Stationery</v>
      </c>
      <c r="E582">
        <f>_xlfn.XLOOKUP(B582,products_2026!A:A,products_2026!D:D,,0,)</f>
        <v>8.39</v>
      </c>
      <c r="F582">
        <f t="shared" si="9"/>
        <v>8.39</v>
      </c>
      <c r="G582" t="str">
        <f>_xlfn.XLOOKUP(B582,products_2026!A:A,products_2026!B:B,,0,)</f>
        <v>Permanent markers 6 pack black</v>
      </c>
      <c r="H582" t="str">
        <f>_xlfn.XLOOKUP(B582,products_2026!A:A,products_2026!E:E,,0,)</f>
        <v>SELL0019</v>
      </c>
      <c r="I582" t="str">
        <f>IFERROR(_xlfn.XLOOKUP(H582,sellers_2026!A:A,sellers_2026!G:G,,0,), "unknown/inactive")</f>
        <v>QLD</v>
      </c>
      <c r="J582" t="str">
        <f>_xlfn.XLOOKUP(H582,sellers_2026!A:A,sellers_2026!B:B,,0,)</f>
        <v>buyingtime</v>
      </c>
    </row>
    <row r="583" spans="1:10" ht="14.25" customHeight="1" x14ac:dyDescent="0.3">
      <c r="A583" s="2" t="s">
        <v>2978</v>
      </c>
      <c r="B583" s="2" t="s">
        <v>373</v>
      </c>
      <c r="C583" s="2">
        <v>2</v>
      </c>
      <c r="D583" t="str">
        <f>_xlfn.XLOOKUP(order_items!B583,products_2026!A:A,products_2026!C:C,,0,)</f>
        <v>Beauty</v>
      </c>
      <c r="E583">
        <f>_xlfn.XLOOKUP(B583,products_2026!A:A,products_2026!D:D,,0,)</f>
        <v>16.149999999999999</v>
      </c>
      <c r="F583">
        <f t="shared" si="9"/>
        <v>32.299999999999997</v>
      </c>
      <c r="G583" t="str">
        <f>_xlfn.XLOOKUP(B583,products_2026!A:A,products_2026!B:B,,0,)</f>
        <v>Organic Lip Balm - Mint</v>
      </c>
      <c r="H583" t="str">
        <f>_xlfn.XLOOKUP(B583,products_2026!A:A,products_2026!E:E,,0,)</f>
        <v>SELL0057</v>
      </c>
      <c r="I583" t="str">
        <f>IFERROR(_xlfn.XLOOKUP(H583,sellers_2026!A:A,sellers_2026!G:G,,0,), "unknown/inactive")</f>
        <v>TAS</v>
      </c>
      <c r="J583" t="str">
        <f>_xlfn.XLOOKUP(H583,sellers_2026!A:A,sellers_2026!B:B,,0,)</f>
        <v>buildmydream</v>
      </c>
    </row>
    <row r="584" spans="1:10" ht="14.25" customHeight="1" x14ac:dyDescent="0.3">
      <c r="A584" s="2" t="s">
        <v>2978</v>
      </c>
      <c r="B584" s="2" t="s">
        <v>512</v>
      </c>
      <c r="C584" s="2">
        <v>1</v>
      </c>
      <c r="D584" t="str">
        <f>_xlfn.XLOOKUP(order_items!B584,products_2026!A:A,products_2026!C:C,,0,)</f>
        <v>Outdoor</v>
      </c>
      <c r="E584">
        <f>_xlfn.XLOOKUP(B584,products_2026!A:A,products_2026!D:D,,0,)</f>
        <v>74.39</v>
      </c>
      <c r="F584">
        <f t="shared" si="9"/>
        <v>74.39</v>
      </c>
      <c r="G584" t="str">
        <f>_xlfn.XLOOKUP(B584,products_2026!A:A,products_2026!B:B,,0,)</f>
        <v>Waterproof Picnic Mat Tartan</v>
      </c>
      <c r="H584" t="str">
        <f>_xlfn.XLOOKUP(B584,products_2026!A:A,products_2026!E:E,,0,)</f>
        <v>SELL0072</v>
      </c>
      <c r="I584" t="str">
        <f>IFERROR(_xlfn.XLOOKUP(H584,sellers_2026!A:A,sellers_2026!G:G,,0,), "unknown/inactive")</f>
        <v>ACT</v>
      </c>
      <c r="J584" t="str">
        <f>_xlfn.XLOOKUP(H584,sellers_2026!A:A,sellers_2026!B:B,,0,)</f>
        <v>swanium</v>
      </c>
    </row>
    <row r="585" spans="1:10" ht="14.25" customHeight="1" x14ac:dyDescent="0.3">
      <c r="A585" s="2" t="s">
        <v>2979</v>
      </c>
      <c r="B585" s="2" t="s">
        <v>550</v>
      </c>
      <c r="C585" s="2">
        <v>1</v>
      </c>
      <c r="D585" t="str">
        <f>_xlfn.XLOOKUP(order_items!B585,products_2026!A:A,products_2026!C:C,,0,)</f>
        <v>Clothes</v>
      </c>
      <c r="E585">
        <f>_xlfn.XLOOKUP(B585,products_2026!A:A,products_2026!D:D,,0,)</f>
        <v>34.22</v>
      </c>
      <c r="F585">
        <f t="shared" si="9"/>
        <v>34.22</v>
      </c>
      <c r="G585" t="str">
        <f>_xlfn.XLOOKUP(B585,products_2026!A:A,products_2026!B:B,,0,)</f>
        <v>Wool Beanie - Black</v>
      </c>
      <c r="H585" t="str">
        <f>_xlfn.XLOOKUP(B585,products_2026!A:A,products_2026!E:E,,0,)</f>
        <v>SELL0039</v>
      </c>
      <c r="I585" t="str">
        <f>IFERROR(_xlfn.XLOOKUP(H585,sellers_2026!A:A,sellers_2026!G:G,,0,), "unknown/inactive")</f>
        <v>QLD</v>
      </c>
      <c r="J585" t="str">
        <f>_xlfn.XLOOKUP(H585,sellers_2026!A:A,sellers_2026!B:B,,0,)</f>
        <v>zmkizlf6t6</v>
      </c>
    </row>
    <row r="586" spans="1:10" ht="14.25" customHeight="1" x14ac:dyDescent="0.3">
      <c r="A586" s="2" t="s">
        <v>2980</v>
      </c>
      <c r="B586" s="2" t="s">
        <v>60</v>
      </c>
      <c r="C586" s="2">
        <v>2</v>
      </c>
      <c r="D586" t="str">
        <f>_xlfn.XLOOKUP(order_items!B586,products_2026!A:A,products_2026!C:C,,0,)</f>
        <v>Outdoor</v>
      </c>
      <c r="E586">
        <f>_xlfn.XLOOKUP(B586,products_2026!A:A,products_2026!D:D,,0,)</f>
        <v>40.119999999999997</v>
      </c>
      <c r="F586">
        <f t="shared" si="9"/>
        <v>80.239999999999995</v>
      </c>
      <c r="G586" t="str">
        <f>_xlfn.XLOOKUP(B586,products_2026!A:A,products_2026!B:B,,0,)</f>
        <v>Waterproof Picnic Mat 100x100</v>
      </c>
      <c r="H586" t="str">
        <f>_xlfn.XLOOKUP(B586,products_2026!A:A,products_2026!E:E,,0,)</f>
        <v>SELL0016</v>
      </c>
      <c r="I586" t="str">
        <f>IFERROR(_xlfn.XLOOKUP(H586,sellers_2026!A:A,sellers_2026!G:G,,0,), "unknown/inactive")</f>
        <v>TAS</v>
      </c>
      <c r="J586" t="str">
        <f>_xlfn.XLOOKUP(H586,sellers_2026!A:A,sellers_2026!B:B,,0,)</f>
        <v>abracadabra_002</v>
      </c>
    </row>
    <row r="587" spans="1:10" ht="14.25" customHeight="1" x14ac:dyDescent="0.3">
      <c r="A587" s="2" t="s">
        <v>2980</v>
      </c>
      <c r="B587" s="2" t="s">
        <v>470</v>
      </c>
      <c r="C587" s="2">
        <v>2</v>
      </c>
      <c r="D587" t="str">
        <f>_xlfn.XLOOKUP(order_items!B587,products_2026!A:A,products_2026!C:C,,0,)</f>
        <v>Outdoor</v>
      </c>
      <c r="E587">
        <f>_xlfn.XLOOKUP(B587,products_2026!A:A,products_2026!D:D,,0,)</f>
        <v>30.95</v>
      </c>
      <c r="F587">
        <f t="shared" si="9"/>
        <v>61.9</v>
      </c>
      <c r="G587" t="str">
        <f>_xlfn.XLOOKUP(B587,products_2026!A:A,products_2026!B:B,,0,)</f>
        <v>BBQ Cleaning Brush</v>
      </c>
      <c r="H587" t="str">
        <f>_xlfn.XLOOKUP(B587,products_2026!A:A,products_2026!E:E,,0,)</f>
        <v>SELL0067</v>
      </c>
      <c r="I587" t="str">
        <f>IFERROR(_xlfn.XLOOKUP(H587,sellers_2026!A:A,sellers_2026!G:G,,0,), "unknown/inactive")</f>
        <v>WA</v>
      </c>
      <c r="J587" t="str">
        <f>_xlfn.XLOOKUP(H587,sellers_2026!A:A,sellers_2026!B:B,,0,)</f>
        <v>w71bv3mee1</v>
      </c>
    </row>
    <row r="588" spans="1:10" ht="14.25" customHeight="1" x14ac:dyDescent="0.3">
      <c r="A588" s="2" t="s">
        <v>2980</v>
      </c>
      <c r="B588" s="2" t="s">
        <v>921</v>
      </c>
      <c r="C588" s="2">
        <v>1</v>
      </c>
      <c r="D588" t="str">
        <f>_xlfn.XLOOKUP(order_items!B588,products_2026!A:A,products_2026!C:C,,0,)</f>
        <v>Outdoor</v>
      </c>
      <c r="E588">
        <f>_xlfn.XLOOKUP(B588,products_2026!A:A,products_2026!D:D,,0,)</f>
        <v>97.17</v>
      </c>
      <c r="F588">
        <f t="shared" si="9"/>
        <v>97.17</v>
      </c>
      <c r="G588" t="str">
        <f>_xlfn.XLOOKUP(B588,products_2026!A:A,products_2026!B:B,,0,)</f>
        <v>BBQ Apron - Red</v>
      </c>
      <c r="H588" t="str">
        <f>_xlfn.XLOOKUP(B588,products_2026!A:A,products_2026!E:E,,0,)</f>
        <v>SELL0093</v>
      </c>
      <c r="I588" t="str">
        <f>IFERROR(_xlfn.XLOOKUP(H588,sellers_2026!A:A,sellers_2026!G:G,,0,), "unknown/inactive")</f>
        <v>NT</v>
      </c>
      <c r="J588" t="str">
        <f>_xlfn.XLOOKUP(H588,sellers_2026!A:A,sellers_2026!B:B,,0,)</f>
        <v>millies-outdoor-shop</v>
      </c>
    </row>
    <row r="589" spans="1:10" ht="14.25" customHeight="1" x14ac:dyDescent="0.3">
      <c r="A589" s="2" t="s">
        <v>2981</v>
      </c>
      <c r="B589" s="2" t="s">
        <v>889</v>
      </c>
      <c r="C589" s="2">
        <v>1</v>
      </c>
      <c r="D589" t="str">
        <f>_xlfn.XLOOKUP(order_items!B589,products_2026!A:A,products_2026!C:C,,0,)</f>
        <v>Outdoor</v>
      </c>
      <c r="E589">
        <f>_xlfn.XLOOKUP(B589,products_2026!A:A,products_2026!D:D,,0,)</f>
        <v>10.07</v>
      </c>
      <c r="F589">
        <f t="shared" si="9"/>
        <v>10.07</v>
      </c>
      <c r="G589" t="str">
        <f>_xlfn.XLOOKUP(B589,products_2026!A:A,products_2026!B:B,,0,)</f>
        <v>Bamboo Picnic Rug Recycled Material</v>
      </c>
      <c r="H589" t="str">
        <f>_xlfn.XLOOKUP(B589,products_2026!A:A,products_2026!E:E,,0,)</f>
        <v>SELL0092</v>
      </c>
      <c r="I589" t="str">
        <f>IFERROR(_xlfn.XLOOKUP(H589,sellers_2026!A:A,sellers_2026!G:G,,0,), "unknown/inactive")</f>
        <v>VIC</v>
      </c>
      <c r="J589" t="str">
        <f>_xlfn.XLOOKUP(H589,sellers_2026!A:A,sellers_2026!B:B,,0,)</f>
        <v>dress4beauty</v>
      </c>
    </row>
    <row r="590" spans="1:10" ht="14.25" customHeight="1" x14ac:dyDescent="0.3">
      <c r="A590" s="2" t="s">
        <v>2982</v>
      </c>
      <c r="B590" s="2" t="s">
        <v>893</v>
      </c>
      <c r="C590" s="2">
        <v>2</v>
      </c>
      <c r="D590" t="str">
        <f>_xlfn.XLOOKUP(order_items!B590,products_2026!A:A,products_2026!C:C,,0,)</f>
        <v>Clothes</v>
      </c>
      <c r="E590">
        <f>_xlfn.XLOOKUP(B590,products_2026!A:A,products_2026!D:D,,0,)</f>
        <v>64.84</v>
      </c>
      <c r="F590">
        <f t="shared" si="9"/>
        <v>129.68</v>
      </c>
      <c r="G590" t="str">
        <f>_xlfn.XLOOKUP(B590,products_2026!A:A,products_2026!B:B,,0,)</f>
        <v>Portable Camping Chair (Blue)</v>
      </c>
      <c r="H590" t="str">
        <f>_xlfn.XLOOKUP(B590,products_2026!A:A,products_2026!E:E,,0,)</f>
        <v>SELL0092</v>
      </c>
      <c r="I590" t="str">
        <f>IFERROR(_xlfn.XLOOKUP(H590,sellers_2026!A:A,sellers_2026!G:G,,0,), "unknown/inactive")</f>
        <v>VIC</v>
      </c>
      <c r="J590" t="str">
        <f>_xlfn.XLOOKUP(H590,sellers_2026!A:A,sellers_2026!B:B,,0,)</f>
        <v>dress4beauty</v>
      </c>
    </row>
    <row r="591" spans="1:10" ht="14.25" customHeight="1" x14ac:dyDescent="0.3">
      <c r="A591" s="2" t="s">
        <v>2983</v>
      </c>
      <c r="B591" s="2" t="s">
        <v>485</v>
      </c>
      <c r="C591" s="2">
        <v>1</v>
      </c>
      <c r="D591" t="str">
        <f>_xlfn.XLOOKUP(order_items!B591,products_2026!A:A,products_2026!C:C,,0,)</f>
        <v>Beauty</v>
      </c>
      <c r="E591">
        <f>_xlfn.XLOOKUP(B591,products_2026!A:A,products_2026!D:D,,0,)</f>
        <v>32.01</v>
      </c>
      <c r="F591">
        <f t="shared" si="9"/>
        <v>32.01</v>
      </c>
      <c r="G591" t="str">
        <f>_xlfn.XLOOKUP(B591,products_2026!A:A,products_2026!B:B,,0,)</f>
        <v>Hydrating Face Mist 500ml</v>
      </c>
      <c r="H591" t="str">
        <f>_xlfn.XLOOKUP(B591,products_2026!A:A,products_2026!E:E,,0,)</f>
        <v>SELL0069</v>
      </c>
      <c r="I591" t="str">
        <f>IFERROR(_xlfn.XLOOKUP(H591,sellers_2026!A:A,sellers_2026!G:G,,0,), "unknown/inactive")</f>
        <v>VIC</v>
      </c>
      <c r="J591" t="str">
        <f>_xlfn.XLOOKUP(H591,sellers_2026!A:A,sellers_2026!B:B,,0,)</f>
        <v>barbievend</v>
      </c>
    </row>
    <row r="592" spans="1:10" ht="14.25" customHeight="1" x14ac:dyDescent="0.3">
      <c r="A592" s="2" t="s">
        <v>2983</v>
      </c>
      <c r="B592" s="2" t="s">
        <v>923</v>
      </c>
      <c r="C592" s="2">
        <v>2</v>
      </c>
      <c r="D592" t="str">
        <f>_xlfn.XLOOKUP(order_items!B592,products_2026!A:A,products_2026!C:C,,0,)</f>
        <v>Outdoor</v>
      </c>
      <c r="E592">
        <f>_xlfn.XLOOKUP(B592,products_2026!A:A,products_2026!D:D,,0,)</f>
        <v>25.41</v>
      </c>
      <c r="F592">
        <f t="shared" si="9"/>
        <v>50.82</v>
      </c>
      <c r="G592" t="str">
        <f>_xlfn.XLOOKUP(B592,products_2026!A:A,products_2026!B:B,,0,)</f>
        <v>Stainless Steel BBQ Tools Set (Navy)</v>
      </c>
      <c r="H592" t="str">
        <f>_xlfn.XLOOKUP(B592,products_2026!A:A,products_2026!E:E,,0,)</f>
        <v>SELL0093</v>
      </c>
      <c r="I592" t="str">
        <f>IFERROR(_xlfn.XLOOKUP(H592,sellers_2026!A:A,sellers_2026!G:G,,0,), "unknown/inactive")</f>
        <v>NT</v>
      </c>
      <c r="J592" t="str">
        <f>_xlfn.XLOOKUP(H592,sellers_2026!A:A,sellers_2026!B:B,,0,)</f>
        <v>millies-outdoor-shop</v>
      </c>
    </row>
    <row r="593" spans="1:10" ht="14.25" customHeight="1" x14ac:dyDescent="0.3">
      <c r="A593" s="2" t="s">
        <v>2984</v>
      </c>
      <c r="B593" s="2" t="s">
        <v>64</v>
      </c>
      <c r="C593" s="2">
        <v>1</v>
      </c>
      <c r="D593" t="str">
        <f>_xlfn.XLOOKUP(order_items!B593,products_2026!A:A,products_2026!C:C,,0,)</f>
        <v>Outdoor</v>
      </c>
      <c r="E593">
        <f>_xlfn.XLOOKUP(B593,products_2026!A:A,products_2026!D:D,,0,)</f>
        <v>15.05</v>
      </c>
      <c r="F593">
        <f t="shared" si="9"/>
        <v>15.05</v>
      </c>
      <c r="G593" t="str">
        <f>_xlfn.XLOOKUP(B593,products_2026!A:A,products_2026!B:B,,0,)</f>
        <v>BBQ Skewers - 12 pack (Stainless Steel)</v>
      </c>
      <c r="H593" t="str">
        <f>_xlfn.XLOOKUP(B593,products_2026!A:A,products_2026!E:E,,0,)</f>
        <v>SELL0009</v>
      </c>
      <c r="I593" t="str">
        <f>IFERROR(_xlfn.XLOOKUP(H593,sellers_2026!A:A,sellers_2026!G:G,,0,), "unknown/inactive")</f>
        <v>QLD</v>
      </c>
      <c r="J593" t="str">
        <f>_xlfn.XLOOKUP(H593,sellers_2026!A:A,sellers_2026!B:B,,0,)</f>
        <v>bootsandcamping</v>
      </c>
    </row>
    <row r="594" spans="1:10" ht="14.25" customHeight="1" x14ac:dyDescent="0.3">
      <c r="A594" s="2" t="s">
        <v>2984</v>
      </c>
      <c r="B594" s="2" t="s">
        <v>679</v>
      </c>
      <c r="C594" s="2">
        <v>2</v>
      </c>
      <c r="D594" t="str">
        <f>_xlfn.XLOOKUP(order_items!B594,products_2026!A:A,products_2026!C:C,,0,)</f>
        <v>Electronics</v>
      </c>
      <c r="E594">
        <f>_xlfn.XLOOKUP(B594,products_2026!A:A,products_2026!D:D,,0,)</f>
        <v>49.85</v>
      </c>
      <c r="F594">
        <f t="shared" si="9"/>
        <v>99.7</v>
      </c>
      <c r="G594" t="str">
        <f>_xlfn.XLOOKUP(B594,products_2026!A:A,products_2026!B:B,,0,)</f>
        <v>HD Webcam 1080p USB Desktop</v>
      </c>
      <c r="H594" t="str">
        <f>_xlfn.XLOOKUP(B594,products_2026!A:A,products_2026!E:E,,0,)</f>
        <v>SELL0024</v>
      </c>
      <c r="I594" t="str">
        <f>IFERROR(_xlfn.XLOOKUP(H594,sellers_2026!A:A,sellers_2026!G:G,,0,), "unknown/inactive")</f>
        <v>VIC</v>
      </c>
      <c r="J594" t="str">
        <f>_xlfn.XLOOKUP(H594,sellers_2026!A:A,sellers_2026!B:B,,0,)</f>
        <v>ELEC25B</v>
      </c>
    </row>
    <row r="595" spans="1:10" ht="14.25" customHeight="1" x14ac:dyDescent="0.3">
      <c r="A595" s="2" t="s">
        <v>2985</v>
      </c>
      <c r="B595" s="2" t="s">
        <v>917</v>
      </c>
      <c r="C595" s="2">
        <v>1</v>
      </c>
      <c r="D595" t="str">
        <f>_xlfn.XLOOKUP(order_items!B595,products_2026!A:A,products_2026!C:C,,0,)</f>
        <v>Outdoor</v>
      </c>
      <c r="E595">
        <f>_xlfn.XLOOKUP(B595,products_2026!A:A,products_2026!D:D,,0,)</f>
        <v>66.94</v>
      </c>
      <c r="F595">
        <f t="shared" si="9"/>
        <v>66.94</v>
      </c>
      <c r="G595" t="str">
        <f>_xlfn.XLOOKUP(B595,products_2026!A:A,products_2026!B:B,,0,)</f>
        <v>paddling pool blue inflatable fishes</v>
      </c>
      <c r="H595" t="str">
        <f>_xlfn.XLOOKUP(B595,products_2026!A:A,products_2026!E:E,,0,)</f>
        <v>SELL0092</v>
      </c>
      <c r="I595" t="str">
        <f>IFERROR(_xlfn.XLOOKUP(H595,sellers_2026!A:A,sellers_2026!G:G,,0,), "unknown/inactive")</f>
        <v>VIC</v>
      </c>
      <c r="J595" t="str">
        <f>_xlfn.XLOOKUP(H595,sellers_2026!A:A,sellers_2026!B:B,,0,)</f>
        <v>dress4beauty</v>
      </c>
    </row>
    <row r="596" spans="1:10" ht="14.25" customHeight="1" x14ac:dyDescent="0.3">
      <c r="A596" s="2" t="s">
        <v>2986</v>
      </c>
      <c r="B596" s="2" t="s">
        <v>889</v>
      </c>
      <c r="C596" s="2">
        <v>1</v>
      </c>
      <c r="D596" t="str">
        <f>_xlfn.XLOOKUP(order_items!B596,products_2026!A:A,products_2026!C:C,,0,)</f>
        <v>Outdoor</v>
      </c>
      <c r="E596">
        <f>_xlfn.XLOOKUP(B596,products_2026!A:A,products_2026!D:D,,0,)</f>
        <v>10.07</v>
      </c>
      <c r="F596">
        <f t="shared" si="9"/>
        <v>10.07</v>
      </c>
      <c r="G596" t="str">
        <f>_xlfn.XLOOKUP(B596,products_2026!A:A,products_2026!B:B,,0,)</f>
        <v>Bamboo Picnic Rug Recycled Material</v>
      </c>
      <c r="H596" t="str">
        <f>_xlfn.XLOOKUP(B596,products_2026!A:A,products_2026!E:E,,0,)</f>
        <v>SELL0092</v>
      </c>
      <c r="I596" t="str">
        <f>IFERROR(_xlfn.XLOOKUP(H596,sellers_2026!A:A,sellers_2026!G:G,,0,), "unknown/inactive")</f>
        <v>VIC</v>
      </c>
      <c r="J596" t="str">
        <f>_xlfn.XLOOKUP(H596,sellers_2026!A:A,sellers_2026!B:B,,0,)</f>
        <v>dress4beauty</v>
      </c>
    </row>
    <row r="597" spans="1:10" ht="14.25" customHeight="1" x14ac:dyDescent="0.3">
      <c r="A597" s="2" t="s">
        <v>2986</v>
      </c>
      <c r="B597" s="2" t="s">
        <v>951</v>
      </c>
      <c r="C597" s="2">
        <v>1</v>
      </c>
      <c r="D597" t="str">
        <f>_xlfn.XLOOKUP(order_items!B597,products_2026!A:A,products_2026!C:C,,0,)</f>
        <v>Outdoor</v>
      </c>
      <c r="E597">
        <f>_xlfn.XLOOKUP(B597,products_2026!A:A,products_2026!D:D,,0,)</f>
        <v>54.41</v>
      </c>
      <c r="F597">
        <f t="shared" si="9"/>
        <v>54.41</v>
      </c>
      <c r="G597" t="str">
        <f>_xlfn.XLOOKUP(B597,products_2026!A:A,products_2026!B:B,,0,)</f>
        <v>BBQ Grill Mat - Non‑stick (Navy)</v>
      </c>
      <c r="H597" t="str">
        <f>_xlfn.XLOOKUP(B597,products_2026!A:A,products_2026!E:E,,0,)</f>
        <v>SELL0093</v>
      </c>
      <c r="I597" t="str">
        <f>IFERROR(_xlfn.XLOOKUP(H597,sellers_2026!A:A,sellers_2026!G:G,,0,), "unknown/inactive")</f>
        <v>NT</v>
      </c>
      <c r="J597" t="str">
        <f>_xlfn.XLOOKUP(H597,sellers_2026!A:A,sellers_2026!B:B,,0,)</f>
        <v>millies-outdoor-shop</v>
      </c>
    </row>
    <row r="598" spans="1:10" ht="14.25" customHeight="1" x14ac:dyDescent="0.3">
      <c r="A598" s="2" t="s">
        <v>2987</v>
      </c>
      <c r="B598" s="2" t="s">
        <v>114</v>
      </c>
      <c r="C598" s="2">
        <v>1</v>
      </c>
      <c r="D598" t="str">
        <f>_xlfn.XLOOKUP(order_items!B598,products_2026!A:A,products_2026!C:C,,0,)</f>
        <v>Outdoor</v>
      </c>
      <c r="E598">
        <f>_xlfn.XLOOKUP(B598,products_2026!A:A,products_2026!D:D,,0,)</f>
        <v>38.39</v>
      </c>
      <c r="F598">
        <f t="shared" si="9"/>
        <v>38.39</v>
      </c>
      <c r="G598" t="str">
        <f>_xlfn.XLOOKUP(B598,products_2026!A:A,products_2026!B:B,,0,)</f>
        <v>Fairy Lights Outdoor Garden String 100</v>
      </c>
      <c r="H598" t="str">
        <f>_xlfn.XLOOKUP(B598,products_2026!A:A,products_2026!E:E,,0,)</f>
        <v>SELL0023</v>
      </c>
      <c r="I598" t="str">
        <f>IFERROR(_xlfn.XLOOKUP(H598,sellers_2026!A:A,sellers_2026!G:G,,0,), "unknown/inactive")</f>
        <v>VIC</v>
      </c>
      <c r="J598" t="str">
        <f>_xlfn.XLOOKUP(H598,sellers_2026!A:A,sellers_2026!B:B,,0,)</f>
        <v>cleaning_out_my_shed</v>
      </c>
    </row>
    <row r="599" spans="1:10" ht="14.25" customHeight="1" x14ac:dyDescent="0.3">
      <c r="A599" s="2" t="s">
        <v>2988</v>
      </c>
      <c r="B599" s="2" t="s">
        <v>746</v>
      </c>
      <c r="C599" s="2">
        <v>1</v>
      </c>
      <c r="D599" t="str">
        <f>_xlfn.XLOOKUP(order_items!B599,products_2026!A:A,products_2026!C:C,,0,)</f>
        <v>Gift_Sets</v>
      </c>
      <c r="E599">
        <f>_xlfn.XLOOKUP(B599,products_2026!A:A,products_2026!D:D,,0,)</f>
        <v>32.299999999999997</v>
      </c>
      <c r="F599">
        <f t="shared" si="9"/>
        <v>32.299999999999997</v>
      </c>
      <c r="G599" t="str">
        <f>_xlfn.XLOOKUP(B599,products_2026!A:A,products_2026!B:B,,0,)</f>
        <v>Mens Cologne Gift Set Tester Bottles</v>
      </c>
      <c r="H599" t="str">
        <f>_xlfn.XLOOKUP(B599,products_2026!A:A,products_2026!E:E,,0,)</f>
        <v>SELL0088</v>
      </c>
      <c r="I599" t="str">
        <f>IFERROR(_xlfn.XLOOKUP(H599,sellers_2026!A:A,sellers_2026!G:G,,0,), "unknown/inactive")</f>
        <v>TAS</v>
      </c>
      <c r="J599" t="str">
        <f>_xlfn.XLOOKUP(H599,sellers_2026!A:A,sellers_2026!B:B,,0,)</f>
        <v>7ti9lfa6h5</v>
      </c>
    </row>
    <row r="600" spans="1:10" ht="14.25" customHeight="1" x14ac:dyDescent="0.3">
      <c r="A600" s="2" t="s">
        <v>2989</v>
      </c>
      <c r="B600" s="2" t="s">
        <v>69</v>
      </c>
      <c r="C600" s="2">
        <v>2</v>
      </c>
      <c r="D600" t="str">
        <f>_xlfn.XLOOKUP(order_items!B600,products_2026!A:A,products_2026!C:C,,0,)</f>
        <v>Outdoor</v>
      </c>
      <c r="E600">
        <f>_xlfn.XLOOKUP(B600,products_2026!A:A,products_2026!D:D,,0,)</f>
        <v>27.05</v>
      </c>
      <c r="F600">
        <f t="shared" si="9"/>
        <v>54.1</v>
      </c>
      <c r="G600" t="str">
        <f>_xlfn.XLOOKUP(B600,products_2026!A:A,products_2026!B:B,,0,)</f>
        <v>BBQ Skewers - 24 pack (Stainless Steel)</v>
      </c>
      <c r="H600" t="str">
        <f>_xlfn.XLOOKUP(B600,products_2026!A:A,products_2026!E:E,,0,)</f>
        <v>SELL0018</v>
      </c>
      <c r="I600" t="str">
        <f>IFERROR(_xlfn.XLOOKUP(H600,sellers_2026!A:A,sellers_2026!G:G,,0,), "unknown/inactive")</f>
        <v>NT</v>
      </c>
      <c r="J600" t="str">
        <f>_xlfn.XLOOKUP(H600,sellers_2026!A:A,sellers_2026!B:B,,0,)</f>
        <v>darwin_beauty</v>
      </c>
    </row>
    <row r="601" spans="1:10" ht="14.25" customHeight="1" x14ac:dyDescent="0.3">
      <c r="A601" s="2" t="s">
        <v>2989</v>
      </c>
      <c r="B601" s="2" t="s">
        <v>470</v>
      </c>
      <c r="C601" s="2">
        <v>1</v>
      </c>
      <c r="D601" t="str">
        <f>_xlfn.XLOOKUP(order_items!B601,products_2026!A:A,products_2026!C:C,,0,)</f>
        <v>Outdoor</v>
      </c>
      <c r="E601">
        <f>_xlfn.XLOOKUP(B601,products_2026!A:A,products_2026!D:D,,0,)</f>
        <v>30.95</v>
      </c>
      <c r="F601">
        <f t="shared" si="9"/>
        <v>30.95</v>
      </c>
      <c r="G601" t="str">
        <f>_xlfn.XLOOKUP(B601,products_2026!A:A,products_2026!B:B,,0,)</f>
        <v>BBQ Cleaning Brush</v>
      </c>
      <c r="H601" t="str">
        <f>_xlfn.XLOOKUP(B601,products_2026!A:A,products_2026!E:E,,0,)</f>
        <v>SELL0067</v>
      </c>
      <c r="I601" t="str">
        <f>IFERROR(_xlfn.XLOOKUP(H601,sellers_2026!A:A,sellers_2026!G:G,,0,), "unknown/inactive")</f>
        <v>WA</v>
      </c>
      <c r="J601" t="str">
        <f>_xlfn.XLOOKUP(H601,sellers_2026!A:A,sellers_2026!B:B,,0,)</f>
        <v>w71bv3mee1</v>
      </c>
    </row>
    <row r="602" spans="1:10" ht="14.25" customHeight="1" x14ac:dyDescent="0.3">
      <c r="A602" s="2" t="s">
        <v>2989</v>
      </c>
      <c r="B602" s="2" t="s">
        <v>519</v>
      </c>
      <c r="C602" s="2">
        <v>1</v>
      </c>
      <c r="D602" t="str">
        <f>_xlfn.XLOOKUP(order_items!B602,products_2026!A:A,products_2026!C:C,,0,)</f>
        <v>Outdoor</v>
      </c>
      <c r="E602">
        <f>_xlfn.XLOOKUP(B602,products_2026!A:A,products_2026!D:D,,0,)</f>
        <v>93.44</v>
      </c>
      <c r="F602">
        <f t="shared" si="9"/>
        <v>93.44</v>
      </c>
      <c r="G602" t="str">
        <f>_xlfn.XLOOKUP(B602,products_2026!A:A,products_2026!B:B,,0,)</f>
        <v>Charcoal Starter Chimney XL</v>
      </c>
      <c r="H602" t="str">
        <f>_xlfn.XLOOKUP(B602,products_2026!A:A,products_2026!E:E,,0,)</f>
        <v>SELL0072</v>
      </c>
      <c r="I602" t="str">
        <f>IFERROR(_xlfn.XLOOKUP(H602,sellers_2026!A:A,sellers_2026!G:G,,0,), "unknown/inactive")</f>
        <v>ACT</v>
      </c>
      <c r="J602" t="str">
        <f>_xlfn.XLOOKUP(H602,sellers_2026!A:A,sellers_2026!B:B,,0,)</f>
        <v>swanium</v>
      </c>
    </row>
    <row r="603" spans="1:10" ht="14.25" customHeight="1" x14ac:dyDescent="0.3">
      <c r="A603" s="2" t="s">
        <v>2989</v>
      </c>
      <c r="B603" s="2" t="s">
        <v>889</v>
      </c>
      <c r="C603" s="2">
        <v>1</v>
      </c>
      <c r="D603" t="str">
        <f>_xlfn.XLOOKUP(order_items!B603,products_2026!A:A,products_2026!C:C,,0,)</f>
        <v>Outdoor</v>
      </c>
      <c r="E603">
        <f>_xlfn.XLOOKUP(B603,products_2026!A:A,products_2026!D:D,,0,)</f>
        <v>10.07</v>
      </c>
      <c r="F603">
        <f t="shared" si="9"/>
        <v>10.07</v>
      </c>
      <c r="G603" t="str">
        <f>_xlfn.XLOOKUP(B603,products_2026!A:A,products_2026!B:B,,0,)</f>
        <v>Bamboo Picnic Rug Recycled Material</v>
      </c>
      <c r="H603" t="str">
        <f>_xlfn.XLOOKUP(B603,products_2026!A:A,products_2026!E:E,,0,)</f>
        <v>SELL0092</v>
      </c>
      <c r="I603" t="str">
        <f>IFERROR(_xlfn.XLOOKUP(H603,sellers_2026!A:A,sellers_2026!G:G,,0,), "unknown/inactive")</f>
        <v>VIC</v>
      </c>
      <c r="J603" t="str">
        <f>_xlfn.XLOOKUP(H603,sellers_2026!A:A,sellers_2026!B:B,,0,)</f>
        <v>dress4beauty</v>
      </c>
    </row>
    <row r="604" spans="1:10" ht="14.25" customHeight="1" x14ac:dyDescent="0.3">
      <c r="A604" s="2" t="s">
        <v>2990</v>
      </c>
      <c r="B604" s="2" t="s">
        <v>903</v>
      </c>
      <c r="C604" s="2">
        <v>1</v>
      </c>
      <c r="D604" t="str">
        <f>_xlfn.XLOOKUP(order_items!B604,products_2026!A:A,products_2026!C:C,,0,)</f>
        <v>Outdoor</v>
      </c>
      <c r="E604">
        <f>_xlfn.XLOOKUP(B604,products_2026!A:A,products_2026!D:D,,0,)</f>
        <v>67.33</v>
      </c>
      <c r="F604">
        <f t="shared" si="9"/>
        <v>67.33</v>
      </c>
      <c r="G604" t="str">
        <f>_xlfn.XLOOKUP(B604,products_2026!A:A,products_2026!B:B,,0,)</f>
        <v>Camping Kettle 2L Navy</v>
      </c>
      <c r="H604" t="str">
        <f>_xlfn.XLOOKUP(B604,products_2026!A:A,products_2026!E:E,,0,)</f>
        <v>SELL0093</v>
      </c>
      <c r="I604" t="str">
        <f>IFERROR(_xlfn.XLOOKUP(H604,sellers_2026!A:A,sellers_2026!G:G,,0,), "unknown/inactive")</f>
        <v>NT</v>
      </c>
      <c r="J604" t="str">
        <f>_xlfn.XLOOKUP(H604,sellers_2026!A:A,sellers_2026!B:B,,0,)</f>
        <v>millies-outdoor-shop</v>
      </c>
    </row>
    <row r="605" spans="1:10" ht="14.25" customHeight="1" x14ac:dyDescent="0.3">
      <c r="A605" s="2" t="s">
        <v>2991</v>
      </c>
      <c r="B605" s="2" t="s">
        <v>480</v>
      </c>
      <c r="C605" s="2">
        <v>1</v>
      </c>
      <c r="D605" t="str">
        <f>_xlfn.XLOOKUP(order_items!B605,products_2026!A:A,products_2026!C:C,,0,)</f>
        <v>Clothes</v>
      </c>
      <c r="E605">
        <f>_xlfn.XLOOKUP(B605,products_2026!A:A,products_2026!D:D,,0,)</f>
        <v>52.53</v>
      </c>
      <c r="F605">
        <f t="shared" si="9"/>
        <v>52.53</v>
      </c>
      <c r="G605" t="str">
        <f>_xlfn.XLOOKUP(B605,products_2026!A:A,products_2026!B:B,,0,)</f>
        <v>Denim Shirt M</v>
      </c>
      <c r="H605" t="str">
        <f>_xlfn.XLOOKUP(B605,products_2026!A:A,products_2026!E:E,,0,)</f>
        <v>SELL0068</v>
      </c>
      <c r="I605" t="str">
        <f>IFERROR(_xlfn.XLOOKUP(H605,sellers_2026!A:A,sellers_2026!G:G,,0,), "unknown/inactive")</f>
        <v>TAS</v>
      </c>
      <c r="J605" t="str">
        <f>_xlfn.XLOOKUP(H605,sellers_2026!A:A,sellers_2026!B:B,,0,)</f>
        <v>wearitall</v>
      </c>
    </row>
    <row r="606" spans="1:10" ht="14.25" customHeight="1" x14ac:dyDescent="0.3">
      <c r="A606" s="2" t="s">
        <v>2992</v>
      </c>
      <c r="B606" s="2" t="s">
        <v>540</v>
      </c>
      <c r="C606" s="2">
        <v>1</v>
      </c>
      <c r="D606" t="str">
        <f>_xlfn.XLOOKUP(order_items!B606,products_2026!A:A,products_2026!C:C,,0,)</f>
        <v>Jewellery</v>
      </c>
      <c r="E606">
        <f>_xlfn.XLOOKUP(B606,products_2026!A:A,products_2026!D:D,,0,)</f>
        <v>59.4</v>
      </c>
      <c r="F606">
        <f t="shared" si="9"/>
        <v>59.4</v>
      </c>
      <c r="G606" t="str">
        <f>_xlfn.XLOOKUP(B606,products_2026!A:A,products_2026!B:B,,0,)</f>
        <v>Jewellery Box Pink</v>
      </c>
      <c r="H606" t="str">
        <f>_xlfn.XLOOKUP(B606,products_2026!A:A,products_2026!E:E,,0,)</f>
        <v>SELL0075</v>
      </c>
      <c r="I606" t="str">
        <f>IFERROR(_xlfn.XLOOKUP(H606,sellers_2026!A:A,sellers_2026!G:G,,0,), "unknown/inactive")</f>
        <v>NSW</v>
      </c>
      <c r="J606" t="str">
        <f>_xlfn.XLOOKUP(H606,sellers_2026!A:A,sellers_2026!B:B,,0,)</f>
        <v>nhlay6j49a</v>
      </c>
    </row>
    <row r="607" spans="1:10" ht="14.25" customHeight="1" x14ac:dyDescent="0.3">
      <c r="A607" s="2" t="s">
        <v>2993</v>
      </c>
      <c r="B607" s="2" t="s">
        <v>222</v>
      </c>
      <c r="C607" s="2">
        <v>1</v>
      </c>
      <c r="D607" t="str">
        <f>_xlfn.XLOOKUP(order_items!B607,products_2026!A:A,products_2026!C:C,,0,)</f>
        <v>Outdoor</v>
      </c>
      <c r="E607">
        <f>_xlfn.XLOOKUP(B607,products_2026!A:A,products_2026!D:D,,0,)</f>
        <v>43.42</v>
      </c>
      <c r="F607">
        <f t="shared" si="9"/>
        <v>43.42</v>
      </c>
      <c r="G607" t="str">
        <f>_xlfn.XLOOKUP(B607,products_2026!A:A,products_2026!B:B,,0,)</f>
        <v>Picnic basket</v>
      </c>
      <c r="H607" t="str">
        <f>_xlfn.XLOOKUP(B607,products_2026!A:A,products_2026!E:E,,0,)</f>
        <v>SELL0039</v>
      </c>
      <c r="I607" t="str">
        <f>IFERROR(_xlfn.XLOOKUP(H607,sellers_2026!A:A,sellers_2026!G:G,,0,), "unknown/inactive")</f>
        <v>QLD</v>
      </c>
      <c r="J607" t="str">
        <f>_xlfn.XLOOKUP(H607,sellers_2026!A:A,sellers_2026!B:B,,0,)</f>
        <v>zmkizlf6t6</v>
      </c>
    </row>
    <row r="608" spans="1:10" ht="14.25" customHeight="1" x14ac:dyDescent="0.3">
      <c r="A608" s="2" t="s">
        <v>2994</v>
      </c>
      <c r="B608" s="2" t="s">
        <v>376</v>
      </c>
      <c r="C608" s="2">
        <v>1</v>
      </c>
      <c r="D608" t="str">
        <f>_xlfn.XLOOKUP(order_items!B608,products_2026!A:A,products_2026!C:C,,0,)</f>
        <v>Electronics</v>
      </c>
      <c r="E608">
        <f>_xlfn.XLOOKUP(B608,products_2026!A:A,products_2026!D:D,,0,)</f>
        <v>88.29</v>
      </c>
      <c r="F608">
        <f t="shared" si="9"/>
        <v>88.29</v>
      </c>
      <c r="G608" t="str">
        <f>_xlfn.XLOOKUP(B608,products_2026!A:A,products_2026!B:B,,0,)</f>
        <v>LED Light Bulb Reusable</v>
      </c>
      <c r="H608" t="str">
        <f>_xlfn.XLOOKUP(B608,products_2026!A:A,products_2026!E:E,,0,)</f>
        <v>SELL0057</v>
      </c>
      <c r="I608" t="str">
        <f>IFERROR(_xlfn.XLOOKUP(H608,sellers_2026!A:A,sellers_2026!G:G,,0,), "unknown/inactive")</f>
        <v>TAS</v>
      </c>
      <c r="J608" t="str">
        <f>_xlfn.XLOOKUP(H608,sellers_2026!A:A,sellers_2026!B:B,,0,)</f>
        <v>buildmydream</v>
      </c>
    </row>
    <row r="609" spans="1:10" ht="14.25" customHeight="1" x14ac:dyDescent="0.3">
      <c r="A609" s="2" t="s">
        <v>2994</v>
      </c>
      <c r="B609" s="2" t="s">
        <v>542</v>
      </c>
      <c r="C609" s="2">
        <v>1</v>
      </c>
      <c r="D609" t="str">
        <f>_xlfn.XLOOKUP(order_items!B609,products_2026!A:A,products_2026!C:C,,0,)</f>
        <v>Outdoor</v>
      </c>
      <c r="E609">
        <f>_xlfn.XLOOKUP(B609,products_2026!A:A,products_2026!D:D,,0,)</f>
        <v>75.099999999999994</v>
      </c>
      <c r="F609">
        <f t="shared" si="9"/>
        <v>75.099999999999994</v>
      </c>
      <c r="G609" t="str">
        <f>_xlfn.XLOOKUP(B609,products_2026!A:A,products_2026!B:B,,0,)</f>
        <v>BBQ - Charcoal</v>
      </c>
      <c r="H609" t="str">
        <f>_xlfn.XLOOKUP(B609,products_2026!A:A,products_2026!E:E,,0,)</f>
        <v>SELL0075</v>
      </c>
      <c r="I609" t="str">
        <f>IFERROR(_xlfn.XLOOKUP(H609,sellers_2026!A:A,sellers_2026!G:G,,0,), "unknown/inactive")</f>
        <v>NSW</v>
      </c>
      <c r="J609" t="str">
        <f>_xlfn.XLOOKUP(H609,sellers_2026!A:A,sellers_2026!B:B,,0,)</f>
        <v>nhlay6j49a</v>
      </c>
    </row>
    <row r="610" spans="1:10" ht="14.25" customHeight="1" x14ac:dyDescent="0.3">
      <c r="A610" s="2" t="s">
        <v>2995</v>
      </c>
      <c r="B610" s="2" t="s">
        <v>437</v>
      </c>
      <c r="C610" s="2">
        <v>2</v>
      </c>
      <c r="D610" t="str">
        <f>_xlfn.XLOOKUP(order_items!B610,products_2026!A:A,products_2026!C:C,,0,)</f>
        <v>Toys</v>
      </c>
      <c r="E610">
        <f>_xlfn.XLOOKUP(B610,products_2026!A:A,products_2026!D:D,,0,)</f>
        <v>18.989999999999998</v>
      </c>
      <c r="F610">
        <f t="shared" si="9"/>
        <v>37.979999999999997</v>
      </c>
      <c r="G610" t="str">
        <f>_xlfn.XLOOKUP(B610,products_2026!A:A,products_2026!B:B,,0,)</f>
        <v>Foam Maker</v>
      </c>
      <c r="H610" t="str">
        <f>_xlfn.XLOOKUP(B610,products_2026!A:A,products_2026!E:E,,0,)</f>
        <v>SELL0062</v>
      </c>
      <c r="I610" t="str">
        <f>IFERROR(_xlfn.XLOOKUP(H610,sellers_2026!A:A,sellers_2026!G:G,,0,), "unknown/inactive")</f>
        <v>QLD</v>
      </c>
      <c r="J610" t="str">
        <f>_xlfn.XLOOKUP(H610,sellers_2026!A:A,sellers_2026!B:B,,0,)</f>
        <v>queenslandqweenie</v>
      </c>
    </row>
    <row r="611" spans="1:10" ht="14.25" customHeight="1" x14ac:dyDescent="0.3">
      <c r="A611" s="2" t="s">
        <v>2995</v>
      </c>
      <c r="B611" s="2" t="s">
        <v>885</v>
      </c>
      <c r="C611" s="2">
        <v>1</v>
      </c>
      <c r="D611" t="str">
        <f>_xlfn.XLOOKUP(order_items!B611,products_2026!A:A,products_2026!C:C,,0,)</f>
        <v>Outdoor</v>
      </c>
      <c r="E611">
        <f>_xlfn.XLOOKUP(B611,products_2026!A:A,products_2026!D:D,,0,)</f>
        <v>99.85</v>
      </c>
      <c r="F611">
        <f t="shared" si="9"/>
        <v>99.85</v>
      </c>
      <c r="G611" t="str">
        <f>_xlfn.XLOOKUP(B611,products_2026!A:A,products_2026!B:B,,0,)</f>
        <v>Turtle Ornament Garden</v>
      </c>
      <c r="H611" t="str">
        <f>_xlfn.XLOOKUP(B611,products_2026!A:A,products_2026!E:E,,0,)</f>
        <v>SELL0092</v>
      </c>
      <c r="I611" t="str">
        <f>IFERROR(_xlfn.XLOOKUP(H611,sellers_2026!A:A,sellers_2026!G:G,,0,), "unknown/inactive")</f>
        <v>VIC</v>
      </c>
      <c r="J611" t="str">
        <f>_xlfn.XLOOKUP(H611,sellers_2026!A:A,sellers_2026!B:B,,0,)</f>
        <v>dress4beauty</v>
      </c>
    </row>
    <row r="612" spans="1:10" ht="14.25" customHeight="1" x14ac:dyDescent="0.3">
      <c r="A612" s="2" t="s">
        <v>2996</v>
      </c>
      <c r="B612" s="2" t="s">
        <v>73</v>
      </c>
      <c r="C612" s="2">
        <v>2</v>
      </c>
      <c r="D612" t="str">
        <f>_xlfn.XLOOKUP(order_items!B612,products_2026!A:A,products_2026!C:C,,0,)</f>
        <v>Outdoor</v>
      </c>
      <c r="E612">
        <f>_xlfn.XLOOKUP(B612,products_2026!A:A,products_2026!D:D,,0,)</f>
        <v>23.99</v>
      </c>
      <c r="F612">
        <f t="shared" si="9"/>
        <v>47.98</v>
      </c>
      <c r="G612" t="str">
        <f>_xlfn.XLOOKUP(B612,products_2026!A:A,products_2026!B:B,,0,)</f>
        <v>BBQ Skewers - 24 pack (Bamboo)</v>
      </c>
      <c r="H612" t="str">
        <f>_xlfn.XLOOKUP(B612,products_2026!A:A,products_2026!E:E,,0,)</f>
        <v>SELL0018</v>
      </c>
      <c r="I612" t="str">
        <f>IFERROR(_xlfn.XLOOKUP(H612,sellers_2026!A:A,sellers_2026!G:G,,0,), "unknown/inactive")</f>
        <v>NT</v>
      </c>
      <c r="J612" t="str">
        <f>_xlfn.XLOOKUP(H612,sellers_2026!A:A,sellers_2026!B:B,,0,)</f>
        <v>darwin_beauty</v>
      </c>
    </row>
    <row r="613" spans="1:10" ht="14.25" customHeight="1" x14ac:dyDescent="0.3">
      <c r="A613" s="2" t="s">
        <v>2996</v>
      </c>
      <c r="B613" s="2" t="s">
        <v>963</v>
      </c>
      <c r="C613" s="2">
        <v>1</v>
      </c>
      <c r="D613" t="str">
        <f>_xlfn.XLOOKUP(order_items!B613,products_2026!A:A,products_2026!C:C,,0,)</f>
        <v>Outdoor</v>
      </c>
      <c r="E613">
        <f>_xlfn.XLOOKUP(B613,products_2026!A:A,products_2026!D:D,,0,)</f>
        <v>20.55</v>
      </c>
      <c r="F613">
        <f t="shared" si="9"/>
        <v>20.55</v>
      </c>
      <c r="G613" t="str">
        <f>_xlfn.XLOOKUP(B613,products_2026!A:A,products_2026!B:B,,0,)</f>
        <v>Stainless Steel Grill Basket</v>
      </c>
      <c r="H613" t="str">
        <f>_xlfn.XLOOKUP(B613,products_2026!A:A,products_2026!E:E,,0,)</f>
        <v>SELL0094</v>
      </c>
      <c r="I613" t="str">
        <f>IFERROR(_xlfn.XLOOKUP(H613,sellers_2026!A:A,sellers_2026!G:G,,0,), "unknown/inactive")</f>
        <v>WA</v>
      </c>
      <c r="J613" t="str">
        <f>_xlfn.XLOOKUP(H613,sellers_2026!A:A,sellers_2026!B:B,,0,)</f>
        <v>excelinall</v>
      </c>
    </row>
    <row r="614" spans="1:10" ht="14.25" customHeight="1" x14ac:dyDescent="0.3">
      <c r="A614" s="2" t="s">
        <v>2997</v>
      </c>
      <c r="B614" s="2" t="s">
        <v>202</v>
      </c>
      <c r="C614" s="2">
        <v>1</v>
      </c>
      <c r="D614" t="str">
        <f>_xlfn.XLOOKUP(order_items!B614,products_2026!A:A,products_2026!C:C,,0,)</f>
        <v>Gift_Sets</v>
      </c>
      <c r="E614">
        <f>_xlfn.XLOOKUP(B614,products_2026!A:A,products_2026!D:D,,0,)</f>
        <v>39.36</v>
      </c>
      <c r="F614">
        <f t="shared" si="9"/>
        <v>39.36</v>
      </c>
      <c r="G614" t="str">
        <f>_xlfn.XLOOKUP(B614,products_2026!A:A,products_2026!B:B,,0,)</f>
        <v>Mini Plant Starter Kit (Tulip)</v>
      </c>
      <c r="H614" t="str">
        <f>_xlfn.XLOOKUP(B614,products_2026!A:A,products_2026!E:E,,0,)</f>
        <v>SELL0037</v>
      </c>
      <c r="I614" t="str">
        <f>IFERROR(_xlfn.XLOOKUP(H614,sellers_2026!A:A,sellers_2026!G:G,,0,), "unknown/inactive")</f>
        <v>VIC</v>
      </c>
      <c r="J614" t="str">
        <f>_xlfn.XLOOKUP(H614,sellers_2026!A:A,sellers_2026!B:B,,0,)</f>
        <v>storeshop</v>
      </c>
    </row>
    <row r="615" spans="1:10" ht="14.25" customHeight="1" x14ac:dyDescent="0.3">
      <c r="A615" s="2" t="s">
        <v>2997</v>
      </c>
      <c r="B615" s="2" t="s">
        <v>682</v>
      </c>
      <c r="C615" s="2">
        <v>1</v>
      </c>
      <c r="D615" t="str">
        <f>_xlfn.XLOOKUP(order_items!B615,products_2026!A:A,products_2026!C:C,,0,)</f>
        <v>Electronics</v>
      </c>
      <c r="E615">
        <f>_xlfn.XLOOKUP(B615,products_2026!A:A,products_2026!D:D,,0,)</f>
        <v>63.55</v>
      </c>
      <c r="F615">
        <f t="shared" si="9"/>
        <v>63.55</v>
      </c>
      <c r="G615" t="str">
        <f>_xlfn.XLOOKUP(B615,products_2026!A:A,products_2026!B:B,,0,)</f>
        <v>Smart Home Hub (Navy) 2023</v>
      </c>
      <c r="H615" t="str">
        <f>_xlfn.XLOOKUP(B615,products_2026!A:A,products_2026!E:E,,0,)</f>
        <v>SELL0024</v>
      </c>
      <c r="I615" t="str">
        <f>IFERROR(_xlfn.XLOOKUP(H615,sellers_2026!A:A,sellers_2026!G:G,,0,), "unknown/inactive")</f>
        <v>VIC</v>
      </c>
      <c r="J615" t="str">
        <f>_xlfn.XLOOKUP(H615,sellers_2026!A:A,sellers_2026!B:B,,0,)</f>
        <v>ELEC25B</v>
      </c>
    </row>
    <row r="616" spans="1:10" ht="14.25" customHeight="1" x14ac:dyDescent="0.3">
      <c r="A616" s="2" t="s">
        <v>2998</v>
      </c>
      <c r="B616" s="2" t="s">
        <v>181</v>
      </c>
      <c r="C616" s="2">
        <v>1</v>
      </c>
      <c r="D616" t="str">
        <f>_xlfn.XLOOKUP(order_items!B616,products_2026!A:A,products_2026!C:C,,0,)</f>
        <v>Outdoor</v>
      </c>
      <c r="E616">
        <f>_xlfn.XLOOKUP(B616,products_2026!A:A,products_2026!D:D,,0,)</f>
        <v>117.79</v>
      </c>
      <c r="F616">
        <f t="shared" si="9"/>
        <v>117.79</v>
      </c>
      <c r="G616" t="str">
        <f>_xlfn.XLOOKUP(B616,products_2026!A:A,products_2026!B:B,,0,)</f>
        <v>Portable Mini Grill</v>
      </c>
      <c r="H616" t="str">
        <f>_xlfn.XLOOKUP(B616,products_2026!A:A,products_2026!E:E,,0,)</f>
        <v>SELL0035</v>
      </c>
      <c r="I616" t="str">
        <f>IFERROR(_xlfn.XLOOKUP(H616,sellers_2026!A:A,sellers_2026!G:G,,0,), "unknown/inactive")</f>
        <v>ACT</v>
      </c>
      <c r="J616" t="str">
        <f>_xlfn.XLOOKUP(H616,sellers_2026!A:A,sellers_2026!B:B,,0,)</f>
        <v>maddie-sells</v>
      </c>
    </row>
    <row r="617" spans="1:10" ht="14.25" customHeight="1" x14ac:dyDescent="0.3">
      <c r="A617" s="2" t="s">
        <v>2999</v>
      </c>
      <c r="B617" s="2" t="s">
        <v>322</v>
      </c>
      <c r="C617" s="2">
        <v>1</v>
      </c>
      <c r="D617" t="str">
        <f>_xlfn.XLOOKUP(order_items!B617,products_2026!A:A,products_2026!C:C,,0,)</f>
        <v>Outdoor</v>
      </c>
      <c r="E617">
        <f>_xlfn.XLOOKUP(B617,products_2026!A:A,products_2026!D:D,,0,)</f>
        <v>48.81</v>
      </c>
      <c r="F617">
        <f t="shared" si="9"/>
        <v>48.81</v>
      </c>
      <c r="G617" t="str">
        <f>_xlfn.XLOOKUP(B617,products_2026!A:A,products_2026!B:B,,0,)</f>
        <v>Garden Light Sun Powered No Recharge</v>
      </c>
      <c r="H617" t="str">
        <f>_xlfn.XLOOKUP(B617,products_2026!A:A,products_2026!E:E,,0,)</f>
        <v>SELL0048</v>
      </c>
      <c r="I617" t="str">
        <f>IFERROR(_xlfn.XLOOKUP(H617,sellers_2026!A:A,sellers_2026!G:G,,0,), "unknown/inactive")</f>
        <v>VIC</v>
      </c>
      <c r="J617" t="str">
        <f>_xlfn.XLOOKUP(H617,sellers_2026!A:A,sellers_2026!B:B,,0,)</f>
        <v>jy9binq4v9</v>
      </c>
    </row>
    <row r="618" spans="1:10" ht="14.25" customHeight="1" x14ac:dyDescent="0.3">
      <c r="A618" s="2" t="s">
        <v>3000</v>
      </c>
      <c r="B618" s="2" t="s">
        <v>501</v>
      </c>
      <c r="C618" s="2">
        <v>1</v>
      </c>
      <c r="D618" t="str">
        <f>_xlfn.XLOOKUP(order_items!B618,products_2026!A:A,products_2026!C:C,,0,)</f>
        <v>Outdoor</v>
      </c>
      <c r="E618">
        <f>_xlfn.XLOOKUP(B618,products_2026!A:A,products_2026!D:D,,0,)</f>
        <v>32.67</v>
      </c>
      <c r="F618">
        <f t="shared" si="9"/>
        <v>32.67</v>
      </c>
      <c r="G618" t="str">
        <f>_xlfn.XLOOKUP(B618,products_2026!A:A,products_2026!B:B,,0,)</f>
        <v>Snorkel Set - Adult Small</v>
      </c>
      <c r="H618" t="str">
        <f>_xlfn.XLOOKUP(B618,products_2026!A:A,products_2026!E:E,,0,)</f>
        <v>SELL0070</v>
      </c>
      <c r="I618" t="str">
        <f>IFERROR(_xlfn.XLOOKUP(H618,sellers_2026!A:A,sellers_2026!G:G,,0,), "unknown/inactive")</f>
        <v>QLD</v>
      </c>
      <c r="J618" t="str">
        <f>_xlfn.XLOOKUP(H618,sellers_2026!A:A,sellers_2026!B:B,,0,)</f>
        <v>homeandaways</v>
      </c>
    </row>
    <row r="619" spans="1:10" ht="14.25" customHeight="1" x14ac:dyDescent="0.3">
      <c r="A619" s="2" t="s">
        <v>3000</v>
      </c>
      <c r="B619" s="2" t="s">
        <v>777</v>
      </c>
      <c r="C619" s="2">
        <v>1</v>
      </c>
      <c r="D619" t="str">
        <f>_xlfn.XLOOKUP(order_items!B619,products_2026!A:A,products_2026!C:C,,0,)</f>
        <v>Beauty</v>
      </c>
      <c r="E619">
        <f>_xlfn.XLOOKUP(B619,products_2026!A:A,products_2026!D:D,,0,)</f>
        <v>15.83</v>
      </c>
      <c r="F619">
        <f t="shared" si="9"/>
        <v>15.83</v>
      </c>
      <c r="G619" t="str">
        <f>_xlfn.XLOOKUP(B619,products_2026!A:A,products_2026!B:B,,0,)</f>
        <v>Hydrating Face Mist Vitamin E</v>
      </c>
      <c r="H619" t="str">
        <f>_xlfn.XLOOKUP(B619,products_2026!A:A,products_2026!E:E,,0,)</f>
        <v>SELL0083</v>
      </c>
      <c r="I619" t="str">
        <f>IFERROR(_xlfn.XLOOKUP(H619,sellers_2026!A:A,sellers_2026!G:G,,0,), "unknown/inactive")</f>
        <v>WA</v>
      </c>
      <c r="J619" t="str">
        <f>_xlfn.XLOOKUP(H619,sellers_2026!A:A,sellers_2026!B:B,,0,)</f>
        <v>makeupped</v>
      </c>
    </row>
    <row r="620" spans="1:10" ht="14.25" customHeight="1" x14ac:dyDescent="0.3">
      <c r="A620" s="2" t="s">
        <v>3000</v>
      </c>
      <c r="B620" s="2" t="s">
        <v>889</v>
      </c>
      <c r="C620" s="2">
        <v>2</v>
      </c>
      <c r="D620" t="str">
        <f>_xlfn.XLOOKUP(order_items!B620,products_2026!A:A,products_2026!C:C,,0,)</f>
        <v>Outdoor</v>
      </c>
      <c r="E620">
        <f>_xlfn.XLOOKUP(B620,products_2026!A:A,products_2026!D:D,,0,)</f>
        <v>10.07</v>
      </c>
      <c r="F620">
        <f t="shared" si="9"/>
        <v>20.14</v>
      </c>
      <c r="G620" t="str">
        <f>_xlfn.XLOOKUP(B620,products_2026!A:A,products_2026!B:B,,0,)</f>
        <v>Bamboo Picnic Rug Recycled Material</v>
      </c>
      <c r="H620" t="str">
        <f>_xlfn.XLOOKUP(B620,products_2026!A:A,products_2026!E:E,,0,)</f>
        <v>SELL0092</v>
      </c>
      <c r="I620" t="str">
        <f>IFERROR(_xlfn.XLOOKUP(H620,sellers_2026!A:A,sellers_2026!G:G,,0,), "unknown/inactive")</f>
        <v>VIC</v>
      </c>
      <c r="J620" t="str">
        <f>_xlfn.XLOOKUP(H620,sellers_2026!A:A,sellers_2026!B:B,,0,)</f>
        <v>dress4beauty</v>
      </c>
    </row>
    <row r="621" spans="1:10" ht="14.25" customHeight="1" x14ac:dyDescent="0.3">
      <c r="A621" s="2" t="s">
        <v>3001</v>
      </c>
      <c r="B621" s="2" t="s">
        <v>204</v>
      </c>
      <c r="C621" s="2">
        <v>2</v>
      </c>
      <c r="D621" t="str">
        <f>_xlfn.XLOOKUP(order_items!B621,products_2026!A:A,products_2026!C:C,,0,)</f>
        <v>Jewellery</v>
      </c>
      <c r="E621">
        <f>_xlfn.XLOOKUP(B621,products_2026!A:A,products_2026!D:D,,0,)</f>
        <v>20.59</v>
      </c>
      <c r="F621">
        <f t="shared" si="9"/>
        <v>41.18</v>
      </c>
      <c r="G621" t="str">
        <f>_xlfn.XLOOKUP(B621,products_2026!A:A,products_2026!B:B,,0,)</f>
        <v>Crystal Drop Earrings Clipon</v>
      </c>
      <c r="H621" t="str">
        <f>_xlfn.XLOOKUP(B621,products_2026!A:A,products_2026!E:E,,0,)</f>
        <v>SELL0037</v>
      </c>
      <c r="I621" t="str">
        <f>IFERROR(_xlfn.XLOOKUP(H621,sellers_2026!A:A,sellers_2026!G:G,,0,), "unknown/inactive")</f>
        <v>VIC</v>
      </c>
      <c r="J621" t="str">
        <f>_xlfn.XLOOKUP(H621,sellers_2026!A:A,sellers_2026!B:B,,0,)</f>
        <v>storeshop</v>
      </c>
    </row>
    <row r="622" spans="1:10" ht="14.25" customHeight="1" x14ac:dyDescent="0.3">
      <c r="A622" s="2" t="s">
        <v>3001</v>
      </c>
      <c r="B622" s="2" t="s">
        <v>923</v>
      </c>
      <c r="C622" s="2">
        <v>2</v>
      </c>
      <c r="D622" t="str">
        <f>_xlfn.XLOOKUP(order_items!B622,products_2026!A:A,products_2026!C:C,,0,)</f>
        <v>Outdoor</v>
      </c>
      <c r="E622">
        <f>_xlfn.XLOOKUP(B622,products_2026!A:A,products_2026!D:D,,0,)</f>
        <v>25.41</v>
      </c>
      <c r="F622">
        <f t="shared" si="9"/>
        <v>50.82</v>
      </c>
      <c r="G622" t="str">
        <f>_xlfn.XLOOKUP(B622,products_2026!A:A,products_2026!B:B,,0,)</f>
        <v>Stainless Steel BBQ Tools Set (Navy)</v>
      </c>
      <c r="H622" t="str">
        <f>_xlfn.XLOOKUP(B622,products_2026!A:A,products_2026!E:E,,0,)</f>
        <v>SELL0093</v>
      </c>
      <c r="I622" t="str">
        <f>IFERROR(_xlfn.XLOOKUP(H622,sellers_2026!A:A,sellers_2026!G:G,,0,), "unknown/inactive")</f>
        <v>NT</v>
      </c>
      <c r="J622" t="str">
        <f>_xlfn.XLOOKUP(H622,sellers_2026!A:A,sellers_2026!B:B,,0,)</f>
        <v>millies-outdoor-shop</v>
      </c>
    </row>
    <row r="623" spans="1:10" ht="14.25" customHeight="1" x14ac:dyDescent="0.3">
      <c r="A623" s="2" t="s">
        <v>3002</v>
      </c>
      <c r="B623" s="2" t="s">
        <v>370</v>
      </c>
      <c r="C623" s="2">
        <v>1</v>
      </c>
      <c r="D623" t="str">
        <f>_xlfn.XLOOKUP(order_items!B623,products_2026!A:A,products_2026!C:C,,0,)</f>
        <v>Clothes</v>
      </c>
      <c r="E623">
        <f>_xlfn.XLOOKUP(B623,products_2026!A:A,products_2026!D:D,,0,)</f>
        <v>37.99</v>
      </c>
      <c r="F623">
        <f t="shared" si="9"/>
        <v>37.99</v>
      </c>
      <c r="G623" t="str">
        <f>_xlfn.XLOOKUP(B623,products_2026!A:A,products_2026!B:B,,0,)</f>
        <v>Cotton T‑Shirt Black M</v>
      </c>
      <c r="H623" t="str">
        <f>_xlfn.XLOOKUP(B623,products_2026!A:A,products_2026!E:E,,0,)</f>
        <v>SELL0056</v>
      </c>
      <c r="I623" t="str">
        <f>IFERROR(_xlfn.XLOOKUP(H623,sellers_2026!A:A,sellers_2026!G:G,,0,), "unknown/inactive")</f>
        <v>WA</v>
      </c>
      <c r="J623" t="str">
        <f>_xlfn.XLOOKUP(H623,sellers_2026!A:A,sellers_2026!B:B,,0,)</f>
        <v>feelgood_attire</v>
      </c>
    </row>
    <row r="624" spans="1:10" ht="14.25" customHeight="1" x14ac:dyDescent="0.3">
      <c r="A624" s="2" t="s">
        <v>3002</v>
      </c>
      <c r="B624" s="2" t="s">
        <v>963</v>
      </c>
      <c r="C624" s="2">
        <v>2</v>
      </c>
      <c r="D624" t="str">
        <f>_xlfn.XLOOKUP(order_items!B624,products_2026!A:A,products_2026!C:C,,0,)</f>
        <v>Outdoor</v>
      </c>
      <c r="E624">
        <f>_xlfn.XLOOKUP(B624,products_2026!A:A,products_2026!D:D,,0,)</f>
        <v>20.55</v>
      </c>
      <c r="F624">
        <f t="shared" si="9"/>
        <v>41.1</v>
      </c>
      <c r="G624" t="str">
        <f>_xlfn.XLOOKUP(B624,products_2026!A:A,products_2026!B:B,,0,)</f>
        <v>Stainless Steel Grill Basket</v>
      </c>
      <c r="H624" t="str">
        <f>_xlfn.XLOOKUP(B624,products_2026!A:A,products_2026!E:E,,0,)</f>
        <v>SELL0094</v>
      </c>
      <c r="I624" t="str">
        <f>IFERROR(_xlfn.XLOOKUP(H624,sellers_2026!A:A,sellers_2026!G:G,,0,), "unknown/inactive")</f>
        <v>WA</v>
      </c>
      <c r="J624" t="str">
        <f>_xlfn.XLOOKUP(H624,sellers_2026!A:A,sellers_2026!B:B,,0,)</f>
        <v>excelinall</v>
      </c>
    </row>
    <row r="625" spans="1:10" ht="14.25" customHeight="1" x14ac:dyDescent="0.3">
      <c r="A625" s="2" t="s">
        <v>3003</v>
      </c>
      <c r="B625" s="2" t="s">
        <v>173</v>
      </c>
      <c r="C625" s="2">
        <v>1</v>
      </c>
      <c r="D625" t="str">
        <f>_xlfn.XLOOKUP(order_items!B625,products_2026!A:A,products_2026!C:C,,0,)</f>
        <v>Toys</v>
      </c>
      <c r="E625">
        <f>_xlfn.XLOOKUP(B625,products_2026!A:A,products_2026!D:D,,0,)</f>
        <v>23.3</v>
      </c>
      <c r="F625">
        <f t="shared" si="9"/>
        <v>23.3</v>
      </c>
      <c r="G625" t="str">
        <f>_xlfn.XLOOKUP(B625,products_2026!A:A,products_2026!B:B,,0,)</f>
        <v>Car Controlled Phone Remote</v>
      </c>
      <c r="H625" t="str">
        <f>_xlfn.XLOOKUP(B625,products_2026!A:A,products_2026!E:E,,0,)</f>
        <v>SELL0034</v>
      </c>
      <c r="I625" t="str">
        <f>IFERROR(_xlfn.XLOOKUP(H625,sellers_2026!A:A,sellers_2026!G:G,,0,), "unknown/inactive")</f>
        <v>NT</v>
      </c>
      <c r="J625" t="str">
        <f>_xlfn.XLOOKUP(H625,sellers_2026!A:A,sellers_2026!B:B,,0,)</f>
        <v>outer40</v>
      </c>
    </row>
    <row r="626" spans="1:10" ht="14.25" customHeight="1" x14ac:dyDescent="0.3">
      <c r="A626" s="2" t="s">
        <v>3004</v>
      </c>
      <c r="B626" s="2" t="s">
        <v>726</v>
      </c>
      <c r="C626" s="2">
        <v>1</v>
      </c>
      <c r="D626" t="str">
        <f>_xlfn.XLOOKUP(order_items!B626,products_2026!A:A,products_2026!C:C,,0,)</f>
        <v>Gift_Sets</v>
      </c>
      <c r="E626">
        <f>_xlfn.XLOOKUP(B626,products_2026!A:A,products_2026!D:D,,0,)</f>
        <v>21.81</v>
      </c>
      <c r="F626">
        <f t="shared" si="9"/>
        <v>21.81</v>
      </c>
      <c r="G626" t="str">
        <f>_xlfn.XLOOKUP(B626,products_2026!A:A,products_2026!B:B,,0,)</f>
        <v>White Chocolate Selection Box</v>
      </c>
      <c r="H626" t="str">
        <f>_xlfn.XLOOKUP(B626,products_2026!A:A,products_2026!E:E,,0,)</f>
        <v>SELL0088</v>
      </c>
      <c r="I626" t="str">
        <f>IFERROR(_xlfn.XLOOKUP(H626,sellers_2026!A:A,sellers_2026!G:G,,0,), "unknown/inactive")</f>
        <v>TAS</v>
      </c>
      <c r="J626" t="str">
        <f>_xlfn.XLOOKUP(H626,sellers_2026!A:A,sellers_2026!B:B,,0,)</f>
        <v>7ti9lfa6h5</v>
      </c>
    </row>
    <row r="627" spans="1:10" ht="14.25" customHeight="1" x14ac:dyDescent="0.3">
      <c r="A627" s="2" t="s">
        <v>3005</v>
      </c>
      <c r="B627" s="2" t="s">
        <v>90</v>
      </c>
      <c r="C627" s="2">
        <v>1</v>
      </c>
      <c r="D627" t="str">
        <f>_xlfn.XLOOKUP(order_items!B627,products_2026!A:A,products_2026!C:C,,0,)</f>
        <v>Outdoor</v>
      </c>
      <c r="E627">
        <f>_xlfn.XLOOKUP(B627,products_2026!A:A,products_2026!D:D,,0,)</f>
        <v>43.27</v>
      </c>
      <c r="F627">
        <f t="shared" si="9"/>
        <v>43.27</v>
      </c>
      <c r="G627" t="str">
        <f>_xlfn.XLOOKUP(B627,products_2026!A:A,products_2026!B:B,,0,)</f>
        <v>Solar Garden Light Set (4 pack)</v>
      </c>
      <c r="H627" t="str">
        <f>_xlfn.XLOOKUP(B627,products_2026!A:A,products_2026!E:E,,0,)</f>
        <v>SELL0021</v>
      </c>
      <c r="I627" t="str">
        <f>IFERROR(_xlfn.XLOOKUP(H627,sellers_2026!A:A,sellers_2026!G:G,,0,), "unknown/inactive")</f>
        <v>VIC</v>
      </c>
      <c r="J627" t="str">
        <f>_xlfn.XLOOKUP(H627,sellers_2026!A:A,sellers_2026!B:B,,0,)</f>
        <v>stuff-on-sale</v>
      </c>
    </row>
    <row r="628" spans="1:10" ht="14.25" customHeight="1" x14ac:dyDescent="0.3">
      <c r="A628" s="2" t="s">
        <v>3006</v>
      </c>
      <c r="B628" s="2" t="s">
        <v>231</v>
      </c>
      <c r="C628" s="2">
        <v>2</v>
      </c>
      <c r="D628" t="str">
        <f>_xlfn.XLOOKUP(order_items!B628,products_2026!A:A,products_2026!C:C,,0,)</f>
        <v>Stationery</v>
      </c>
      <c r="E628">
        <f>_xlfn.XLOOKUP(B628,products_2026!A:A,products_2026!D:D,,0,)</f>
        <v>12.88</v>
      </c>
      <c r="F628">
        <f t="shared" si="9"/>
        <v>25.76</v>
      </c>
      <c r="G628" t="str">
        <f>_xlfn.XLOOKUP(B628,products_2026!A:A,products_2026!B:B,,0,)</f>
        <v>Highlighter Set Pens Yellow</v>
      </c>
      <c r="H628" t="str">
        <f>_xlfn.XLOOKUP(B628,products_2026!A:A,products_2026!E:E,,0,)</f>
        <v>SELL0040</v>
      </c>
      <c r="I628" t="str">
        <f>IFERROR(_xlfn.XLOOKUP(H628,sellers_2026!A:A,sellers_2026!G:G,,0,), "unknown/inactive")</f>
        <v>TAS</v>
      </c>
      <c r="J628" t="str">
        <f>_xlfn.XLOOKUP(H628,sellers_2026!A:A,sellers_2026!B:B,,0,)</f>
        <v>cheapandgood27</v>
      </c>
    </row>
    <row r="629" spans="1:10" ht="14.25" customHeight="1" x14ac:dyDescent="0.3">
      <c r="A629" s="2" t="s">
        <v>3006</v>
      </c>
      <c r="B629" s="2" t="s">
        <v>470</v>
      </c>
      <c r="C629" s="2">
        <v>2</v>
      </c>
      <c r="D629" t="str">
        <f>_xlfn.XLOOKUP(order_items!B629,products_2026!A:A,products_2026!C:C,,0,)</f>
        <v>Outdoor</v>
      </c>
      <c r="E629">
        <f>_xlfn.XLOOKUP(B629,products_2026!A:A,products_2026!D:D,,0,)</f>
        <v>30.95</v>
      </c>
      <c r="F629">
        <f t="shared" si="9"/>
        <v>61.9</v>
      </c>
      <c r="G629" t="str">
        <f>_xlfn.XLOOKUP(B629,products_2026!A:A,products_2026!B:B,,0,)</f>
        <v>BBQ Cleaning Brush</v>
      </c>
      <c r="H629" t="str">
        <f>_xlfn.XLOOKUP(B629,products_2026!A:A,products_2026!E:E,,0,)</f>
        <v>SELL0067</v>
      </c>
      <c r="I629" t="str">
        <f>IFERROR(_xlfn.XLOOKUP(H629,sellers_2026!A:A,sellers_2026!G:G,,0,), "unknown/inactive")</f>
        <v>WA</v>
      </c>
      <c r="J629" t="str">
        <f>_xlfn.XLOOKUP(H629,sellers_2026!A:A,sellers_2026!B:B,,0,)</f>
        <v>w71bv3mee1</v>
      </c>
    </row>
    <row r="630" spans="1:10" ht="14.25" customHeight="1" x14ac:dyDescent="0.3">
      <c r="A630" s="2" t="s">
        <v>3006</v>
      </c>
      <c r="B630" s="2" t="s">
        <v>559</v>
      </c>
      <c r="C630" s="2">
        <v>1</v>
      </c>
      <c r="D630" t="str">
        <f>_xlfn.XLOOKUP(order_items!B630,products_2026!A:A,products_2026!C:C,,0,)</f>
        <v>Outdoor</v>
      </c>
      <c r="E630">
        <f>_xlfn.XLOOKUP(B630,products_2026!A:A,products_2026!D:D,,0,)</f>
        <v>51.74</v>
      </c>
      <c r="F630">
        <f t="shared" si="9"/>
        <v>51.74</v>
      </c>
      <c r="G630" t="str">
        <f>_xlfn.XLOOKUP(B630,products_2026!A:A,products_2026!B:B,,0,)</f>
        <v>Garden Ornament Frog</v>
      </c>
      <c r="H630" t="str">
        <f>_xlfn.XLOOKUP(B630,products_2026!A:A,products_2026!E:E,,0,)</f>
        <v>SELL0077</v>
      </c>
      <c r="I630" t="str">
        <f>IFERROR(_xlfn.XLOOKUP(H630,sellers_2026!A:A,sellers_2026!G:G,,0,), "unknown/inactive")</f>
        <v>ACT</v>
      </c>
      <c r="J630" t="str">
        <f>_xlfn.XLOOKUP(H630,sellers_2026!A:A,sellers_2026!B:B,,0,)</f>
        <v>doorsyout</v>
      </c>
    </row>
    <row r="631" spans="1:10" ht="14.25" customHeight="1" x14ac:dyDescent="0.3">
      <c r="A631" s="2" t="s">
        <v>3006</v>
      </c>
      <c r="B631" s="2" t="s">
        <v>630</v>
      </c>
      <c r="C631" s="2">
        <v>1</v>
      </c>
      <c r="D631" t="str">
        <f>_xlfn.XLOOKUP(order_items!B631,products_2026!A:A,products_2026!C:C,,0,)</f>
        <v>Beauty</v>
      </c>
      <c r="E631">
        <f>_xlfn.XLOOKUP(B631,products_2026!A:A,products_2026!D:D,,0,)</f>
        <v>13.25</v>
      </c>
      <c r="F631">
        <f t="shared" si="9"/>
        <v>13.25</v>
      </c>
      <c r="G631" t="str">
        <f>_xlfn.XLOOKUP(B631,products_2026!A:A,products_2026!B:B,,0,)</f>
        <v>Aloe Vera Gel 150ml 2 pack</v>
      </c>
      <c r="H631" t="str">
        <f>_xlfn.XLOOKUP(B631,products_2026!A:A,products_2026!E:E,,0,)</f>
        <v>SELL0086</v>
      </c>
      <c r="I631" t="str">
        <f>IFERROR(_xlfn.XLOOKUP(H631,sellers_2026!A:A,sellers_2026!G:G,,0,), "unknown/inactive")</f>
        <v>VIC</v>
      </c>
      <c r="J631" t="str">
        <f>_xlfn.XLOOKUP(H631,sellers_2026!A:A,sellers_2026!B:B,,0,)</f>
        <v>clothesforlife</v>
      </c>
    </row>
    <row r="632" spans="1:10" ht="14.25" customHeight="1" x14ac:dyDescent="0.3">
      <c r="A632" s="2" t="s">
        <v>3007</v>
      </c>
      <c r="B632" s="2" t="s">
        <v>57</v>
      </c>
      <c r="C632" s="2">
        <v>1</v>
      </c>
      <c r="D632" t="str">
        <f>_xlfn.XLOOKUP(order_items!B632,products_2026!A:A,products_2026!C:C,,0,)</f>
        <v>Outdoor</v>
      </c>
      <c r="E632">
        <f>_xlfn.XLOOKUP(B632,products_2026!A:A,products_2026!D:D,,0,)</f>
        <v>13.71</v>
      </c>
      <c r="F632">
        <f t="shared" si="9"/>
        <v>13.71</v>
      </c>
      <c r="G632" t="str">
        <f>_xlfn.XLOOKUP(B632,products_2026!A:A,products_2026!B:B,,0,)</f>
        <v>BBQ Skewers - 12 pack (Bamboo)</v>
      </c>
      <c r="H632" t="str">
        <f>_xlfn.XLOOKUP(B632,products_2026!A:A,products_2026!E:E,,0,)</f>
        <v>SELL0016</v>
      </c>
      <c r="I632" t="str">
        <f>IFERROR(_xlfn.XLOOKUP(H632,sellers_2026!A:A,sellers_2026!G:G,,0,), "unknown/inactive")</f>
        <v>TAS</v>
      </c>
      <c r="J632" t="str">
        <f>_xlfn.XLOOKUP(H632,sellers_2026!A:A,sellers_2026!B:B,,0,)</f>
        <v>abracadabra_002</v>
      </c>
    </row>
    <row r="633" spans="1:10" ht="14.25" customHeight="1" x14ac:dyDescent="0.3">
      <c r="A633" s="2" t="s">
        <v>3009</v>
      </c>
      <c r="B633" s="2" t="s">
        <v>45</v>
      </c>
      <c r="C633" s="2">
        <v>2</v>
      </c>
      <c r="D633" t="str">
        <f>_xlfn.XLOOKUP(order_items!B633,products_2026!A:A,products_2026!C:C,,0,)</f>
        <v>Health</v>
      </c>
      <c r="E633">
        <f>_xlfn.XLOOKUP(B633,products_2026!A:A,products_2026!D:D,,0,)</f>
        <v>37.4</v>
      </c>
      <c r="F633">
        <f t="shared" si="9"/>
        <v>74.8</v>
      </c>
      <c r="G633" t="str">
        <f>_xlfn.XLOOKUP(B633,products_2026!A:A,products_2026!B:B,,0,)</f>
        <v>Heat Therapy Pad</v>
      </c>
      <c r="H633" t="str">
        <f>_xlfn.XLOOKUP(B633,products_2026!A:A,products_2026!E:E,,0,)</f>
        <v>SELL0011</v>
      </c>
      <c r="I633" t="str">
        <f>IFERROR(_xlfn.XLOOKUP(H633,sellers_2026!A:A,sellers_2026!G:G,,0,), "unknown/inactive")</f>
        <v>QLD</v>
      </c>
      <c r="J633" t="str">
        <f>_xlfn.XLOOKUP(H633,sellers_2026!A:A,sellers_2026!B:B,,0,)</f>
        <v>dr-green</v>
      </c>
    </row>
    <row r="634" spans="1:10" ht="14.25" customHeight="1" x14ac:dyDescent="0.3">
      <c r="A634" s="2" t="s">
        <v>3009</v>
      </c>
      <c r="B634" s="2" t="s">
        <v>114</v>
      </c>
      <c r="C634" s="2">
        <v>1</v>
      </c>
      <c r="D634" t="str">
        <f>_xlfn.XLOOKUP(order_items!B634,products_2026!A:A,products_2026!C:C,,0,)</f>
        <v>Outdoor</v>
      </c>
      <c r="E634">
        <f>_xlfn.XLOOKUP(B634,products_2026!A:A,products_2026!D:D,,0,)</f>
        <v>38.39</v>
      </c>
      <c r="F634">
        <f t="shared" si="9"/>
        <v>38.39</v>
      </c>
      <c r="G634" t="str">
        <f>_xlfn.XLOOKUP(B634,products_2026!A:A,products_2026!B:B,,0,)</f>
        <v>Fairy Lights Outdoor Garden String 100</v>
      </c>
      <c r="H634" t="str">
        <f>_xlfn.XLOOKUP(B634,products_2026!A:A,products_2026!E:E,,0,)</f>
        <v>SELL0023</v>
      </c>
      <c r="I634" t="str">
        <f>IFERROR(_xlfn.XLOOKUP(H634,sellers_2026!A:A,sellers_2026!G:G,,0,), "unknown/inactive")</f>
        <v>VIC</v>
      </c>
      <c r="J634" t="str">
        <f>_xlfn.XLOOKUP(H634,sellers_2026!A:A,sellers_2026!B:B,,0,)</f>
        <v>cleaning_out_my_shed</v>
      </c>
    </row>
    <row r="635" spans="1:10" ht="14.25" customHeight="1" x14ac:dyDescent="0.3">
      <c r="A635" s="2" t="s">
        <v>3009</v>
      </c>
      <c r="B635" s="2" t="s">
        <v>748</v>
      </c>
      <c r="C635" s="2">
        <v>1</v>
      </c>
      <c r="D635" t="str">
        <f>_xlfn.XLOOKUP(order_items!B635,products_2026!A:A,products_2026!C:C,,0,)</f>
        <v>Health</v>
      </c>
      <c r="E635">
        <f>_xlfn.XLOOKUP(B635,products_2026!A:A,products_2026!D:D,,0,)</f>
        <v>75.05</v>
      </c>
      <c r="F635">
        <f t="shared" si="9"/>
        <v>75.05</v>
      </c>
      <c r="G635" t="str">
        <f>_xlfn.XLOOKUP(B635,products_2026!A:A,products_2026!B:B,,0,)</f>
        <v>Blood Pressure Monitor bluetooth</v>
      </c>
      <c r="H635" t="str">
        <f>_xlfn.XLOOKUP(B635,products_2026!A:A,products_2026!E:E,,0,)</f>
        <v>SELL0089</v>
      </c>
      <c r="I635" t="str">
        <f>IFERROR(_xlfn.XLOOKUP(H635,sellers_2026!A:A,sellers_2026!G:G,,0,), "unknown/inactive")</f>
        <v>QLD</v>
      </c>
      <c r="J635" t="str">
        <f>_xlfn.XLOOKUP(H635,sellers_2026!A:A,sellers_2026!B:B,,0,)</f>
        <v>pyrurodqk4</v>
      </c>
    </row>
    <row r="636" spans="1:10" ht="14.25" customHeight="1" x14ac:dyDescent="0.3">
      <c r="A636" s="2" t="s">
        <v>3010</v>
      </c>
      <c r="B636" s="2" t="s">
        <v>92</v>
      </c>
      <c r="C636" s="2">
        <v>2</v>
      </c>
      <c r="D636" t="str">
        <f>_xlfn.XLOOKUP(order_items!B636,products_2026!A:A,products_2026!C:C,,0,)</f>
        <v>Outdoor</v>
      </c>
      <c r="E636">
        <f>_xlfn.XLOOKUP(B636,products_2026!A:A,products_2026!D:D,,0,)</f>
        <v>115.39</v>
      </c>
      <c r="F636">
        <f t="shared" si="9"/>
        <v>230.78</v>
      </c>
      <c r="G636" t="str">
        <f>_xlfn.XLOOKUP(B636,products_2026!A:A,products_2026!B:B,,0,)</f>
        <v>Solar Garden Light Set (8 pack)</v>
      </c>
      <c r="H636" t="str">
        <f>_xlfn.XLOOKUP(B636,products_2026!A:A,products_2026!E:E,,0,)</f>
        <v>SELL0021</v>
      </c>
      <c r="I636" t="str">
        <f>IFERROR(_xlfn.XLOOKUP(H636,sellers_2026!A:A,sellers_2026!G:G,,0,), "unknown/inactive")</f>
        <v>VIC</v>
      </c>
      <c r="J636" t="str">
        <f>_xlfn.XLOOKUP(H636,sellers_2026!A:A,sellers_2026!B:B,,0,)</f>
        <v>stuff-on-sale</v>
      </c>
    </row>
    <row r="637" spans="1:10" ht="14.25" customHeight="1" x14ac:dyDescent="0.3">
      <c r="A637" s="2" t="s">
        <v>3010</v>
      </c>
      <c r="B637" s="2" t="s">
        <v>233</v>
      </c>
      <c r="C637" s="2">
        <v>1</v>
      </c>
      <c r="D637" t="str">
        <f>_xlfn.XLOOKUP(order_items!B637,products_2026!A:A,products_2026!C:C,,0,)</f>
        <v>Outdoor</v>
      </c>
      <c r="E637">
        <f>_xlfn.XLOOKUP(B637,products_2026!A:A,products_2026!D:D,,0,)</f>
        <v>40.83</v>
      </c>
      <c r="F637">
        <f t="shared" si="9"/>
        <v>40.83</v>
      </c>
      <c r="G637" t="str">
        <f>_xlfn.XLOOKUP(B637,products_2026!A:A,products_2026!B:B,,0,)</f>
        <v>BBQ Cleaning Fluid</v>
      </c>
      <c r="H637" t="str">
        <f>_xlfn.XLOOKUP(B637,products_2026!A:A,products_2026!E:E,,0,)</f>
        <v>SELL0040</v>
      </c>
      <c r="I637" t="str">
        <f>IFERROR(_xlfn.XLOOKUP(H637,sellers_2026!A:A,sellers_2026!G:G,,0,), "unknown/inactive")</f>
        <v>TAS</v>
      </c>
      <c r="J637" t="str">
        <f>_xlfn.XLOOKUP(H637,sellers_2026!A:A,sellers_2026!B:B,,0,)</f>
        <v>cheapandgood27</v>
      </c>
    </row>
    <row r="638" spans="1:10" ht="14.25" customHeight="1" x14ac:dyDescent="0.3">
      <c r="A638" s="2" t="s">
        <v>3010</v>
      </c>
      <c r="B638" s="2" t="s">
        <v>621</v>
      </c>
      <c r="C638" s="2">
        <v>1</v>
      </c>
      <c r="D638" t="str">
        <f>_xlfn.XLOOKUP(order_items!B638,products_2026!A:A,products_2026!C:C,,0,)</f>
        <v>Beauty</v>
      </c>
      <c r="E638">
        <f>_xlfn.XLOOKUP(B638,products_2026!A:A,products_2026!D:D,,0,)</f>
        <v>16.11</v>
      </c>
      <c r="F638">
        <f t="shared" si="9"/>
        <v>16.11</v>
      </c>
      <c r="G638" t="str">
        <f>_xlfn.XLOOKUP(B638,products_2026!A:A,products_2026!B:B,,0,)</f>
        <v>Vitamin C Serum 200ml</v>
      </c>
      <c r="H638" t="str">
        <f>_xlfn.XLOOKUP(B638,products_2026!A:A,products_2026!E:E,,0,)</f>
        <v>SELL0085</v>
      </c>
      <c r="I638" t="str">
        <f>IFERROR(_xlfn.XLOOKUP(H638,sellers_2026!A:A,sellers_2026!G:G,,0,), "unknown/inactive")</f>
        <v>NSW</v>
      </c>
      <c r="J638" t="str">
        <f>_xlfn.XLOOKUP(H638,sellers_2026!A:A,sellers_2026!B:B,,0,)</f>
        <v>3n2ybcn0e4</v>
      </c>
    </row>
    <row r="639" spans="1:10" ht="14.25" customHeight="1" x14ac:dyDescent="0.3">
      <c r="A639" s="2" t="s">
        <v>3011</v>
      </c>
      <c r="B639" s="2" t="s">
        <v>849</v>
      </c>
      <c r="C639" s="2">
        <v>1</v>
      </c>
      <c r="D639" t="str">
        <f>_xlfn.XLOOKUP(order_items!B639,products_2026!A:A,products_2026!C:C,,0,)</f>
        <v>Home</v>
      </c>
      <c r="E639">
        <f>_xlfn.XLOOKUP(B639,products_2026!A:A,products_2026!D:D,,0,)</f>
        <v>21.89</v>
      </c>
      <c r="F639">
        <f t="shared" si="9"/>
        <v>21.89</v>
      </c>
      <c r="G639" t="str">
        <f>_xlfn.XLOOKUP(B639,products_2026!A:A,products_2026!B:B,,0,)</f>
        <v>Decorative Cushion - Blue 60 x 60</v>
      </c>
      <c r="H639" t="str">
        <f>_xlfn.XLOOKUP(B639,products_2026!A:A,products_2026!E:E,,0,)</f>
        <v>SELL0091</v>
      </c>
      <c r="I639" t="str">
        <f>IFERROR(_xlfn.XLOOKUP(H639,sellers_2026!A:A,sellers_2026!G:G,,0,), "unknown/inactive")</f>
        <v>TAS</v>
      </c>
      <c r="J639" t="str">
        <f>_xlfn.XLOOKUP(H639,sellers_2026!A:A,sellers_2026!B:B,,0,)</f>
        <v>beautifullhome</v>
      </c>
    </row>
    <row r="640" spans="1:10" ht="14.25" customHeight="1" x14ac:dyDescent="0.3">
      <c r="A640" s="2" t="s">
        <v>3012</v>
      </c>
      <c r="B640" s="2" t="s">
        <v>114</v>
      </c>
      <c r="C640" s="2">
        <v>1</v>
      </c>
      <c r="D640" t="str">
        <f>_xlfn.XLOOKUP(order_items!B640,products_2026!A:A,products_2026!C:C,,0,)</f>
        <v>Outdoor</v>
      </c>
      <c r="E640">
        <f>_xlfn.XLOOKUP(B640,products_2026!A:A,products_2026!D:D,,0,)</f>
        <v>38.39</v>
      </c>
      <c r="F640">
        <f t="shared" si="9"/>
        <v>38.39</v>
      </c>
      <c r="G640" t="str">
        <f>_xlfn.XLOOKUP(B640,products_2026!A:A,products_2026!B:B,,0,)</f>
        <v>Fairy Lights Outdoor Garden String 100</v>
      </c>
      <c r="H640" t="str">
        <f>_xlfn.XLOOKUP(B640,products_2026!A:A,products_2026!E:E,,0,)</f>
        <v>SELL0023</v>
      </c>
      <c r="I640" t="str">
        <f>IFERROR(_xlfn.XLOOKUP(H640,sellers_2026!A:A,sellers_2026!G:G,,0,), "unknown/inactive")</f>
        <v>VIC</v>
      </c>
      <c r="J640" t="str">
        <f>_xlfn.XLOOKUP(H640,sellers_2026!A:A,sellers_2026!B:B,,0,)</f>
        <v>cleaning_out_my_shed</v>
      </c>
    </row>
    <row r="641" spans="1:10" ht="14.25" customHeight="1" x14ac:dyDescent="0.3">
      <c r="A641" s="2" t="s">
        <v>3013</v>
      </c>
      <c r="B641" s="2" t="s">
        <v>57</v>
      </c>
      <c r="C641" s="2">
        <v>2</v>
      </c>
      <c r="D641" t="str">
        <f>_xlfn.XLOOKUP(order_items!B641,products_2026!A:A,products_2026!C:C,,0,)</f>
        <v>Outdoor</v>
      </c>
      <c r="E641">
        <f>_xlfn.XLOOKUP(B641,products_2026!A:A,products_2026!D:D,,0,)</f>
        <v>13.71</v>
      </c>
      <c r="F641">
        <f t="shared" si="9"/>
        <v>27.42</v>
      </c>
      <c r="G641" t="str">
        <f>_xlfn.XLOOKUP(B641,products_2026!A:A,products_2026!B:B,,0,)</f>
        <v>BBQ Skewers - 12 pack (Bamboo)</v>
      </c>
      <c r="H641" t="str">
        <f>_xlfn.XLOOKUP(B641,products_2026!A:A,products_2026!E:E,,0,)</f>
        <v>SELL0016</v>
      </c>
      <c r="I641" t="str">
        <f>IFERROR(_xlfn.XLOOKUP(H641,sellers_2026!A:A,sellers_2026!G:G,,0,), "unknown/inactive")</f>
        <v>TAS</v>
      </c>
      <c r="J641" t="str">
        <f>_xlfn.XLOOKUP(H641,sellers_2026!A:A,sellers_2026!B:B,,0,)</f>
        <v>abracadabra_002</v>
      </c>
    </row>
    <row r="642" spans="1:10" ht="14.25" customHeight="1" x14ac:dyDescent="0.3">
      <c r="A642" s="2" t="s">
        <v>3013</v>
      </c>
      <c r="B642" s="2" t="s">
        <v>548</v>
      </c>
      <c r="C642" s="2">
        <v>2</v>
      </c>
      <c r="D642" t="str">
        <f>_xlfn.XLOOKUP(order_items!B642,products_2026!A:A,products_2026!C:C,,0,)</f>
        <v>Clothes</v>
      </c>
      <c r="E642">
        <f>_xlfn.XLOOKUP(B642,products_2026!A:A,products_2026!D:D,,0,)</f>
        <v>20.75</v>
      </c>
      <c r="F642">
        <f t="shared" si="9"/>
        <v>41.5</v>
      </c>
      <c r="G642" t="str">
        <f>_xlfn.XLOOKUP(B642,products_2026!A:A,products_2026!B:B,,0,)</f>
        <v>Wool Beanie - Blue</v>
      </c>
      <c r="H642" t="str">
        <f>_xlfn.XLOOKUP(B642,products_2026!A:A,products_2026!E:E,,0,)</f>
        <v>SELL0039</v>
      </c>
      <c r="I642" t="str">
        <f>IFERROR(_xlfn.XLOOKUP(H642,sellers_2026!A:A,sellers_2026!G:G,,0,), "unknown/inactive")</f>
        <v>QLD</v>
      </c>
      <c r="J642" t="str">
        <f>_xlfn.XLOOKUP(H642,sellers_2026!A:A,sellers_2026!B:B,,0,)</f>
        <v>zmkizlf6t6</v>
      </c>
    </row>
    <row r="643" spans="1:10" ht="14.25" customHeight="1" x14ac:dyDescent="0.3">
      <c r="A643" s="2" t="s">
        <v>3014</v>
      </c>
      <c r="B643" s="2" t="s">
        <v>37</v>
      </c>
      <c r="C643" s="2">
        <v>1</v>
      </c>
      <c r="D643" t="str">
        <f>_xlfn.XLOOKUP(order_items!B643,products_2026!A:A,products_2026!C:C,,0,)</f>
        <v>Clothes</v>
      </c>
      <c r="E643">
        <f>_xlfn.XLOOKUP(B643,products_2026!A:A,products_2026!D:D,,0,)</f>
        <v>30.71</v>
      </c>
      <c r="F643">
        <f t="shared" ref="F643:F706" si="10">C643*E643</f>
        <v>30.71</v>
      </c>
      <c r="G643" t="str">
        <f>_xlfn.XLOOKUP(B643,products_2026!A:A,products_2026!B:B,,0,)</f>
        <v>Summer Dress - Floral</v>
      </c>
      <c r="H643" t="str">
        <f>_xlfn.XLOOKUP(B643,products_2026!A:A,products_2026!E:E,,0,)</f>
        <v>SELL0008</v>
      </c>
      <c r="I643" t="str">
        <f>IFERROR(_xlfn.XLOOKUP(H643,sellers_2026!A:A,sellers_2026!G:G,,0,), "unknown/inactive")</f>
        <v>QLD</v>
      </c>
      <c r="J643" t="str">
        <f>_xlfn.XLOOKUP(H643,sellers_2026!A:A,sellers_2026!B:B,,0,)</f>
        <v>peterpiper</v>
      </c>
    </row>
    <row r="644" spans="1:10" ht="14.25" customHeight="1" x14ac:dyDescent="0.3">
      <c r="A644" s="2" t="s">
        <v>3014</v>
      </c>
      <c r="B644" s="2" t="s">
        <v>279</v>
      </c>
      <c r="C644" s="2">
        <v>1</v>
      </c>
      <c r="D644" t="str">
        <f>_xlfn.XLOOKUP(order_items!B644,products_2026!A:A,products_2026!C:C,,0,)</f>
        <v>Outdoor</v>
      </c>
      <c r="E644">
        <f>_xlfn.XLOOKUP(B644,products_2026!A:A,products_2026!D:D,,0,)</f>
        <v>55.56</v>
      </c>
      <c r="F644">
        <f t="shared" si="10"/>
        <v>55.56</v>
      </c>
      <c r="G644" t="str">
        <f>_xlfn.XLOOKUP(B644,products_2026!A:A,products_2026!B:B,,0,)</f>
        <v>Waterproof Mat Beach</v>
      </c>
      <c r="H644" t="str">
        <f>_xlfn.XLOOKUP(B644,products_2026!A:A,products_2026!E:E,,0,)</f>
        <v>SELL0044</v>
      </c>
      <c r="I644" t="str">
        <f>IFERROR(_xlfn.XLOOKUP(H644,sellers_2026!A:A,sellers_2026!G:G,,0,), "unknown/inactive")</f>
        <v>QLD</v>
      </c>
      <c r="J644" t="str">
        <f>_xlfn.XLOOKUP(H644,sellers_2026!A:A,sellers_2026!B:B,,0,)</f>
        <v>everything_nmore</v>
      </c>
    </row>
    <row r="645" spans="1:10" ht="14.25" customHeight="1" x14ac:dyDescent="0.3">
      <c r="A645" s="2" t="s">
        <v>3015</v>
      </c>
      <c r="B645" s="2" t="s">
        <v>181</v>
      </c>
      <c r="C645" s="2">
        <v>1</v>
      </c>
      <c r="D645" t="str">
        <f>_xlfn.XLOOKUP(order_items!B645,products_2026!A:A,products_2026!C:C,,0,)</f>
        <v>Outdoor</v>
      </c>
      <c r="E645">
        <f>_xlfn.XLOOKUP(B645,products_2026!A:A,products_2026!D:D,,0,)</f>
        <v>117.79</v>
      </c>
      <c r="F645">
        <f t="shared" si="10"/>
        <v>117.79</v>
      </c>
      <c r="G645" t="str">
        <f>_xlfn.XLOOKUP(B645,products_2026!A:A,products_2026!B:B,,0,)</f>
        <v>Portable Mini Grill</v>
      </c>
      <c r="H645" t="str">
        <f>_xlfn.XLOOKUP(B645,products_2026!A:A,products_2026!E:E,,0,)</f>
        <v>SELL0035</v>
      </c>
      <c r="I645" t="str">
        <f>IFERROR(_xlfn.XLOOKUP(H645,sellers_2026!A:A,sellers_2026!G:G,,0,), "unknown/inactive")</f>
        <v>ACT</v>
      </c>
      <c r="J645" t="str">
        <f>_xlfn.XLOOKUP(H645,sellers_2026!A:A,sellers_2026!B:B,,0,)</f>
        <v>maddie-sells</v>
      </c>
    </row>
    <row r="646" spans="1:10" ht="14.25" customHeight="1" x14ac:dyDescent="0.3">
      <c r="A646" s="2" t="s">
        <v>3016</v>
      </c>
      <c r="B646" s="2" t="s">
        <v>603</v>
      </c>
      <c r="C646" s="2">
        <v>1</v>
      </c>
      <c r="D646" t="str">
        <f>_xlfn.XLOOKUP(order_items!B646,products_2026!A:A,products_2026!C:C,,0,)</f>
        <v>Beauty</v>
      </c>
      <c r="E646">
        <f>_xlfn.XLOOKUP(B646,products_2026!A:A,products_2026!D:D,,0,)</f>
        <v>22.28</v>
      </c>
      <c r="F646">
        <f t="shared" si="10"/>
        <v>22.28</v>
      </c>
      <c r="G646" t="str">
        <f>_xlfn.XLOOKUP(B646,products_2026!A:A,products_2026!B:B,,0,)</f>
        <v>Hair Strengthening Mask shea butter</v>
      </c>
      <c r="H646" t="str">
        <f>_xlfn.XLOOKUP(B646,products_2026!A:A,products_2026!E:E,,0,)</f>
        <v>SELL0082</v>
      </c>
      <c r="I646" t="str">
        <f>IFERROR(_xlfn.XLOOKUP(H646,sellers_2026!A:A,sellers_2026!G:G,,0,), "unknown/inactive")</f>
        <v>NSW</v>
      </c>
      <c r="J646" t="str">
        <f>_xlfn.XLOOKUP(H646,sellers_2026!A:A,sellers_2026!B:B,,0,)</f>
        <v>blessedforall</v>
      </c>
    </row>
    <row r="647" spans="1:10" ht="14.25" customHeight="1" x14ac:dyDescent="0.3">
      <c r="A647" s="2" t="s">
        <v>3017</v>
      </c>
      <c r="B647" s="2" t="s">
        <v>226</v>
      </c>
      <c r="C647" s="2">
        <v>1</v>
      </c>
      <c r="D647" t="str">
        <f>_xlfn.XLOOKUP(order_items!B647,products_2026!A:A,products_2026!C:C,,0,)</f>
        <v>Clothes</v>
      </c>
      <c r="E647">
        <f>_xlfn.XLOOKUP(B647,products_2026!A:A,products_2026!D:D,,0,)</f>
        <v>27.76</v>
      </c>
      <c r="F647">
        <f t="shared" si="10"/>
        <v>27.76</v>
      </c>
      <c r="G647" t="str">
        <f>_xlfn.XLOOKUP(B647,products_2026!A:A,products_2026!B:B,,0,)</f>
        <v>T‑Shirt XL Polycotton Black</v>
      </c>
      <c r="H647" t="str">
        <f>_xlfn.XLOOKUP(B647,products_2026!A:A,products_2026!E:E,,0,)</f>
        <v>SELL0039</v>
      </c>
      <c r="I647" t="str">
        <f>IFERROR(_xlfn.XLOOKUP(H647,sellers_2026!A:A,sellers_2026!G:G,,0,), "unknown/inactive")</f>
        <v>QLD</v>
      </c>
      <c r="J647" t="str">
        <f>_xlfn.XLOOKUP(H647,sellers_2026!A:A,sellers_2026!B:B,,0,)</f>
        <v>zmkizlf6t6</v>
      </c>
    </row>
    <row r="648" spans="1:10" ht="14.25" customHeight="1" x14ac:dyDescent="0.3">
      <c r="A648" s="2" t="s">
        <v>3017</v>
      </c>
      <c r="B648" s="2" t="s">
        <v>492</v>
      </c>
      <c r="C648" s="2">
        <v>1</v>
      </c>
      <c r="D648" t="str">
        <f>_xlfn.XLOOKUP(order_items!B648,products_2026!A:A,products_2026!C:C,,0,)</f>
        <v>Clothes</v>
      </c>
      <c r="E648">
        <f>_xlfn.XLOOKUP(B648,products_2026!A:A,products_2026!D:D,,0,)</f>
        <v>53.17</v>
      </c>
      <c r="F648">
        <f t="shared" si="10"/>
        <v>53.17</v>
      </c>
      <c r="G648" t="str">
        <f>_xlfn.XLOOKUP(B648,products_2026!A:A,products_2026!B:B,,0,)</f>
        <v>Unisex Hoodie - Navy XL</v>
      </c>
      <c r="H648" t="str">
        <f>_xlfn.XLOOKUP(B648,products_2026!A:A,products_2026!E:E,,0,)</f>
        <v>SELL0070</v>
      </c>
      <c r="I648" t="str">
        <f>IFERROR(_xlfn.XLOOKUP(H648,sellers_2026!A:A,sellers_2026!G:G,,0,), "unknown/inactive")</f>
        <v>QLD</v>
      </c>
      <c r="J648" t="str">
        <f>_xlfn.XLOOKUP(H648,sellers_2026!A:A,sellers_2026!B:B,,0,)</f>
        <v>homeandaways</v>
      </c>
    </row>
    <row r="649" spans="1:10" ht="14.25" customHeight="1" x14ac:dyDescent="0.3">
      <c r="A649" s="2" t="s">
        <v>3018</v>
      </c>
      <c r="B649" s="2" t="s">
        <v>596</v>
      </c>
      <c r="C649" s="2">
        <v>1</v>
      </c>
      <c r="D649" t="str">
        <f>_xlfn.XLOOKUP(order_items!B649,products_2026!A:A,products_2026!C:C,,0,)</f>
        <v>Outdoor</v>
      </c>
      <c r="E649">
        <f>_xlfn.XLOOKUP(B649,products_2026!A:A,products_2026!D:D,,0,)</f>
        <v>48.14</v>
      </c>
      <c r="F649">
        <f t="shared" si="10"/>
        <v>48.14</v>
      </c>
      <c r="G649" t="str">
        <f>_xlfn.XLOOKUP(B649,products_2026!A:A,products_2026!B:B,,0,)</f>
        <v>Disposible Mini Grill</v>
      </c>
      <c r="H649" t="str">
        <f>_xlfn.XLOOKUP(B649,products_2026!A:A,products_2026!E:E,,0,)</f>
        <v>SELL0081</v>
      </c>
      <c r="I649" t="str">
        <f>IFERROR(_xlfn.XLOOKUP(H649,sellers_2026!A:A,sellers_2026!G:G,,0,), "unknown/inactive")</f>
        <v>QLD</v>
      </c>
      <c r="J649" t="str">
        <f>_xlfn.XLOOKUP(H649,sellers_2026!A:A,sellers_2026!B:B,,0,)</f>
        <v>brizzy_bonanza_48</v>
      </c>
    </row>
    <row r="650" spans="1:10" ht="14.25" customHeight="1" x14ac:dyDescent="0.3">
      <c r="A650" s="2" t="s">
        <v>3018</v>
      </c>
      <c r="B650" s="2" t="s">
        <v>927</v>
      </c>
      <c r="C650" s="2">
        <v>1</v>
      </c>
      <c r="D650" t="str">
        <f>_xlfn.XLOOKUP(order_items!B650,products_2026!A:A,products_2026!C:C,,0,)</f>
        <v>Outdoor</v>
      </c>
      <c r="E650">
        <f>_xlfn.XLOOKUP(B650,products_2026!A:A,products_2026!D:D,,0,)</f>
        <v>27.32</v>
      </c>
      <c r="F650">
        <f t="shared" si="10"/>
        <v>27.32</v>
      </c>
      <c r="G650" t="str">
        <f>_xlfn.XLOOKUP(B650,products_2026!A:A,products_2026!B:B,,0,)</f>
        <v>Stainless Steel BBQ Tools Set (Green)</v>
      </c>
      <c r="H650" t="str">
        <f>_xlfn.XLOOKUP(B650,products_2026!A:A,products_2026!E:E,,0,)</f>
        <v>SELL0093</v>
      </c>
      <c r="I650" t="str">
        <f>IFERROR(_xlfn.XLOOKUP(H650,sellers_2026!A:A,sellers_2026!G:G,,0,), "unknown/inactive")</f>
        <v>NT</v>
      </c>
      <c r="J650" t="str">
        <f>_xlfn.XLOOKUP(H650,sellers_2026!A:A,sellers_2026!B:B,,0,)</f>
        <v>millies-outdoor-shop</v>
      </c>
    </row>
    <row r="651" spans="1:10" ht="14.25" customHeight="1" x14ac:dyDescent="0.3">
      <c r="A651" s="2" t="s">
        <v>3018</v>
      </c>
      <c r="B651" s="2" t="s">
        <v>953</v>
      </c>
      <c r="C651" s="2">
        <v>1</v>
      </c>
      <c r="D651" t="str">
        <f>_xlfn.XLOOKUP(order_items!B651,products_2026!A:A,products_2026!C:C,,0,)</f>
        <v>Outdoor</v>
      </c>
      <c r="E651">
        <f>_xlfn.XLOOKUP(B651,products_2026!A:A,products_2026!D:D,,0,)</f>
        <v>60.6</v>
      </c>
      <c r="F651">
        <f t="shared" si="10"/>
        <v>60.6</v>
      </c>
      <c r="G651" t="str">
        <f>_xlfn.XLOOKUP(B651,products_2026!A:A,products_2026!B:B,,0,)</f>
        <v>BBQ Grill Mat - Non‑stick (Blue)</v>
      </c>
      <c r="H651" t="str">
        <f>_xlfn.XLOOKUP(B651,products_2026!A:A,products_2026!E:E,,0,)</f>
        <v>SELL0093</v>
      </c>
      <c r="I651" t="str">
        <f>IFERROR(_xlfn.XLOOKUP(H651,sellers_2026!A:A,sellers_2026!G:G,,0,), "unknown/inactive")</f>
        <v>NT</v>
      </c>
      <c r="J651" t="str">
        <f>_xlfn.XLOOKUP(H651,sellers_2026!A:A,sellers_2026!B:B,,0,)</f>
        <v>millies-outdoor-shop</v>
      </c>
    </row>
    <row r="652" spans="1:10" ht="14.25" customHeight="1" x14ac:dyDescent="0.3">
      <c r="A652" s="2" t="s">
        <v>3019</v>
      </c>
      <c r="B652" s="2" t="s">
        <v>90</v>
      </c>
      <c r="C652" s="2">
        <v>1</v>
      </c>
      <c r="D652" t="str">
        <f>_xlfn.XLOOKUP(order_items!B652,products_2026!A:A,products_2026!C:C,,0,)</f>
        <v>Outdoor</v>
      </c>
      <c r="E652">
        <f>_xlfn.XLOOKUP(B652,products_2026!A:A,products_2026!D:D,,0,)</f>
        <v>43.27</v>
      </c>
      <c r="F652">
        <f t="shared" si="10"/>
        <v>43.27</v>
      </c>
      <c r="G652" t="str">
        <f>_xlfn.XLOOKUP(B652,products_2026!A:A,products_2026!B:B,,0,)</f>
        <v>Solar Garden Light Set (4 pack)</v>
      </c>
      <c r="H652" t="str">
        <f>_xlfn.XLOOKUP(B652,products_2026!A:A,products_2026!E:E,,0,)</f>
        <v>SELL0021</v>
      </c>
      <c r="I652" t="str">
        <f>IFERROR(_xlfn.XLOOKUP(H652,sellers_2026!A:A,sellers_2026!G:G,,0,), "unknown/inactive")</f>
        <v>VIC</v>
      </c>
      <c r="J652" t="str">
        <f>_xlfn.XLOOKUP(H652,sellers_2026!A:A,sellers_2026!B:B,,0,)</f>
        <v>stuff-on-sale</v>
      </c>
    </row>
    <row r="653" spans="1:10" ht="14.25" customHeight="1" x14ac:dyDescent="0.3">
      <c r="A653" s="2" t="s">
        <v>3019</v>
      </c>
      <c r="B653" s="2" t="s">
        <v>856</v>
      </c>
      <c r="C653" s="2">
        <v>2</v>
      </c>
      <c r="D653" t="str">
        <f>_xlfn.XLOOKUP(order_items!B653,products_2026!A:A,products_2026!C:C,,0,)</f>
        <v>Home</v>
      </c>
      <c r="E653">
        <f>_xlfn.XLOOKUP(B653,products_2026!A:A,products_2026!D:D,,0,)</f>
        <v>48.51</v>
      </c>
      <c r="F653">
        <f t="shared" si="10"/>
        <v>97.02</v>
      </c>
      <c r="G653" t="str">
        <f>_xlfn.XLOOKUP(B653,products_2026!A:A,products_2026!B:B,,0,)</f>
        <v>Soy Candle Environmentally Friendly Rose</v>
      </c>
      <c r="H653" t="str">
        <f>_xlfn.XLOOKUP(B653,products_2026!A:A,products_2026!E:E,,0,)</f>
        <v>SELL0091</v>
      </c>
      <c r="I653" t="str">
        <f>IFERROR(_xlfn.XLOOKUP(H653,sellers_2026!A:A,sellers_2026!G:G,,0,), "unknown/inactive")</f>
        <v>TAS</v>
      </c>
      <c r="J653" t="str">
        <f>_xlfn.XLOOKUP(H653,sellers_2026!A:A,sellers_2026!B:B,,0,)</f>
        <v>beautifullhome</v>
      </c>
    </row>
    <row r="654" spans="1:10" ht="14.25" customHeight="1" x14ac:dyDescent="0.3">
      <c r="A654" s="2" t="s">
        <v>3019</v>
      </c>
      <c r="B654" s="2" t="s">
        <v>958</v>
      </c>
      <c r="C654" s="2">
        <v>1</v>
      </c>
      <c r="D654" t="str">
        <f>_xlfn.XLOOKUP(order_items!B654,products_2026!A:A,products_2026!C:C,,0,)</f>
        <v>Outdoor</v>
      </c>
      <c r="E654">
        <f>_xlfn.XLOOKUP(B654,products_2026!A:A,products_2026!D:D,,0,)</f>
        <v>26.7</v>
      </c>
      <c r="F654">
        <f t="shared" si="10"/>
        <v>26.7</v>
      </c>
      <c r="G654" t="str">
        <f>_xlfn.XLOOKUP(B654,products_2026!A:A,products_2026!B:B,,0,)</f>
        <v>Waterproof Picnic Mat</v>
      </c>
      <c r="H654" t="str">
        <f>_xlfn.XLOOKUP(B654,products_2026!A:A,products_2026!E:E,,0,)</f>
        <v>SELL0094</v>
      </c>
      <c r="I654" t="str">
        <f>IFERROR(_xlfn.XLOOKUP(H654,sellers_2026!A:A,sellers_2026!G:G,,0,), "unknown/inactive")</f>
        <v>WA</v>
      </c>
      <c r="J654" t="str">
        <f>_xlfn.XLOOKUP(H654,sellers_2026!A:A,sellers_2026!B:B,,0,)</f>
        <v>excelinall</v>
      </c>
    </row>
    <row r="655" spans="1:10" ht="14.25" customHeight="1" x14ac:dyDescent="0.3">
      <c r="A655" s="2" t="s">
        <v>3020</v>
      </c>
      <c r="B655" s="2" t="s">
        <v>158</v>
      </c>
      <c r="C655" s="2">
        <v>1</v>
      </c>
      <c r="D655" t="str">
        <f>_xlfn.XLOOKUP(order_items!B655,products_2026!A:A,products_2026!C:C,,0,)</f>
        <v>Beauty</v>
      </c>
      <c r="E655">
        <f>_xlfn.XLOOKUP(B655,products_2026!A:A,products_2026!D:D,,0,)</f>
        <v>13.58</v>
      </c>
      <c r="F655">
        <f t="shared" si="10"/>
        <v>13.58</v>
      </c>
      <c r="G655" t="str">
        <f>_xlfn.XLOOKUP(B655,products_2026!A:A,products_2026!B:B,,0,)</f>
        <v>Nail Polish - Coral</v>
      </c>
      <c r="H655" t="str">
        <f>_xlfn.XLOOKUP(B655,products_2026!A:A,products_2026!E:E,,0,)</f>
        <v>SELL0033</v>
      </c>
      <c r="I655" t="str">
        <f>IFERROR(_xlfn.XLOOKUP(H655,sellers_2026!A:A,sellers_2026!G:G,,0,), "unknown/inactive")</f>
        <v>NSW</v>
      </c>
      <c r="J655" t="str">
        <f>_xlfn.XLOOKUP(H655,sellers_2026!A:A,sellers_2026!B:B,,0,)</f>
        <v>1bt8plshsf</v>
      </c>
    </row>
    <row r="656" spans="1:10" ht="14.25" customHeight="1" x14ac:dyDescent="0.3">
      <c r="A656" s="2" t="s">
        <v>3020</v>
      </c>
      <c r="B656" s="2" t="s">
        <v>171</v>
      </c>
      <c r="C656" s="2">
        <v>1</v>
      </c>
      <c r="D656" t="str">
        <f>_xlfn.XLOOKUP(order_items!B656,products_2026!A:A,products_2026!C:C,,0,)</f>
        <v>Outdoor</v>
      </c>
      <c r="E656">
        <f>_xlfn.XLOOKUP(B656,products_2026!A:A,products_2026!D:D,,0,)</f>
        <v>21.37</v>
      </c>
      <c r="F656">
        <f t="shared" si="10"/>
        <v>21.37</v>
      </c>
      <c r="G656" t="str">
        <f>_xlfn.XLOOKUP(B656,products_2026!A:A,products_2026!B:B,,0,)</f>
        <v>BBQ Meat Thermometer Battery Powered</v>
      </c>
      <c r="H656" t="str">
        <f>_xlfn.XLOOKUP(B656,products_2026!A:A,products_2026!E:E,,0,)</f>
        <v>SELL0034</v>
      </c>
      <c r="I656" t="str">
        <f>IFERROR(_xlfn.XLOOKUP(H656,sellers_2026!A:A,sellers_2026!G:G,,0,), "unknown/inactive")</f>
        <v>NT</v>
      </c>
      <c r="J656" t="str">
        <f>_xlfn.XLOOKUP(H656,sellers_2026!A:A,sellers_2026!B:B,,0,)</f>
        <v>outer40</v>
      </c>
    </row>
    <row r="657" spans="1:10" ht="14.25" customHeight="1" x14ac:dyDescent="0.3">
      <c r="A657" s="2" t="s">
        <v>3021</v>
      </c>
      <c r="B657" s="2" t="s">
        <v>92</v>
      </c>
      <c r="C657" s="2">
        <v>1</v>
      </c>
      <c r="D657" t="str">
        <f>_xlfn.XLOOKUP(order_items!B657,products_2026!A:A,products_2026!C:C,,0,)</f>
        <v>Outdoor</v>
      </c>
      <c r="E657">
        <f>_xlfn.XLOOKUP(B657,products_2026!A:A,products_2026!D:D,,0,)</f>
        <v>115.39</v>
      </c>
      <c r="F657">
        <f t="shared" si="10"/>
        <v>115.39</v>
      </c>
      <c r="G657" t="str">
        <f>_xlfn.XLOOKUP(B657,products_2026!A:A,products_2026!B:B,,0,)</f>
        <v>Solar Garden Light Set (8 pack)</v>
      </c>
      <c r="H657" t="str">
        <f>_xlfn.XLOOKUP(B657,products_2026!A:A,products_2026!E:E,,0,)</f>
        <v>SELL0021</v>
      </c>
      <c r="I657" t="str">
        <f>IFERROR(_xlfn.XLOOKUP(H657,sellers_2026!A:A,sellers_2026!G:G,,0,), "unknown/inactive")</f>
        <v>VIC</v>
      </c>
      <c r="J657" t="str">
        <f>_xlfn.XLOOKUP(H657,sellers_2026!A:A,sellers_2026!B:B,,0,)</f>
        <v>stuff-on-sale</v>
      </c>
    </row>
    <row r="658" spans="1:10" ht="14.25" customHeight="1" x14ac:dyDescent="0.3">
      <c r="A658" s="2" t="s">
        <v>3021</v>
      </c>
      <c r="B658" s="2" t="s">
        <v>889</v>
      </c>
      <c r="C658" s="2">
        <v>1</v>
      </c>
      <c r="D658" t="str">
        <f>_xlfn.XLOOKUP(order_items!B658,products_2026!A:A,products_2026!C:C,,0,)</f>
        <v>Outdoor</v>
      </c>
      <c r="E658">
        <f>_xlfn.XLOOKUP(B658,products_2026!A:A,products_2026!D:D,,0,)</f>
        <v>10.07</v>
      </c>
      <c r="F658">
        <f t="shared" si="10"/>
        <v>10.07</v>
      </c>
      <c r="G658" t="str">
        <f>_xlfn.XLOOKUP(B658,products_2026!A:A,products_2026!B:B,,0,)</f>
        <v>Bamboo Picnic Rug Recycled Material</v>
      </c>
      <c r="H658" t="str">
        <f>_xlfn.XLOOKUP(B658,products_2026!A:A,products_2026!E:E,,0,)</f>
        <v>SELL0092</v>
      </c>
      <c r="I658" t="str">
        <f>IFERROR(_xlfn.XLOOKUP(H658,sellers_2026!A:A,sellers_2026!G:G,,0,), "unknown/inactive")</f>
        <v>VIC</v>
      </c>
      <c r="J658" t="str">
        <f>_xlfn.XLOOKUP(H658,sellers_2026!A:A,sellers_2026!B:B,,0,)</f>
        <v>dress4beauty</v>
      </c>
    </row>
    <row r="659" spans="1:10" ht="14.25" customHeight="1" x14ac:dyDescent="0.3">
      <c r="A659" s="2" t="s">
        <v>3022</v>
      </c>
      <c r="B659" s="2" t="s">
        <v>73</v>
      </c>
      <c r="C659" s="2">
        <v>1</v>
      </c>
      <c r="D659" t="str">
        <f>_xlfn.XLOOKUP(order_items!B659,products_2026!A:A,products_2026!C:C,,0,)</f>
        <v>Outdoor</v>
      </c>
      <c r="E659">
        <f>_xlfn.XLOOKUP(B659,products_2026!A:A,products_2026!D:D,,0,)</f>
        <v>23.99</v>
      </c>
      <c r="F659">
        <f t="shared" si="10"/>
        <v>23.99</v>
      </c>
      <c r="G659" t="str">
        <f>_xlfn.XLOOKUP(B659,products_2026!A:A,products_2026!B:B,,0,)</f>
        <v>BBQ Skewers - 24 pack (Bamboo)</v>
      </c>
      <c r="H659" t="str">
        <f>_xlfn.XLOOKUP(B659,products_2026!A:A,products_2026!E:E,,0,)</f>
        <v>SELL0018</v>
      </c>
      <c r="I659" t="str">
        <f>IFERROR(_xlfn.XLOOKUP(H659,sellers_2026!A:A,sellers_2026!G:G,,0,), "unknown/inactive")</f>
        <v>NT</v>
      </c>
      <c r="J659" t="str">
        <f>_xlfn.XLOOKUP(H659,sellers_2026!A:A,sellers_2026!B:B,,0,)</f>
        <v>darwin_beauty</v>
      </c>
    </row>
    <row r="660" spans="1:10" ht="14.25" customHeight="1" x14ac:dyDescent="0.3">
      <c r="A660" s="2" t="s">
        <v>3022</v>
      </c>
      <c r="B660" s="2" t="s">
        <v>175</v>
      </c>
      <c r="C660" s="2">
        <v>1</v>
      </c>
      <c r="D660" t="str">
        <f>_xlfn.XLOOKUP(order_items!B660,products_2026!A:A,products_2026!C:C,,0,)</f>
        <v>Gift_Sets</v>
      </c>
      <c r="E660">
        <f>_xlfn.XLOOKUP(B660,products_2026!A:A,products_2026!D:D,,0,)</f>
        <v>16.940000000000001</v>
      </c>
      <c r="F660">
        <f t="shared" si="10"/>
        <v>16.940000000000001</v>
      </c>
      <c r="G660" t="str">
        <f>_xlfn.XLOOKUP(B660,products_2026!A:A,products_2026!B:B,,0,)</f>
        <v>Mini Plant Starter Kit</v>
      </c>
      <c r="H660" t="str">
        <f>_xlfn.XLOOKUP(B660,products_2026!A:A,products_2026!E:E,,0,)</f>
        <v>SELL0034</v>
      </c>
      <c r="I660" t="str">
        <f>IFERROR(_xlfn.XLOOKUP(H660,sellers_2026!A:A,sellers_2026!G:G,,0,), "unknown/inactive")</f>
        <v>NT</v>
      </c>
      <c r="J660" t="str">
        <f>_xlfn.XLOOKUP(H660,sellers_2026!A:A,sellers_2026!B:B,,0,)</f>
        <v>outer40</v>
      </c>
    </row>
    <row r="661" spans="1:10" ht="14.25" customHeight="1" x14ac:dyDescent="0.3">
      <c r="A661" s="2" t="s">
        <v>3022</v>
      </c>
      <c r="B661" s="2" t="s">
        <v>654</v>
      </c>
      <c r="C661" s="2">
        <v>1</v>
      </c>
      <c r="D661" t="str">
        <f>_xlfn.XLOOKUP(order_items!B661,products_2026!A:A,products_2026!C:C,,0,)</f>
        <v>Clothes</v>
      </c>
      <c r="E661">
        <f>_xlfn.XLOOKUP(B661,products_2026!A:A,products_2026!D:D,,0,)</f>
        <v>33.89</v>
      </c>
      <c r="F661">
        <f t="shared" si="10"/>
        <v>33.89</v>
      </c>
      <c r="G661" t="str">
        <f>_xlfn.XLOOKUP(B661,products_2026!A:A,products_2026!B:B,,0,)</f>
        <v>Kids Cotton Pyjamas 9-11y</v>
      </c>
      <c r="H661" t="str">
        <f>_xlfn.XLOOKUP(B661,products_2026!A:A,products_2026!E:E,,0,)</f>
        <v>SELL0086</v>
      </c>
      <c r="I661" t="str">
        <f>IFERROR(_xlfn.XLOOKUP(H661,sellers_2026!A:A,sellers_2026!G:G,,0,), "unknown/inactive")</f>
        <v>VIC</v>
      </c>
      <c r="J661" t="str">
        <f>_xlfn.XLOOKUP(H661,sellers_2026!A:A,sellers_2026!B:B,,0,)</f>
        <v>clothesforlife</v>
      </c>
    </row>
    <row r="662" spans="1:10" ht="14.25" customHeight="1" x14ac:dyDescent="0.3">
      <c r="A662" s="2" t="s">
        <v>3023</v>
      </c>
      <c r="B662" s="2" t="s">
        <v>57</v>
      </c>
      <c r="C662" s="2">
        <v>1</v>
      </c>
      <c r="D662" t="str">
        <f>_xlfn.XLOOKUP(order_items!B662,products_2026!A:A,products_2026!C:C,,0,)</f>
        <v>Outdoor</v>
      </c>
      <c r="E662">
        <f>_xlfn.XLOOKUP(B662,products_2026!A:A,products_2026!D:D,,0,)</f>
        <v>13.71</v>
      </c>
      <c r="F662">
        <f t="shared" si="10"/>
        <v>13.71</v>
      </c>
      <c r="G662" t="str">
        <f>_xlfn.XLOOKUP(B662,products_2026!A:A,products_2026!B:B,,0,)</f>
        <v>BBQ Skewers - 12 pack (Bamboo)</v>
      </c>
      <c r="H662" t="str">
        <f>_xlfn.XLOOKUP(B662,products_2026!A:A,products_2026!E:E,,0,)</f>
        <v>SELL0016</v>
      </c>
      <c r="I662" t="str">
        <f>IFERROR(_xlfn.XLOOKUP(H662,sellers_2026!A:A,sellers_2026!G:G,,0,), "unknown/inactive")</f>
        <v>TAS</v>
      </c>
      <c r="J662" t="str">
        <f>_xlfn.XLOOKUP(H662,sellers_2026!A:A,sellers_2026!B:B,,0,)</f>
        <v>abracadabra_002</v>
      </c>
    </row>
    <row r="663" spans="1:10" ht="14.25" customHeight="1" x14ac:dyDescent="0.3">
      <c r="A663" s="2" t="s">
        <v>3023</v>
      </c>
      <c r="B663" s="2" t="s">
        <v>746</v>
      </c>
      <c r="C663" s="2">
        <v>1</v>
      </c>
      <c r="D663" t="str">
        <f>_xlfn.XLOOKUP(order_items!B663,products_2026!A:A,products_2026!C:C,,0,)</f>
        <v>Gift_Sets</v>
      </c>
      <c r="E663">
        <f>_xlfn.XLOOKUP(B663,products_2026!A:A,products_2026!D:D,,0,)</f>
        <v>32.299999999999997</v>
      </c>
      <c r="F663">
        <f t="shared" si="10"/>
        <v>32.299999999999997</v>
      </c>
      <c r="G663" t="str">
        <f>_xlfn.XLOOKUP(B663,products_2026!A:A,products_2026!B:B,,0,)</f>
        <v>Mens Cologne Gift Set Tester Bottles</v>
      </c>
      <c r="H663" t="str">
        <f>_xlfn.XLOOKUP(B663,products_2026!A:A,products_2026!E:E,,0,)</f>
        <v>SELL0088</v>
      </c>
      <c r="I663" t="str">
        <f>IFERROR(_xlfn.XLOOKUP(H663,sellers_2026!A:A,sellers_2026!G:G,,0,), "unknown/inactive")</f>
        <v>TAS</v>
      </c>
      <c r="J663" t="str">
        <f>_xlfn.XLOOKUP(H663,sellers_2026!A:A,sellers_2026!B:B,,0,)</f>
        <v>7ti9lfa6h5</v>
      </c>
    </row>
    <row r="664" spans="1:10" ht="14.25" customHeight="1" x14ac:dyDescent="0.3">
      <c r="A664" s="2" t="s">
        <v>3024</v>
      </c>
      <c r="B664" s="2" t="s">
        <v>462</v>
      </c>
      <c r="C664" s="2">
        <v>1</v>
      </c>
      <c r="D664" t="str">
        <f>_xlfn.XLOOKUP(order_items!B664,products_2026!A:A,products_2026!C:C,,0,)</f>
        <v>Health</v>
      </c>
      <c r="E664">
        <f>_xlfn.XLOOKUP(B664,products_2026!A:A,products_2026!D:D,,0,)</f>
        <v>40.75</v>
      </c>
      <c r="F664">
        <f t="shared" si="10"/>
        <v>40.75</v>
      </c>
      <c r="G664" t="str">
        <f>_xlfn.XLOOKUP(B664,products_2026!A:A,products_2026!B:B,,0,)</f>
        <v>Blood Pressure Monitor Digital</v>
      </c>
      <c r="H664" t="str">
        <f>_xlfn.XLOOKUP(B664,products_2026!A:A,products_2026!E:E,,0,)</f>
        <v>SELL0066</v>
      </c>
      <c r="I664" t="str">
        <f>IFERROR(_xlfn.XLOOKUP(H664,sellers_2026!A:A,sellers_2026!G:G,,0,), "unknown/inactive")</f>
        <v>VIC</v>
      </c>
      <c r="J664" t="str">
        <f>_xlfn.XLOOKUP(H664,sellers_2026!A:A,sellers_2026!B:B,,0,)</f>
        <v>healthcarehelp</v>
      </c>
    </row>
    <row r="665" spans="1:10" ht="14.25" customHeight="1" x14ac:dyDescent="0.3">
      <c r="A665" s="2" t="s">
        <v>3025</v>
      </c>
      <c r="B665" s="2" t="s">
        <v>507</v>
      </c>
      <c r="C665" s="2">
        <v>1</v>
      </c>
      <c r="D665" t="str">
        <f>_xlfn.XLOOKUP(order_items!B665,products_2026!A:A,products_2026!C:C,,0,)</f>
        <v>Jewellery</v>
      </c>
      <c r="E665">
        <f>_xlfn.XLOOKUP(B665,products_2026!A:A,products_2026!D:D,,0,)</f>
        <v>54.03</v>
      </c>
      <c r="F665">
        <f t="shared" si="10"/>
        <v>54.03</v>
      </c>
      <c r="G665" t="str">
        <f>_xlfn.XLOOKUP(B665,products_2026!A:A,products_2026!B:B,,0,)</f>
        <v>Sterling Silver 925 Earrings Pair Butterfly</v>
      </c>
      <c r="H665" t="str">
        <f>_xlfn.XLOOKUP(B665,products_2026!A:A,products_2026!E:E,,0,)</f>
        <v>SELL0070</v>
      </c>
      <c r="I665" t="str">
        <f>IFERROR(_xlfn.XLOOKUP(H665,sellers_2026!A:A,sellers_2026!G:G,,0,), "unknown/inactive")</f>
        <v>QLD</v>
      </c>
      <c r="J665" t="str">
        <f>_xlfn.XLOOKUP(H665,sellers_2026!A:A,sellers_2026!B:B,,0,)</f>
        <v>homeandaways</v>
      </c>
    </row>
    <row r="666" spans="1:10" ht="14.25" customHeight="1" x14ac:dyDescent="0.3">
      <c r="A666" s="2" t="s">
        <v>3025</v>
      </c>
      <c r="B666" s="2" t="s">
        <v>542</v>
      </c>
      <c r="C666" s="2">
        <v>1</v>
      </c>
      <c r="D666" t="str">
        <f>_xlfn.XLOOKUP(order_items!B666,products_2026!A:A,products_2026!C:C,,0,)</f>
        <v>Outdoor</v>
      </c>
      <c r="E666">
        <f>_xlfn.XLOOKUP(B666,products_2026!A:A,products_2026!D:D,,0,)</f>
        <v>75.099999999999994</v>
      </c>
      <c r="F666">
        <f t="shared" si="10"/>
        <v>75.099999999999994</v>
      </c>
      <c r="G666" t="str">
        <f>_xlfn.XLOOKUP(B666,products_2026!A:A,products_2026!B:B,,0,)</f>
        <v>BBQ - Charcoal</v>
      </c>
      <c r="H666" t="str">
        <f>_xlfn.XLOOKUP(B666,products_2026!A:A,products_2026!E:E,,0,)</f>
        <v>SELL0075</v>
      </c>
      <c r="I666" t="str">
        <f>IFERROR(_xlfn.XLOOKUP(H666,sellers_2026!A:A,sellers_2026!G:G,,0,), "unknown/inactive")</f>
        <v>NSW</v>
      </c>
      <c r="J666" t="str">
        <f>_xlfn.XLOOKUP(H666,sellers_2026!A:A,sellers_2026!B:B,,0,)</f>
        <v>nhlay6j49a</v>
      </c>
    </row>
    <row r="667" spans="1:10" ht="14.25" customHeight="1" x14ac:dyDescent="0.3">
      <c r="A667" s="2" t="s">
        <v>3026</v>
      </c>
      <c r="B667" s="2" t="s">
        <v>501</v>
      </c>
      <c r="C667" s="2">
        <v>2</v>
      </c>
      <c r="D667" t="str">
        <f>_xlfn.XLOOKUP(order_items!B667,products_2026!A:A,products_2026!C:C,,0,)</f>
        <v>Outdoor</v>
      </c>
      <c r="E667">
        <f>_xlfn.XLOOKUP(B667,products_2026!A:A,products_2026!D:D,,0,)</f>
        <v>32.67</v>
      </c>
      <c r="F667">
        <f t="shared" si="10"/>
        <v>65.34</v>
      </c>
      <c r="G667" t="str">
        <f>_xlfn.XLOOKUP(B667,products_2026!A:A,products_2026!B:B,,0,)</f>
        <v>Snorkel Set - Adult Small</v>
      </c>
      <c r="H667" t="str">
        <f>_xlfn.XLOOKUP(B667,products_2026!A:A,products_2026!E:E,,0,)</f>
        <v>SELL0070</v>
      </c>
      <c r="I667" t="str">
        <f>IFERROR(_xlfn.XLOOKUP(H667,sellers_2026!A:A,sellers_2026!G:G,,0,), "unknown/inactive")</f>
        <v>QLD</v>
      </c>
      <c r="J667" t="str">
        <f>_xlfn.XLOOKUP(H667,sellers_2026!A:A,sellers_2026!B:B,,0,)</f>
        <v>homeandaways</v>
      </c>
    </row>
    <row r="668" spans="1:10" ht="14.25" customHeight="1" x14ac:dyDescent="0.3">
      <c r="A668" s="2" t="s">
        <v>3026</v>
      </c>
      <c r="B668" s="2" t="s">
        <v>996</v>
      </c>
      <c r="C668" s="2">
        <v>1</v>
      </c>
      <c r="D668" t="str">
        <f>_xlfn.XLOOKUP(order_items!B668,products_2026!A:A,products_2026!C:C,,0,)</f>
        <v>Outdoor</v>
      </c>
      <c r="E668">
        <f>_xlfn.XLOOKUP(B668,products_2026!A:A,products_2026!D:D,,0,)</f>
        <v>21</v>
      </c>
      <c r="F668">
        <f t="shared" si="10"/>
        <v>21</v>
      </c>
      <c r="G668" t="str">
        <f>_xlfn.XLOOKUP(B668,products_2026!A:A,products_2026!B:B,,0,)</f>
        <v>Wooden Train Set</v>
      </c>
      <c r="H668" t="str">
        <f>_xlfn.XLOOKUP(B668,products_2026!A:A,products_2026!E:E,,0,)</f>
        <v>SELL0047</v>
      </c>
      <c r="I668" t="str">
        <f>IFERROR(_xlfn.XLOOKUP(H668,sellers_2026!A:A,sellers_2026!G:G,,0,), "unknown/inactive")</f>
        <v>NT</v>
      </c>
      <c r="J668" t="str">
        <f>_xlfn.XLOOKUP(H668,sellers_2026!A:A,sellers_2026!B:B,,0,)</f>
        <v>toymajoy</v>
      </c>
    </row>
    <row r="669" spans="1:10" ht="14.25" customHeight="1" x14ac:dyDescent="0.3">
      <c r="A669" s="2" t="s">
        <v>3027</v>
      </c>
      <c r="B669" s="2" t="s">
        <v>114</v>
      </c>
      <c r="C669" s="2">
        <v>1</v>
      </c>
      <c r="D669" t="str">
        <f>_xlfn.XLOOKUP(order_items!B669,products_2026!A:A,products_2026!C:C,,0,)</f>
        <v>Outdoor</v>
      </c>
      <c r="E669">
        <f>_xlfn.XLOOKUP(B669,products_2026!A:A,products_2026!D:D,,0,)</f>
        <v>38.39</v>
      </c>
      <c r="F669">
        <f t="shared" si="10"/>
        <v>38.39</v>
      </c>
      <c r="G669" t="str">
        <f>_xlfn.XLOOKUP(B669,products_2026!A:A,products_2026!B:B,,0,)</f>
        <v>Fairy Lights Outdoor Garden String 100</v>
      </c>
      <c r="H669" t="str">
        <f>_xlfn.XLOOKUP(B669,products_2026!A:A,products_2026!E:E,,0,)</f>
        <v>SELL0023</v>
      </c>
      <c r="I669" t="str">
        <f>IFERROR(_xlfn.XLOOKUP(H669,sellers_2026!A:A,sellers_2026!G:G,,0,), "unknown/inactive")</f>
        <v>VIC</v>
      </c>
      <c r="J669" t="str">
        <f>_xlfn.XLOOKUP(H669,sellers_2026!A:A,sellers_2026!B:B,,0,)</f>
        <v>cleaning_out_my_shed</v>
      </c>
    </row>
    <row r="670" spans="1:10" ht="14.25" customHeight="1" x14ac:dyDescent="0.3">
      <c r="A670" s="2" t="s">
        <v>3028</v>
      </c>
      <c r="B670" s="2" t="s">
        <v>889</v>
      </c>
      <c r="C670" s="2">
        <v>1</v>
      </c>
      <c r="D670" t="str">
        <f>_xlfn.XLOOKUP(order_items!B670,products_2026!A:A,products_2026!C:C,,0,)</f>
        <v>Outdoor</v>
      </c>
      <c r="E670">
        <f>_xlfn.XLOOKUP(B670,products_2026!A:A,products_2026!D:D,,0,)</f>
        <v>10.07</v>
      </c>
      <c r="F670">
        <f t="shared" si="10"/>
        <v>10.07</v>
      </c>
      <c r="G670" t="str">
        <f>_xlfn.XLOOKUP(B670,products_2026!A:A,products_2026!B:B,,0,)</f>
        <v>Bamboo Picnic Rug Recycled Material</v>
      </c>
      <c r="H670" t="str">
        <f>_xlfn.XLOOKUP(B670,products_2026!A:A,products_2026!E:E,,0,)</f>
        <v>SELL0092</v>
      </c>
      <c r="I670" t="str">
        <f>IFERROR(_xlfn.XLOOKUP(H670,sellers_2026!A:A,sellers_2026!G:G,,0,), "unknown/inactive")</f>
        <v>VIC</v>
      </c>
      <c r="J670" t="str">
        <f>_xlfn.XLOOKUP(H670,sellers_2026!A:A,sellers_2026!B:B,,0,)</f>
        <v>dress4beauty</v>
      </c>
    </row>
    <row r="671" spans="1:10" ht="14.25" customHeight="1" x14ac:dyDescent="0.3">
      <c r="A671" s="2" t="s">
        <v>3029</v>
      </c>
      <c r="B671" s="2" t="s">
        <v>361</v>
      </c>
      <c r="C671" s="2">
        <v>1</v>
      </c>
      <c r="D671" t="str">
        <f>_xlfn.XLOOKUP(order_items!B671,products_2026!A:A,products_2026!C:C,,0,)</f>
        <v>Clothes</v>
      </c>
      <c r="E671">
        <f>_xlfn.XLOOKUP(B671,products_2026!A:A,products_2026!D:D,,0,)</f>
        <v>42.11</v>
      </c>
      <c r="F671">
        <f t="shared" si="10"/>
        <v>42.11</v>
      </c>
      <c r="G671" t="str">
        <f>_xlfn.XLOOKUP(B671,products_2026!A:A,products_2026!B:B,,0,)</f>
        <v>Women’s Active Leggings L</v>
      </c>
      <c r="H671" t="str">
        <f>_xlfn.XLOOKUP(B671,products_2026!A:A,products_2026!E:E,,0,)</f>
        <v>SELL0054</v>
      </c>
      <c r="I671" t="str">
        <f>IFERROR(_xlfn.XLOOKUP(H671,sellers_2026!A:A,sellers_2026!G:G,,0,), "unknown/inactive")</f>
        <v>ACT</v>
      </c>
      <c r="J671" t="str">
        <f>_xlfn.XLOOKUP(H671,sellers_2026!A:A,sellers_2026!B:B,,0,)</f>
        <v>b8iv8o4c65</v>
      </c>
    </row>
    <row r="672" spans="1:10" ht="14.25" customHeight="1" x14ac:dyDescent="0.3">
      <c r="A672" s="2" t="s">
        <v>3030</v>
      </c>
      <c r="B672" s="2" t="s">
        <v>907</v>
      </c>
      <c r="C672" s="2">
        <v>1</v>
      </c>
      <c r="D672" t="str">
        <f>_xlfn.XLOOKUP(order_items!B672,products_2026!A:A,products_2026!C:C,,0,)</f>
        <v>Outdoor</v>
      </c>
      <c r="E672">
        <f>_xlfn.XLOOKUP(B672,products_2026!A:A,products_2026!D:D,,0,)</f>
        <v>63.89</v>
      </c>
      <c r="F672">
        <f t="shared" si="10"/>
        <v>63.89</v>
      </c>
      <c r="G672" t="str">
        <f>_xlfn.XLOOKUP(B672,products_2026!A:A,products_2026!B:B,,0,)</f>
        <v>Camping Kettle 5L Navy</v>
      </c>
      <c r="H672" t="str">
        <f>_xlfn.XLOOKUP(B672,products_2026!A:A,products_2026!E:E,,0,)</f>
        <v>SELL0093</v>
      </c>
      <c r="I672" t="str">
        <f>IFERROR(_xlfn.XLOOKUP(H672,sellers_2026!A:A,sellers_2026!G:G,,0,), "unknown/inactive")</f>
        <v>NT</v>
      </c>
      <c r="J672" t="str">
        <f>_xlfn.XLOOKUP(H672,sellers_2026!A:A,sellers_2026!B:B,,0,)</f>
        <v>millies-outdoor-shop</v>
      </c>
    </row>
    <row r="673" spans="1:10" ht="14.25" customHeight="1" x14ac:dyDescent="0.3">
      <c r="A673" s="2" t="s">
        <v>3031</v>
      </c>
      <c r="B673" s="2" t="s">
        <v>887</v>
      </c>
      <c r="C673" s="2">
        <v>1</v>
      </c>
      <c r="D673" t="str">
        <f>_xlfn.XLOOKUP(order_items!B673,products_2026!A:A,products_2026!C:C,,0,)</f>
        <v>Outdoor</v>
      </c>
      <c r="E673">
        <f>_xlfn.XLOOKUP(B673,products_2026!A:A,products_2026!D:D,,0,)</f>
        <v>23.33</v>
      </c>
      <c r="F673">
        <f t="shared" si="10"/>
        <v>23.33</v>
      </c>
      <c r="G673" t="str">
        <f>_xlfn.XLOOKUP(B673,products_2026!A:A,products_2026!B:B,,0,)</f>
        <v>Solar Garden Light Set</v>
      </c>
      <c r="H673" t="str">
        <f>_xlfn.XLOOKUP(B673,products_2026!A:A,products_2026!E:E,,0,)</f>
        <v>SELL0092</v>
      </c>
      <c r="I673" t="str">
        <f>IFERROR(_xlfn.XLOOKUP(H673,sellers_2026!A:A,sellers_2026!G:G,,0,), "unknown/inactive")</f>
        <v>VIC</v>
      </c>
      <c r="J673" t="str">
        <f>_xlfn.XLOOKUP(H673,sellers_2026!A:A,sellers_2026!B:B,,0,)</f>
        <v>dress4beauty</v>
      </c>
    </row>
    <row r="674" spans="1:10" ht="14.25" customHeight="1" x14ac:dyDescent="0.3">
      <c r="A674" s="2" t="s">
        <v>3032</v>
      </c>
      <c r="B674" s="2" t="s">
        <v>171</v>
      </c>
      <c r="C674" s="2">
        <v>1</v>
      </c>
      <c r="D674" t="str">
        <f>_xlfn.XLOOKUP(order_items!B674,products_2026!A:A,products_2026!C:C,,0,)</f>
        <v>Outdoor</v>
      </c>
      <c r="E674">
        <f>_xlfn.XLOOKUP(B674,products_2026!A:A,products_2026!D:D,,0,)</f>
        <v>21.37</v>
      </c>
      <c r="F674">
        <f t="shared" si="10"/>
        <v>21.37</v>
      </c>
      <c r="G674" t="str">
        <f>_xlfn.XLOOKUP(B674,products_2026!A:A,products_2026!B:B,,0,)</f>
        <v>BBQ Meat Thermometer Battery Powered</v>
      </c>
      <c r="H674" t="str">
        <f>_xlfn.XLOOKUP(B674,products_2026!A:A,products_2026!E:E,,0,)</f>
        <v>SELL0034</v>
      </c>
      <c r="I674" t="str">
        <f>IFERROR(_xlfn.XLOOKUP(H674,sellers_2026!A:A,sellers_2026!G:G,,0,), "unknown/inactive")</f>
        <v>NT</v>
      </c>
      <c r="J674" t="str">
        <f>_xlfn.XLOOKUP(H674,sellers_2026!A:A,sellers_2026!B:B,,0,)</f>
        <v>outer40</v>
      </c>
    </row>
    <row r="675" spans="1:10" ht="14.25" customHeight="1" x14ac:dyDescent="0.3">
      <c r="A675" s="2" t="s">
        <v>3032</v>
      </c>
      <c r="B675" s="2" t="s">
        <v>843</v>
      </c>
      <c r="C675" s="2">
        <v>1</v>
      </c>
      <c r="D675" t="str">
        <f>_xlfn.XLOOKUP(order_items!B675,products_2026!A:A,products_2026!C:C,,0,)</f>
        <v>Home</v>
      </c>
      <c r="E675">
        <f>_xlfn.XLOOKUP(B675,products_2026!A:A,products_2026!D:D,,0,)</f>
        <v>116.81</v>
      </c>
      <c r="F675">
        <f t="shared" si="10"/>
        <v>116.81</v>
      </c>
      <c r="G675" t="str">
        <f>_xlfn.XLOOKUP(B675,products_2026!A:A,products_2026!B:B,,0,)</f>
        <v>Weighted Blanket 20kg</v>
      </c>
      <c r="H675" t="str">
        <f>_xlfn.XLOOKUP(B675,products_2026!A:A,products_2026!E:E,,0,)</f>
        <v>SELL0091</v>
      </c>
      <c r="I675" t="str">
        <f>IFERROR(_xlfn.XLOOKUP(H675,sellers_2026!A:A,sellers_2026!G:G,,0,), "unknown/inactive")</f>
        <v>TAS</v>
      </c>
      <c r="J675" t="str">
        <f>_xlfn.XLOOKUP(H675,sellers_2026!A:A,sellers_2026!B:B,,0,)</f>
        <v>beautifullhome</v>
      </c>
    </row>
    <row r="676" spans="1:10" ht="14.25" customHeight="1" x14ac:dyDescent="0.3">
      <c r="A676" s="2" t="s">
        <v>3032</v>
      </c>
      <c r="B676" s="2" t="s">
        <v>889</v>
      </c>
      <c r="C676" s="2">
        <v>1</v>
      </c>
      <c r="D676" t="str">
        <f>_xlfn.XLOOKUP(order_items!B676,products_2026!A:A,products_2026!C:C,,0,)</f>
        <v>Outdoor</v>
      </c>
      <c r="E676">
        <f>_xlfn.XLOOKUP(B676,products_2026!A:A,products_2026!D:D,,0,)</f>
        <v>10.07</v>
      </c>
      <c r="F676">
        <f t="shared" si="10"/>
        <v>10.07</v>
      </c>
      <c r="G676" t="str">
        <f>_xlfn.XLOOKUP(B676,products_2026!A:A,products_2026!B:B,,0,)</f>
        <v>Bamboo Picnic Rug Recycled Material</v>
      </c>
      <c r="H676" t="str">
        <f>_xlfn.XLOOKUP(B676,products_2026!A:A,products_2026!E:E,,0,)</f>
        <v>SELL0092</v>
      </c>
      <c r="I676" t="str">
        <f>IFERROR(_xlfn.XLOOKUP(H676,sellers_2026!A:A,sellers_2026!G:G,,0,), "unknown/inactive")</f>
        <v>VIC</v>
      </c>
      <c r="J676" t="str">
        <f>_xlfn.XLOOKUP(H676,sellers_2026!A:A,sellers_2026!B:B,,0,)</f>
        <v>dress4beauty</v>
      </c>
    </row>
    <row r="677" spans="1:10" ht="14.25" customHeight="1" x14ac:dyDescent="0.3">
      <c r="A677" s="2" t="s">
        <v>3033</v>
      </c>
      <c r="B677" s="2" t="s">
        <v>889</v>
      </c>
      <c r="C677" s="2">
        <v>1</v>
      </c>
      <c r="D677" t="str">
        <f>_xlfn.XLOOKUP(order_items!B677,products_2026!A:A,products_2026!C:C,,0,)</f>
        <v>Outdoor</v>
      </c>
      <c r="E677">
        <f>_xlfn.XLOOKUP(B677,products_2026!A:A,products_2026!D:D,,0,)</f>
        <v>10.07</v>
      </c>
      <c r="F677">
        <f t="shared" si="10"/>
        <v>10.07</v>
      </c>
      <c r="G677" t="str">
        <f>_xlfn.XLOOKUP(B677,products_2026!A:A,products_2026!B:B,,0,)</f>
        <v>Bamboo Picnic Rug Recycled Material</v>
      </c>
      <c r="H677" t="str">
        <f>_xlfn.XLOOKUP(B677,products_2026!A:A,products_2026!E:E,,0,)</f>
        <v>SELL0092</v>
      </c>
      <c r="I677" t="str">
        <f>IFERROR(_xlfn.XLOOKUP(H677,sellers_2026!A:A,sellers_2026!G:G,,0,), "unknown/inactive")</f>
        <v>VIC</v>
      </c>
      <c r="J677" t="str">
        <f>_xlfn.XLOOKUP(H677,sellers_2026!A:A,sellers_2026!B:B,,0,)</f>
        <v>dress4beauty</v>
      </c>
    </row>
    <row r="678" spans="1:10" ht="14.25" customHeight="1" x14ac:dyDescent="0.3">
      <c r="A678" s="2" t="s">
        <v>3034</v>
      </c>
      <c r="B678" s="2" t="s">
        <v>241</v>
      </c>
      <c r="C678" s="2">
        <v>1</v>
      </c>
      <c r="D678" t="str">
        <f>_xlfn.XLOOKUP(order_items!B678,products_2026!A:A,products_2026!C:C,,0,)</f>
        <v>Outdoor</v>
      </c>
      <c r="E678">
        <f>_xlfn.XLOOKUP(B678,products_2026!A:A,products_2026!D:D,,0,)</f>
        <v>115.39</v>
      </c>
      <c r="F678">
        <f t="shared" si="10"/>
        <v>115.39</v>
      </c>
      <c r="G678" t="str">
        <f>_xlfn.XLOOKUP(B678,products_2026!A:A,products_2026!B:B,,0,)</f>
        <v>Solar Garden Light Set (8 pack)</v>
      </c>
      <c r="H678" t="str">
        <f>_xlfn.XLOOKUP(B678,products_2026!A:A,products_2026!E:E,,0,)</f>
        <v>SELL0021</v>
      </c>
      <c r="I678" t="str">
        <f>IFERROR(_xlfn.XLOOKUP(H678,sellers_2026!A:A,sellers_2026!G:G,,0,), "unknown/inactive")</f>
        <v>VIC</v>
      </c>
      <c r="J678" t="str">
        <f>_xlfn.XLOOKUP(H678,sellers_2026!A:A,sellers_2026!B:B,,0,)</f>
        <v>stuff-on-sale</v>
      </c>
    </row>
    <row r="679" spans="1:10" ht="14.25" customHeight="1" x14ac:dyDescent="0.3">
      <c r="A679" s="2" t="s">
        <v>3035</v>
      </c>
      <c r="B679" s="2" t="s">
        <v>907</v>
      </c>
      <c r="C679" s="2">
        <v>1</v>
      </c>
      <c r="D679" t="str">
        <f>_xlfn.XLOOKUP(order_items!B679,products_2026!A:A,products_2026!C:C,,0,)</f>
        <v>Outdoor</v>
      </c>
      <c r="E679">
        <f>_xlfn.XLOOKUP(B679,products_2026!A:A,products_2026!D:D,,0,)</f>
        <v>63.89</v>
      </c>
      <c r="F679">
        <f t="shared" si="10"/>
        <v>63.89</v>
      </c>
      <c r="G679" t="str">
        <f>_xlfn.XLOOKUP(B679,products_2026!A:A,products_2026!B:B,,0,)</f>
        <v>Camping Kettle 5L Navy</v>
      </c>
      <c r="H679" t="str">
        <f>_xlfn.XLOOKUP(B679,products_2026!A:A,products_2026!E:E,,0,)</f>
        <v>SELL0093</v>
      </c>
      <c r="I679" t="str">
        <f>IFERROR(_xlfn.XLOOKUP(H679,sellers_2026!A:A,sellers_2026!G:G,,0,), "unknown/inactive")</f>
        <v>NT</v>
      </c>
      <c r="J679" t="str">
        <f>_xlfn.XLOOKUP(H679,sellers_2026!A:A,sellers_2026!B:B,,0,)</f>
        <v>millies-outdoor-shop</v>
      </c>
    </row>
    <row r="680" spans="1:10" ht="14.25" customHeight="1" x14ac:dyDescent="0.3">
      <c r="A680" s="2" t="s">
        <v>3036</v>
      </c>
      <c r="B680" s="2" t="s">
        <v>542</v>
      </c>
      <c r="C680" s="2">
        <v>1</v>
      </c>
      <c r="D680" t="str">
        <f>_xlfn.XLOOKUP(order_items!B680,products_2026!A:A,products_2026!C:C,,0,)</f>
        <v>Outdoor</v>
      </c>
      <c r="E680">
        <f>_xlfn.XLOOKUP(B680,products_2026!A:A,products_2026!D:D,,0,)</f>
        <v>75.099999999999994</v>
      </c>
      <c r="F680">
        <f t="shared" si="10"/>
        <v>75.099999999999994</v>
      </c>
      <c r="G680" t="str">
        <f>_xlfn.XLOOKUP(B680,products_2026!A:A,products_2026!B:B,,0,)</f>
        <v>BBQ - Charcoal</v>
      </c>
      <c r="H680" t="str">
        <f>_xlfn.XLOOKUP(B680,products_2026!A:A,products_2026!E:E,,0,)</f>
        <v>SELL0075</v>
      </c>
      <c r="I680" t="str">
        <f>IFERROR(_xlfn.XLOOKUP(H680,sellers_2026!A:A,sellers_2026!G:G,,0,), "unknown/inactive")</f>
        <v>NSW</v>
      </c>
      <c r="J680" t="str">
        <f>_xlfn.XLOOKUP(H680,sellers_2026!A:A,sellers_2026!B:B,,0,)</f>
        <v>nhlay6j49a</v>
      </c>
    </row>
    <row r="681" spans="1:10" ht="14.25" customHeight="1" x14ac:dyDescent="0.3">
      <c r="A681" s="2" t="s">
        <v>3036</v>
      </c>
      <c r="B681" s="2" t="s">
        <v>654</v>
      </c>
      <c r="C681" s="2">
        <v>1</v>
      </c>
      <c r="D681" t="str">
        <f>_xlfn.XLOOKUP(order_items!B681,products_2026!A:A,products_2026!C:C,,0,)</f>
        <v>Clothes</v>
      </c>
      <c r="E681">
        <f>_xlfn.XLOOKUP(B681,products_2026!A:A,products_2026!D:D,,0,)</f>
        <v>33.89</v>
      </c>
      <c r="F681">
        <f t="shared" si="10"/>
        <v>33.89</v>
      </c>
      <c r="G681" t="str">
        <f>_xlfn.XLOOKUP(B681,products_2026!A:A,products_2026!B:B,,0,)</f>
        <v>Kids Cotton Pyjamas 9-11y</v>
      </c>
      <c r="H681" t="str">
        <f>_xlfn.XLOOKUP(B681,products_2026!A:A,products_2026!E:E,,0,)</f>
        <v>SELL0086</v>
      </c>
      <c r="I681" t="str">
        <f>IFERROR(_xlfn.XLOOKUP(H681,sellers_2026!A:A,sellers_2026!G:G,,0,), "unknown/inactive")</f>
        <v>VIC</v>
      </c>
      <c r="J681" t="str">
        <f>_xlfn.XLOOKUP(H681,sellers_2026!A:A,sellers_2026!B:B,,0,)</f>
        <v>clothesforlife</v>
      </c>
    </row>
    <row r="682" spans="1:10" ht="14.25" customHeight="1" x14ac:dyDescent="0.3">
      <c r="A682" s="2" t="s">
        <v>3037</v>
      </c>
      <c r="B682" s="2" t="s">
        <v>907</v>
      </c>
      <c r="C682" s="2">
        <v>1</v>
      </c>
      <c r="D682" t="str">
        <f>_xlfn.XLOOKUP(order_items!B682,products_2026!A:A,products_2026!C:C,,0,)</f>
        <v>Outdoor</v>
      </c>
      <c r="E682">
        <f>_xlfn.XLOOKUP(B682,products_2026!A:A,products_2026!D:D,,0,)</f>
        <v>63.89</v>
      </c>
      <c r="F682">
        <f t="shared" si="10"/>
        <v>63.89</v>
      </c>
      <c r="G682" t="str">
        <f>_xlfn.XLOOKUP(B682,products_2026!A:A,products_2026!B:B,,0,)</f>
        <v>Camping Kettle 5L Navy</v>
      </c>
      <c r="H682" t="str">
        <f>_xlfn.XLOOKUP(B682,products_2026!A:A,products_2026!E:E,,0,)</f>
        <v>SELL0093</v>
      </c>
      <c r="I682" t="str">
        <f>IFERROR(_xlfn.XLOOKUP(H682,sellers_2026!A:A,sellers_2026!G:G,,0,), "unknown/inactive")</f>
        <v>NT</v>
      </c>
      <c r="J682" t="str">
        <f>_xlfn.XLOOKUP(H682,sellers_2026!A:A,sellers_2026!B:B,,0,)</f>
        <v>millies-outdoor-shop</v>
      </c>
    </row>
    <row r="683" spans="1:10" ht="14.25" customHeight="1" x14ac:dyDescent="0.3">
      <c r="A683" s="2" t="s">
        <v>3038</v>
      </c>
      <c r="B683" s="2" t="s">
        <v>57</v>
      </c>
      <c r="C683" s="2">
        <v>1</v>
      </c>
      <c r="D683" t="str">
        <f>_xlfn.XLOOKUP(order_items!B683,products_2026!A:A,products_2026!C:C,,0,)</f>
        <v>Outdoor</v>
      </c>
      <c r="E683">
        <f>_xlfn.XLOOKUP(B683,products_2026!A:A,products_2026!D:D,,0,)</f>
        <v>13.71</v>
      </c>
      <c r="F683">
        <f t="shared" si="10"/>
        <v>13.71</v>
      </c>
      <c r="G683" t="str">
        <f>_xlfn.XLOOKUP(B683,products_2026!A:A,products_2026!B:B,,0,)</f>
        <v>BBQ Skewers - 12 pack (Bamboo)</v>
      </c>
      <c r="H683" t="str">
        <f>_xlfn.XLOOKUP(B683,products_2026!A:A,products_2026!E:E,,0,)</f>
        <v>SELL0016</v>
      </c>
      <c r="I683" t="str">
        <f>IFERROR(_xlfn.XLOOKUP(H683,sellers_2026!A:A,sellers_2026!G:G,,0,), "unknown/inactive")</f>
        <v>TAS</v>
      </c>
      <c r="J683" t="str">
        <f>_xlfn.XLOOKUP(H683,sellers_2026!A:A,sellers_2026!B:B,,0,)</f>
        <v>abracadabra_002</v>
      </c>
    </row>
    <row r="684" spans="1:10" ht="14.25" customHeight="1" x14ac:dyDescent="0.3">
      <c r="A684" s="2" t="s">
        <v>3038</v>
      </c>
      <c r="B684" s="2" t="s">
        <v>917</v>
      </c>
      <c r="C684" s="2">
        <v>1</v>
      </c>
      <c r="D684" t="str">
        <f>_xlfn.XLOOKUP(order_items!B684,products_2026!A:A,products_2026!C:C,,0,)</f>
        <v>Outdoor</v>
      </c>
      <c r="E684">
        <f>_xlfn.XLOOKUP(B684,products_2026!A:A,products_2026!D:D,,0,)</f>
        <v>66.94</v>
      </c>
      <c r="F684">
        <f t="shared" si="10"/>
        <v>66.94</v>
      </c>
      <c r="G684" t="str">
        <f>_xlfn.XLOOKUP(B684,products_2026!A:A,products_2026!B:B,,0,)</f>
        <v>paddling pool blue inflatable fishes</v>
      </c>
      <c r="H684" t="str">
        <f>_xlfn.XLOOKUP(B684,products_2026!A:A,products_2026!E:E,,0,)</f>
        <v>SELL0092</v>
      </c>
      <c r="I684" t="str">
        <f>IFERROR(_xlfn.XLOOKUP(H684,sellers_2026!A:A,sellers_2026!G:G,,0,), "unknown/inactive")</f>
        <v>VIC</v>
      </c>
      <c r="J684" t="str">
        <f>_xlfn.XLOOKUP(H684,sellers_2026!A:A,sellers_2026!B:B,,0,)</f>
        <v>dress4beauty</v>
      </c>
    </row>
    <row r="685" spans="1:10" ht="14.25" customHeight="1" x14ac:dyDescent="0.3">
      <c r="A685" s="2" t="s">
        <v>3039</v>
      </c>
      <c r="B685" s="2" t="s">
        <v>415</v>
      </c>
      <c r="C685" s="2">
        <v>1</v>
      </c>
      <c r="D685" t="str">
        <f>_xlfn.XLOOKUP(order_items!B685,products_2026!A:A,products_2026!C:C,,0,)</f>
        <v>Outdoor</v>
      </c>
      <c r="E685">
        <f>_xlfn.XLOOKUP(B685,products_2026!A:A,products_2026!D:D,,0,)</f>
        <v>34.86</v>
      </c>
      <c r="F685">
        <f t="shared" si="10"/>
        <v>34.86</v>
      </c>
      <c r="G685" t="str">
        <f>_xlfn.XLOOKUP(B685,products_2026!A:A,products_2026!B:B,,0,)</f>
        <v>Steel Grill Basket</v>
      </c>
      <c r="H685" t="str">
        <f>_xlfn.XLOOKUP(B685,products_2026!A:A,products_2026!E:E,,0,)</f>
        <v>SELL0060</v>
      </c>
      <c r="I685" t="str">
        <f>IFERROR(_xlfn.XLOOKUP(H685,sellers_2026!A:A,sellers_2026!G:G,,0,), "unknown/inactive")</f>
        <v>VIC</v>
      </c>
      <c r="J685" t="str">
        <f>_xlfn.XLOOKUP(H685,sellers_2026!A:A,sellers_2026!B:B,,0,)</f>
        <v>shop689</v>
      </c>
    </row>
    <row r="686" spans="1:10" ht="14.25" customHeight="1" x14ac:dyDescent="0.3">
      <c r="A686" s="2" t="s">
        <v>3040</v>
      </c>
      <c r="B686" s="2" t="s">
        <v>470</v>
      </c>
      <c r="C686" s="2">
        <v>1</v>
      </c>
      <c r="D686" t="str">
        <f>_xlfn.XLOOKUP(order_items!B686,products_2026!A:A,products_2026!C:C,,0,)</f>
        <v>Outdoor</v>
      </c>
      <c r="E686">
        <f>_xlfn.XLOOKUP(B686,products_2026!A:A,products_2026!D:D,,0,)</f>
        <v>30.95</v>
      </c>
      <c r="F686">
        <f t="shared" si="10"/>
        <v>30.95</v>
      </c>
      <c r="G686" t="str">
        <f>_xlfn.XLOOKUP(B686,products_2026!A:A,products_2026!B:B,,0,)</f>
        <v>BBQ Cleaning Brush</v>
      </c>
      <c r="H686" t="str">
        <f>_xlfn.XLOOKUP(B686,products_2026!A:A,products_2026!E:E,,0,)</f>
        <v>SELL0067</v>
      </c>
      <c r="I686" t="str">
        <f>IFERROR(_xlfn.XLOOKUP(H686,sellers_2026!A:A,sellers_2026!G:G,,0,), "unknown/inactive")</f>
        <v>WA</v>
      </c>
      <c r="J686" t="str">
        <f>_xlfn.XLOOKUP(H686,sellers_2026!A:A,sellers_2026!B:B,,0,)</f>
        <v>w71bv3mee1</v>
      </c>
    </row>
    <row r="687" spans="1:10" ht="14.25" customHeight="1" x14ac:dyDescent="0.3">
      <c r="A687" s="2" t="s">
        <v>3040</v>
      </c>
      <c r="B687" s="2" t="s">
        <v>885</v>
      </c>
      <c r="C687" s="2">
        <v>2</v>
      </c>
      <c r="D687" t="str">
        <f>_xlfn.XLOOKUP(order_items!B687,products_2026!A:A,products_2026!C:C,,0,)</f>
        <v>Outdoor</v>
      </c>
      <c r="E687">
        <f>_xlfn.XLOOKUP(B687,products_2026!A:A,products_2026!D:D,,0,)</f>
        <v>99.85</v>
      </c>
      <c r="F687">
        <f t="shared" si="10"/>
        <v>199.7</v>
      </c>
      <c r="G687" t="str">
        <f>_xlfn.XLOOKUP(B687,products_2026!A:A,products_2026!B:B,,0,)</f>
        <v>Turtle Ornament Garden</v>
      </c>
      <c r="H687" t="str">
        <f>_xlfn.XLOOKUP(B687,products_2026!A:A,products_2026!E:E,,0,)</f>
        <v>SELL0092</v>
      </c>
      <c r="I687" t="str">
        <f>IFERROR(_xlfn.XLOOKUP(H687,sellers_2026!A:A,sellers_2026!G:G,,0,), "unknown/inactive")</f>
        <v>VIC</v>
      </c>
      <c r="J687" t="str">
        <f>_xlfn.XLOOKUP(H687,sellers_2026!A:A,sellers_2026!B:B,,0,)</f>
        <v>dress4beauty</v>
      </c>
    </row>
    <row r="688" spans="1:10" ht="14.25" customHeight="1" x14ac:dyDescent="0.3">
      <c r="A688" s="2" t="s">
        <v>3041</v>
      </c>
      <c r="B688" s="2" t="s">
        <v>709</v>
      </c>
      <c r="C688" s="2">
        <v>1</v>
      </c>
      <c r="D688" t="str">
        <f>_xlfn.XLOOKUP(order_items!B688,products_2026!A:A,products_2026!C:C,,0,)</f>
        <v>Electronics</v>
      </c>
      <c r="E688">
        <f>_xlfn.XLOOKUP(B688,products_2026!A:A,products_2026!D:D,,0,)</f>
        <v>63.84</v>
      </c>
      <c r="F688">
        <f t="shared" si="10"/>
        <v>63.84</v>
      </c>
      <c r="G688" t="str">
        <f>_xlfn.XLOOKUP(B688,products_2026!A:A,products_2026!B:B,,0,)</f>
        <v>Noise Cancelling Headphones (Red)</v>
      </c>
      <c r="H688" t="str">
        <f>_xlfn.XLOOKUP(B688,products_2026!A:A,products_2026!E:E,,0,)</f>
        <v>SELL0088</v>
      </c>
      <c r="I688" t="str">
        <f>IFERROR(_xlfn.XLOOKUP(H688,sellers_2026!A:A,sellers_2026!G:G,,0,), "unknown/inactive")</f>
        <v>TAS</v>
      </c>
      <c r="J688" t="str">
        <f>_xlfn.XLOOKUP(H688,sellers_2026!A:A,sellers_2026!B:B,,0,)</f>
        <v>7ti9lfa6h5</v>
      </c>
    </row>
    <row r="689" spans="1:10" ht="14.25" customHeight="1" x14ac:dyDescent="0.3">
      <c r="A689" s="2" t="s">
        <v>3041</v>
      </c>
      <c r="B689" s="2" t="s">
        <v>847</v>
      </c>
      <c r="C689" s="2">
        <v>1</v>
      </c>
      <c r="D689" t="str">
        <f>_xlfn.XLOOKUP(order_items!B689,products_2026!A:A,products_2026!C:C,,0,)</f>
        <v>Home</v>
      </c>
      <c r="E689">
        <f>_xlfn.XLOOKUP(B689,products_2026!A:A,products_2026!D:D,,0,)</f>
        <v>65.459999999999994</v>
      </c>
      <c r="F689">
        <f t="shared" si="10"/>
        <v>65.459999999999994</v>
      </c>
      <c r="G689" t="str">
        <f>_xlfn.XLOOKUP(B689,products_2026!A:A,products_2026!B:B,,0,)</f>
        <v>Weighted Blanket 5kg</v>
      </c>
      <c r="H689" t="str">
        <f>_xlfn.XLOOKUP(B689,products_2026!A:A,products_2026!E:E,,0,)</f>
        <v>SELL0091</v>
      </c>
      <c r="I689" t="str">
        <f>IFERROR(_xlfn.XLOOKUP(H689,sellers_2026!A:A,sellers_2026!G:G,,0,), "unknown/inactive")</f>
        <v>TAS</v>
      </c>
      <c r="J689" t="str">
        <f>_xlfn.XLOOKUP(H689,sellers_2026!A:A,sellers_2026!B:B,,0,)</f>
        <v>beautifullhome</v>
      </c>
    </row>
    <row r="690" spans="1:10" ht="14.25" customHeight="1" x14ac:dyDescent="0.3">
      <c r="A690" s="2" t="s">
        <v>3042</v>
      </c>
      <c r="B690" s="2" t="s">
        <v>921</v>
      </c>
      <c r="C690" s="2">
        <v>1</v>
      </c>
      <c r="D690" t="str">
        <f>_xlfn.XLOOKUP(order_items!B690,products_2026!A:A,products_2026!C:C,,0,)</f>
        <v>Outdoor</v>
      </c>
      <c r="E690">
        <f>_xlfn.XLOOKUP(B690,products_2026!A:A,products_2026!D:D,,0,)</f>
        <v>97.17</v>
      </c>
      <c r="F690">
        <f t="shared" si="10"/>
        <v>97.17</v>
      </c>
      <c r="G690" t="str">
        <f>_xlfn.XLOOKUP(B690,products_2026!A:A,products_2026!B:B,,0,)</f>
        <v>BBQ Apron - Red</v>
      </c>
      <c r="H690" t="str">
        <f>_xlfn.XLOOKUP(B690,products_2026!A:A,products_2026!E:E,,0,)</f>
        <v>SELL0093</v>
      </c>
      <c r="I690" t="str">
        <f>IFERROR(_xlfn.XLOOKUP(H690,sellers_2026!A:A,sellers_2026!G:G,,0,), "unknown/inactive")</f>
        <v>NT</v>
      </c>
      <c r="J690" t="str">
        <f>_xlfn.XLOOKUP(H690,sellers_2026!A:A,sellers_2026!B:B,,0,)</f>
        <v>millies-outdoor-shop</v>
      </c>
    </row>
    <row r="691" spans="1:10" ht="14.25" customHeight="1" x14ac:dyDescent="0.3">
      <c r="A691" s="2" t="s">
        <v>3043</v>
      </c>
      <c r="B691" s="2" t="s">
        <v>23</v>
      </c>
      <c r="C691" s="2">
        <v>1</v>
      </c>
      <c r="D691" t="str">
        <f>_xlfn.XLOOKUP(order_items!B691,products_2026!A:A,products_2026!C:C,,0,)</f>
        <v>Stationery</v>
      </c>
      <c r="E691">
        <f>_xlfn.XLOOKUP(B691,products_2026!A:A,products_2026!D:D,,0,)</f>
        <v>4.47</v>
      </c>
      <c r="F691">
        <f t="shared" si="10"/>
        <v>4.47</v>
      </c>
      <c r="G691" t="str">
        <f>_xlfn.XLOOKUP(B691,products_2026!A:A,products_2026!B:B,,0,)</f>
        <v>Highlighter Set Bright 4 pen</v>
      </c>
      <c r="H691" t="str">
        <f>_xlfn.XLOOKUP(B691,products_2026!A:A,products_2026!E:E,,0,)</f>
        <v>SELL0005</v>
      </c>
      <c r="I691" t="str">
        <f>IFERROR(_xlfn.XLOOKUP(H691,sellers_2026!A:A,sellers_2026!G:G,,0,), "unknown/inactive")</f>
        <v>TAS</v>
      </c>
      <c r="J691" t="str">
        <f>_xlfn.XLOOKUP(H691,sellers_2026!A:A,sellers_2026!B:B,,0,)</f>
        <v>pensandthings</v>
      </c>
    </row>
    <row r="692" spans="1:10" ht="14.25" customHeight="1" x14ac:dyDescent="0.3">
      <c r="A692" s="2" t="s">
        <v>3043</v>
      </c>
      <c r="B692" s="2" t="s">
        <v>923</v>
      </c>
      <c r="C692" s="2">
        <v>2</v>
      </c>
      <c r="D692" t="str">
        <f>_xlfn.XLOOKUP(order_items!B692,products_2026!A:A,products_2026!C:C,,0,)</f>
        <v>Outdoor</v>
      </c>
      <c r="E692">
        <f>_xlfn.XLOOKUP(B692,products_2026!A:A,products_2026!D:D,,0,)</f>
        <v>25.41</v>
      </c>
      <c r="F692">
        <f t="shared" si="10"/>
        <v>50.82</v>
      </c>
      <c r="G692" t="str">
        <f>_xlfn.XLOOKUP(B692,products_2026!A:A,products_2026!B:B,,0,)</f>
        <v>Stainless Steel BBQ Tools Set (Navy)</v>
      </c>
      <c r="H692" t="str">
        <f>_xlfn.XLOOKUP(B692,products_2026!A:A,products_2026!E:E,,0,)</f>
        <v>SELL0093</v>
      </c>
      <c r="I692" t="str">
        <f>IFERROR(_xlfn.XLOOKUP(H692,sellers_2026!A:A,sellers_2026!G:G,,0,), "unknown/inactive")</f>
        <v>NT</v>
      </c>
      <c r="J692" t="str">
        <f>_xlfn.XLOOKUP(H692,sellers_2026!A:A,sellers_2026!B:B,,0,)</f>
        <v>millies-outdoor-shop</v>
      </c>
    </row>
    <row r="693" spans="1:10" ht="14.25" customHeight="1" x14ac:dyDescent="0.3">
      <c r="A693" s="2" t="s">
        <v>3044</v>
      </c>
      <c r="B693" s="2" t="s">
        <v>548</v>
      </c>
      <c r="C693" s="2">
        <v>1</v>
      </c>
      <c r="D693" t="str">
        <f>_xlfn.XLOOKUP(order_items!B693,products_2026!A:A,products_2026!C:C,,0,)</f>
        <v>Clothes</v>
      </c>
      <c r="E693">
        <f>_xlfn.XLOOKUP(B693,products_2026!A:A,products_2026!D:D,,0,)</f>
        <v>20.75</v>
      </c>
      <c r="F693">
        <f t="shared" si="10"/>
        <v>20.75</v>
      </c>
      <c r="G693" t="str">
        <f>_xlfn.XLOOKUP(B693,products_2026!A:A,products_2026!B:B,,0,)</f>
        <v>Wool Beanie - Blue</v>
      </c>
      <c r="H693" t="str">
        <f>_xlfn.XLOOKUP(B693,products_2026!A:A,products_2026!E:E,,0,)</f>
        <v>SELL0039</v>
      </c>
      <c r="I693" t="str">
        <f>IFERROR(_xlfn.XLOOKUP(H693,sellers_2026!A:A,sellers_2026!G:G,,0,), "unknown/inactive")</f>
        <v>QLD</v>
      </c>
      <c r="J693" t="str">
        <f>_xlfn.XLOOKUP(H693,sellers_2026!A:A,sellers_2026!B:B,,0,)</f>
        <v>zmkizlf6t6</v>
      </c>
    </row>
    <row r="694" spans="1:10" ht="14.25" customHeight="1" x14ac:dyDescent="0.3">
      <c r="A694" s="2" t="s">
        <v>3044</v>
      </c>
      <c r="B694" s="2" t="s">
        <v>764</v>
      </c>
      <c r="C694" s="2">
        <v>1</v>
      </c>
      <c r="D694" t="str">
        <f>_xlfn.XLOOKUP(order_items!B694,products_2026!A:A,products_2026!C:C,,0,)</f>
        <v>Health</v>
      </c>
      <c r="E694">
        <f>_xlfn.XLOOKUP(B694,products_2026!A:A,products_2026!D:D,,0,)</f>
        <v>60.86</v>
      </c>
      <c r="F694">
        <f t="shared" si="10"/>
        <v>60.86</v>
      </c>
      <c r="G694" t="str">
        <f>_xlfn.XLOOKUP(B694,products_2026!A:A,products_2026!B:B,,0,)</f>
        <v>Adjustable Dumbbell 12kg</v>
      </c>
      <c r="H694" t="str">
        <f>_xlfn.XLOOKUP(B694,products_2026!A:A,products_2026!E:E,,0,)</f>
        <v>SELL0051</v>
      </c>
      <c r="I694" t="str">
        <f>IFERROR(_xlfn.XLOOKUP(H694,sellers_2026!A:A,sellers_2026!G:G,,0,), "unknown/inactive")</f>
        <v>NT</v>
      </c>
      <c r="J694" t="str">
        <f>_xlfn.XLOOKUP(H694,sellers_2026!A:A,sellers_2026!B:B,,0,)</f>
        <v>healthway</v>
      </c>
    </row>
    <row r="695" spans="1:10" ht="14.25" customHeight="1" x14ac:dyDescent="0.3">
      <c r="A695" s="2" t="s">
        <v>3045</v>
      </c>
      <c r="B695" s="2" t="s">
        <v>60</v>
      </c>
      <c r="C695" s="2">
        <v>1</v>
      </c>
      <c r="D695" t="str">
        <f>_xlfn.XLOOKUP(order_items!B695,products_2026!A:A,products_2026!C:C,,0,)</f>
        <v>Outdoor</v>
      </c>
      <c r="E695">
        <f>_xlfn.XLOOKUP(B695,products_2026!A:A,products_2026!D:D,,0,)</f>
        <v>40.119999999999997</v>
      </c>
      <c r="F695">
        <f t="shared" si="10"/>
        <v>40.119999999999997</v>
      </c>
      <c r="G695" t="str">
        <f>_xlfn.XLOOKUP(B695,products_2026!A:A,products_2026!B:B,,0,)</f>
        <v>Waterproof Picnic Mat 100x100</v>
      </c>
      <c r="H695" t="str">
        <f>_xlfn.XLOOKUP(B695,products_2026!A:A,products_2026!E:E,,0,)</f>
        <v>SELL0016</v>
      </c>
      <c r="I695" t="str">
        <f>IFERROR(_xlfn.XLOOKUP(H695,sellers_2026!A:A,sellers_2026!G:G,,0,), "unknown/inactive")</f>
        <v>TAS</v>
      </c>
      <c r="J695" t="str">
        <f>_xlfn.XLOOKUP(H695,sellers_2026!A:A,sellers_2026!B:B,,0,)</f>
        <v>abracadabra_002</v>
      </c>
    </row>
    <row r="696" spans="1:10" ht="14.25" customHeight="1" x14ac:dyDescent="0.3">
      <c r="A696" s="2" t="s">
        <v>3046</v>
      </c>
      <c r="B696" s="2" t="s">
        <v>937</v>
      </c>
      <c r="C696" s="2">
        <v>1</v>
      </c>
      <c r="D696" t="str">
        <f>_xlfn.XLOOKUP(order_items!B696,products_2026!A:A,products_2026!C:C,,0,)</f>
        <v>Outdoor</v>
      </c>
      <c r="E696">
        <f>_xlfn.XLOOKUP(B696,products_2026!A:A,products_2026!D:D,,0,)</f>
        <v>55.99</v>
      </c>
      <c r="F696">
        <f t="shared" si="10"/>
        <v>55.99</v>
      </c>
      <c r="G696" t="str">
        <f>_xlfn.XLOOKUP(B696,products_2026!A:A,products_2026!B:B,,0,)</f>
        <v>Garden Hose 20m (Grey)</v>
      </c>
      <c r="H696" t="str">
        <f>_xlfn.XLOOKUP(B696,products_2026!A:A,products_2026!E:E,,0,)</f>
        <v>SELL0093</v>
      </c>
      <c r="I696" t="str">
        <f>IFERROR(_xlfn.XLOOKUP(H696,sellers_2026!A:A,sellers_2026!G:G,,0,), "unknown/inactive")</f>
        <v>NT</v>
      </c>
      <c r="J696" t="str">
        <f>_xlfn.XLOOKUP(H696,sellers_2026!A:A,sellers_2026!B:B,,0,)</f>
        <v>millies-outdoor-shop</v>
      </c>
    </row>
    <row r="697" spans="1:10" ht="14.25" customHeight="1" x14ac:dyDescent="0.3">
      <c r="A697" s="2" t="s">
        <v>3047</v>
      </c>
      <c r="B697" s="2" t="s">
        <v>114</v>
      </c>
      <c r="C697" s="2">
        <v>1</v>
      </c>
      <c r="D697" t="str">
        <f>_xlfn.XLOOKUP(order_items!B697,products_2026!A:A,products_2026!C:C,,0,)</f>
        <v>Outdoor</v>
      </c>
      <c r="E697">
        <f>_xlfn.XLOOKUP(B697,products_2026!A:A,products_2026!D:D,,0,)</f>
        <v>38.39</v>
      </c>
      <c r="F697">
        <f t="shared" si="10"/>
        <v>38.39</v>
      </c>
      <c r="G697" t="str">
        <f>_xlfn.XLOOKUP(B697,products_2026!A:A,products_2026!B:B,,0,)</f>
        <v>Fairy Lights Outdoor Garden String 100</v>
      </c>
      <c r="H697" t="str">
        <f>_xlfn.XLOOKUP(B697,products_2026!A:A,products_2026!E:E,,0,)</f>
        <v>SELL0023</v>
      </c>
      <c r="I697" t="str">
        <f>IFERROR(_xlfn.XLOOKUP(H697,sellers_2026!A:A,sellers_2026!G:G,,0,), "unknown/inactive")</f>
        <v>VIC</v>
      </c>
      <c r="J697" t="str">
        <f>_xlfn.XLOOKUP(H697,sellers_2026!A:A,sellers_2026!B:B,,0,)</f>
        <v>cleaning_out_my_shed</v>
      </c>
    </row>
    <row r="698" spans="1:10" ht="14.25" customHeight="1" x14ac:dyDescent="0.3">
      <c r="A698" s="2" t="s">
        <v>3048</v>
      </c>
      <c r="B698" s="2" t="s">
        <v>57</v>
      </c>
      <c r="C698" s="2">
        <v>1</v>
      </c>
      <c r="D698" t="str">
        <f>_xlfn.XLOOKUP(order_items!B698,products_2026!A:A,products_2026!C:C,,0,)</f>
        <v>Outdoor</v>
      </c>
      <c r="E698">
        <f>_xlfn.XLOOKUP(B698,products_2026!A:A,products_2026!D:D,,0,)</f>
        <v>13.71</v>
      </c>
      <c r="F698">
        <f t="shared" si="10"/>
        <v>13.71</v>
      </c>
      <c r="G698" t="str">
        <f>_xlfn.XLOOKUP(B698,products_2026!A:A,products_2026!B:B,,0,)</f>
        <v>BBQ Skewers - 12 pack (Bamboo)</v>
      </c>
      <c r="H698" t="str">
        <f>_xlfn.XLOOKUP(B698,products_2026!A:A,products_2026!E:E,,0,)</f>
        <v>SELL0016</v>
      </c>
      <c r="I698" t="str">
        <f>IFERROR(_xlfn.XLOOKUP(H698,sellers_2026!A:A,sellers_2026!G:G,,0,), "unknown/inactive")</f>
        <v>TAS</v>
      </c>
      <c r="J698" t="str">
        <f>_xlfn.XLOOKUP(H698,sellers_2026!A:A,sellers_2026!B:B,,0,)</f>
        <v>abracadabra_002</v>
      </c>
    </row>
    <row r="699" spans="1:10" ht="14.25" customHeight="1" x14ac:dyDescent="0.3">
      <c r="A699" s="2" t="s">
        <v>3048</v>
      </c>
      <c r="B699" s="2" t="s">
        <v>881</v>
      </c>
      <c r="C699" s="2">
        <v>1</v>
      </c>
      <c r="D699" t="str">
        <f>_xlfn.XLOOKUP(order_items!B699,products_2026!A:A,products_2026!C:C,,0,)</f>
        <v>Outdoor</v>
      </c>
      <c r="E699">
        <f>_xlfn.XLOOKUP(B699,products_2026!A:A,products_2026!D:D,,0,)</f>
        <v>48.82</v>
      </c>
      <c r="F699">
        <f t="shared" si="10"/>
        <v>48.82</v>
      </c>
      <c r="G699" t="str">
        <f>_xlfn.XLOOKUP(B699,products_2026!A:A,products_2026!B:B,,0,)</f>
        <v>Garden Ornament Gnome Red Spots</v>
      </c>
      <c r="H699" t="str">
        <f>_xlfn.XLOOKUP(B699,products_2026!A:A,products_2026!E:E,,0,)</f>
        <v>SELL0092</v>
      </c>
      <c r="I699" t="str">
        <f>IFERROR(_xlfn.XLOOKUP(H699,sellers_2026!A:A,sellers_2026!G:G,,0,), "unknown/inactive")</f>
        <v>VIC</v>
      </c>
      <c r="J699" t="str">
        <f>_xlfn.XLOOKUP(H699,sellers_2026!A:A,sellers_2026!B:B,,0,)</f>
        <v>dress4beauty</v>
      </c>
    </row>
    <row r="700" spans="1:10" ht="14.25" customHeight="1" x14ac:dyDescent="0.3">
      <c r="A700" s="2" t="s">
        <v>3049</v>
      </c>
      <c r="B700" s="2" t="s">
        <v>883</v>
      </c>
      <c r="C700" s="2">
        <v>1</v>
      </c>
      <c r="D700" t="str">
        <f>_xlfn.XLOOKUP(order_items!B700,products_2026!A:A,products_2026!C:C,,0,)</f>
        <v>Outdoor</v>
      </c>
      <c r="E700">
        <f>_xlfn.XLOOKUP(B700,products_2026!A:A,products_2026!D:D,,0,)</f>
        <v>81.02</v>
      </c>
      <c r="F700">
        <f t="shared" si="10"/>
        <v>81.02</v>
      </c>
      <c r="G700" t="str">
        <f>_xlfn.XLOOKUP(B700,products_2026!A:A,products_2026!B:B,,0,)</f>
        <v>BBQ Meat Thermometer Bluetooth</v>
      </c>
      <c r="H700" t="str">
        <f>_xlfn.XLOOKUP(B700,products_2026!A:A,products_2026!E:E,,0,)</f>
        <v>SELL0092</v>
      </c>
      <c r="I700" t="str">
        <f>IFERROR(_xlfn.XLOOKUP(H700,sellers_2026!A:A,sellers_2026!G:G,,0,), "unknown/inactive")</f>
        <v>VIC</v>
      </c>
      <c r="J700" t="str">
        <f>_xlfn.XLOOKUP(H700,sellers_2026!A:A,sellers_2026!B:B,,0,)</f>
        <v>dress4beauty</v>
      </c>
    </row>
    <row r="701" spans="1:10" ht="14.25" customHeight="1" x14ac:dyDescent="0.3">
      <c r="A701" s="2" t="s">
        <v>3050</v>
      </c>
      <c r="B701" s="2" t="s">
        <v>889</v>
      </c>
      <c r="C701" s="2">
        <v>1</v>
      </c>
      <c r="D701" t="str">
        <f>_xlfn.XLOOKUP(order_items!B701,products_2026!A:A,products_2026!C:C,,0,)</f>
        <v>Outdoor</v>
      </c>
      <c r="E701">
        <f>_xlfn.XLOOKUP(B701,products_2026!A:A,products_2026!D:D,,0,)</f>
        <v>10.07</v>
      </c>
      <c r="F701">
        <f t="shared" si="10"/>
        <v>10.07</v>
      </c>
      <c r="G701" t="str">
        <f>_xlfn.XLOOKUP(B701,products_2026!A:A,products_2026!B:B,,0,)</f>
        <v>Bamboo Picnic Rug Recycled Material</v>
      </c>
      <c r="H701" t="str">
        <f>_xlfn.XLOOKUP(B701,products_2026!A:A,products_2026!E:E,,0,)</f>
        <v>SELL0092</v>
      </c>
      <c r="I701" t="str">
        <f>IFERROR(_xlfn.XLOOKUP(H701,sellers_2026!A:A,sellers_2026!G:G,,0,), "unknown/inactive")</f>
        <v>VIC</v>
      </c>
      <c r="J701" t="str">
        <f>_xlfn.XLOOKUP(H701,sellers_2026!A:A,sellers_2026!B:B,,0,)</f>
        <v>dress4beauty</v>
      </c>
    </row>
    <row r="702" spans="1:10" ht="14.25" customHeight="1" x14ac:dyDescent="0.3">
      <c r="A702" s="2" t="s">
        <v>3051</v>
      </c>
      <c r="B702" s="2" t="s">
        <v>64</v>
      </c>
      <c r="C702" s="2">
        <v>1</v>
      </c>
      <c r="D702" t="str">
        <f>_xlfn.XLOOKUP(order_items!B702,products_2026!A:A,products_2026!C:C,,0,)</f>
        <v>Outdoor</v>
      </c>
      <c r="E702">
        <f>_xlfn.XLOOKUP(B702,products_2026!A:A,products_2026!D:D,,0,)</f>
        <v>15.05</v>
      </c>
      <c r="F702">
        <f t="shared" si="10"/>
        <v>15.05</v>
      </c>
      <c r="G702" t="str">
        <f>_xlfn.XLOOKUP(B702,products_2026!A:A,products_2026!B:B,,0,)</f>
        <v>BBQ Skewers - 12 pack (Stainless Steel)</v>
      </c>
      <c r="H702" t="str">
        <f>_xlfn.XLOOKUP(B702,products_2026!A:A,products_2026!E:E,,0,)</f>
        <v>SELL0009</v>
      </c>
      <c r="I702" t="str">
        <f>IFERROR(_xlfn.XLOOKUP(H702,sellers_2026!A:A,sellers_2026!G:G,,0,), "unknown/inactive")</f>
        <v>QLD</v>
      </c>
      <c r="J702" t="str">
        <f>_xlfn.XLOOKUP(H702,sellers_2026!A:A,sellers_2026!B:B,,0,)</f>
        <v>bootsandcamping</v>
      </c>
    </row>
    <row r="703" spans="1:10" ht="14.25" customHeight="1" x14ac:dyDescent="0.3">
      <c r="A703" s="2" t="s">
        <v>3053</v>
      </c>
      <c r="B703" s="2" t="s">
        <v>947</v>
      </c>
      <c r="C703" s="2">
        <v>1</v>
      </c>
      <c r="D703" t="str">
        <f>_xlfn.XLOOKUP(order_items!B703,products_2026!A:A,products_2026!C:C,,0,)</f>
        <v>Health</v>
      </c>
      <c r="E703">
        <f>_xlfn.XLOOKUP(B703,products_2026!A:A,products_2026!D:D,,0,)</f>
        <v>20.39</v>
      </c>
      <c r="F703">
        <f t="shared" si="10"/>
        <v>20.39</v>
      </c>
      <c r="G703" t="str">
        <f>_xlfn.XLOOKUP(B703,products_2026!A:A,products_2026!B:B,,0,)</f>
        <v>Hand Grip Strengthener (Blue)</v>
      </c>
      <c r="H703" t="str">
        <f>_xlfn.XLOOKUP(B703,products_2026!A:A,products_2026!E:E,,0,)</f>
        <v>SELL0051</v>
      </c>
      <c r="I703" t="str">
        <f>IFERROR(_xlfn.XLOOKUP(H703,sellers_2026!A:A,sellers_2026!G:G,,0,), "unknown/inactive")</f>
        <v>NT</v>
      </c>
      <c r="J703" t="str">
        <f>_xlfn.XLOOKUP(H703,sellers_2026!A:A,sellers_2026!B:B,,0,)</f>
        <v>healthway</v>
      </c>
    </row>
    <row r="704" spans="1:10" ht="14.25" customHeight="1" x14ac:dyDescent="0.3">
      <c r="A704" s="2" t="s">
        <v>3054</v>
      </c>
      <c r="B704" s="2" t="s">
        <v>222</v>
      </c>
      <c r="C704" s="2">
        <v>1</v>
      </c>
      <c r="D704" t="str">
        <f>_xlfn.XLOOKUP(order_items!B704,products_2026!A:A,products_2026!C:C,,0,)</f>
        <v>Outdoor</v>
      </c>
      <c r="E704">
        <f>_xlfn.XLOOKUP(B704,products_2026!A:A,products_2026!D:D,,0,)</f>
        <v>43.42</v>
      </c>
      <c r="F704">
        <f t="shared" si="10"/>
        <v>43.42</v>
      </c>
      <c r="G704" t="str">
        <f>_xlfn.XLOOKUP(B704,products_2026!A:A,products_2026!B:B,,0,)</f>
        <v>Picnic basket</v>
      </c>
      <c r="H704" t="str">
        <f>_xlfn.XLOOKUP(B704,products_2026!A:A,products_2026!E:E,,0,)</f>
        <v>SELL0039</v>
      </c>
      <c r="I704" t="str">
        <f>IFERROR(_xlfn.XLOOKUP(H704,sellers_2026!A:A,sellers_2026!G:G,,0,), "unknown/inactive")</f>
        <v>QLD</v>
      </c>
      <c r="J704" t="str">
        <f>_xlfn.XLOOKUP(H704,sellers_2026!A:A,sellers_2026!B:B,,0,)</f>
        <v>zmkizlf6t6</v>
      </c>
    </row>
    <row r="705" spans="1:10" ht="14.25" customHeight="1" x14ac:dyDescent="0.3">
      <c r="A705" s="2" t="s">
        <v>3055</v>
      </c>
      <c r="B705" s="2" t="s">
        <v>501</v>
      </c>
      <c r="C705" s="2">
        <v>1</v>
      </c>
      <c r="D705" t="str">
        <f>_xlfn.XLOOKUP(order_items!B705,products_2026!A:A,products_2026!C:C,,0,)</f>
        <v>Outdoor</v>
      </c>
      <c r="E705">
        <f>_xlfn.XLOOKUP(B705,products_2026!A:A,products_2026!D:D,,0,)</f>
        <v>32.67</v>
      </c>
      <c r="F705">
        <f t="shared" si="10"/>
        <v>32.67</v>
      </c>
      <c r="G705" t="str">
        <f>_xlfn.XLOOKUP(B705,products_2026!A:A,products_2026!B:B,,0,)</f>
        <v>Snorkel Set - Adult Small</v>
      </c>
      <c r="H705" t="str">
        <f>_xlfn.XLOOKUP(B705,products_2026!A:A,products_2026!E:E,,0,)</f>
        <v>SELL0070</v>
      </c>
      <c r="I705" t="str">
        <f>IFERROR(_xlfn.XLOOKUP(H705,sellers_2026!A:A,sellers_2026!G:G,,0,), "unknown/inactive")</f>
        <v>QLD</v>
      </c>
      <c r="J705" t="str">
        <f>_xlfn.XLOOKUP(H705,sellers_2026!A:A,sellers_2026!B:B,,0,)</f>
        <v>homeandaways</v>
      </c>
    </row>
    <row r="706" spans="1:10" ht="14.25" customHeight="1" x14ac:dyDescent="0.3">
      <c r="A706" s="2" t="s">
        <v>3056</v>
      </c>
      <c r="B706" s="2" t="s">
        <v>260</v>
      </c>
      <c r="C706" s="2">
        <v>1</v>
      </c>
      <c r="D706" t="str">
        <f>_xlfn.XLOOKUP(order_items!B706,products_2026!A:A,products_2026!C:C,,0,)</f>
        <v>Clothes</v>
      </c>
      <c r="E706">
        <f>_xlfn.XLOOKUP(B706,products_2026!A:A,products_2026!D:D,,0,)</f>
        <v>41.73</v>
      </c>
      <c r="F706">
        <f t="shared" si="10"/>
        <v>41.73</v>
      </c>
      <c r="G706" t="str">
        <f>_xlfn.XLOOKUP(B706,products_2026!A:A,products_2026!B:B,,0,)</f>
        <v>Rain Jacket Red L</v>
      </c>
      <c r="H706" t="str">
        <f>_xlfn.XLOOKUP(B706,products_2026!A:A,products_2026!E:E,,0,)</f>
        <v>SELL0042</v>
      </c>
      <c r="I706" t="str">
        <f>IFERROR(_xlfn.XLOOKUP(H706,sellers_2026!A:A,sellers_2026!G:G,,0,), "unknown/inactive")</f>
        <v>WA</v>
      </c>
      <c r="J706" t="str">
        <f>_xlfn.XLOOKUP(H706,sellers_2026!A:A,sellers_2026!B:B,,0,)</f>
        <v>beauty490</v>
      </c>
    </row>
    <row r="707" spans="1:10" ht="14.25" customHeight="1" x14ac:dyDescent="0.3">
      <c r="A707" s="2" t="s">
        <v>3056</v>
      </c>
      <c r="B707" s="2" t="s">
        <v>302</v>
      </c>
      <c r="C707" s="2">
        <v>1</v>
      </c>
      <c r="D707" t="str">
        <f>_xlfn.XLOOKUP(order_items!B707,products_2026!A:A,products_2026!C:C,,0,)</f>
        <v>Stationery</v>
      </c>
      <c r="E707">
        <f>_xlfn.XLOOKUP(B707,products_2026!A:A,products_2026!D:D,,0,)</f>
        <v>5.49</v>
      </c>
      <c r="F707">
        <f t="shared" ref="F707:F770" si="11">C707*E707</f>
        <v>5.49</v>
      </c>
      <c r="G707" t="str">
        <f>_xlfn.XLOOKUP(B707,products_2026!A:A,products_2026!B:B,,0,)</f>
        <v>Whiteboard Markers 6pc</v>
      </c>
      <c r="H707" t="str">
        <f>_xlfn.XLOOKUP(B707,products_2026!A:A,products_2026!E:E,,0,)</f>
        <v>SELL0046</v>
      </c>
      <c r="I707" t="str">
        <f>IFERROR(_xlfn.XLOOKUP(H707,sellers_2026!A:A,sellers_2026!G:G,,0,), "unknown/inactive")</f>
        <v>TAS</v>
      </c>
      <c r="J707" t="str">
        <f>_xlfn.XLOOKUP(H707,sellers_2026!A:A,sellers_2026!B:B,,0,)</f>
        <v>find_what_u_need</v>
      </c>
    </row>
    <row r="708" spans="1:10" ht="14.25" customHeight="1" x14ac:dyDescent="0.3">
      <c r="A708" s="2" t="s">
        <v>3057</v>
      </c>
      <c r="B708" s="2" t="s">
        <v>970</v>
      </c>
      <c r="C708" s="2">
        <v>1</v>
      </c>
      <c r="D708" t="str">
        <f>_xlfn.XLOOKUP(order_items!B708,products_2026!A:A,products_2026!C:C,,0,)</f>
        <v>Stationery</v>
      </c>
      <c r="E708">
        <f>_xlfn.XLOOKUP(B708,products_2026!A:A,products_2026!D:D,,0,)</f>
        <v>5.1100000000000003</v>
      </c>
      <c r="F708">
        <f t="shared" si="11"/>
        <v>5.1100000000000003</v>
      </c>
      <c r="G708" t="str">
        <f>_xlfn.XLOOKUP(B708,products_2026!A:A,products_2026!B:B,,0,)</f>
        <v>Sticky Notes Cube 200pc</v>
      </c>
      <c r="H708" t="str">
        <f>_xlfn.XLOOKUP(B708,products_2026!A:A,products_2026!E:E,,0,)</f>
        <v>SELL0094</v>
      </c>
      <c r="I708" t="str">
        <f>IFERROR(_xlfn.XLOOKUP(H708,sellers_2026!A:A,sellers_2026!G:G,,0,), "unknown/inactive")</f>
        <v>WA</v>
      </c>
      <c r="J708" t="str">
        <f>_xlfn.XLOOKUP(H708,sellers_2026!A:A,sellers_2026!B:B,,0,)</f>
        <v>excelinall</v>
      </c>
    </row>
    <row r="709" spans="1:10" ht="14.25" customHeight="1" x14ac:dyDescent="0.3">
      <c r="A709" s="2" t="s">
        <v>3058</v>
      </c>
      <c r="B709" s="2" t="s">
        <v>322</v>
      </c>
      <c r="C709" s="2">
        <v>1</v>
      </c>
      <c r="D709" t="str">
        <f>_xlfn.XLOOKUP(order_items!B709,products_2026!A:A,products_2026!C:C,,0,)</f>
        <v>Outdoor</v>
      </c>
      <c r="E709">
        <f>_xlfn.XLOOKUP(B709,products_2026!A:A,products_2026!D:D,,0,)</f>
        <v>48.81</v>
      </c>
      <c r="F709">
        <f t="shared" si="11"/>
        <v>48.81</v>
      </c>
      <c r="G709" t="str">
        <f>_xlfn.XLOOKUP(B709,products_2026!A:A,products_2026!B:B,,0,)</f>
        <v>Garden Light Sun Powered No Recharge</v>
      </c>
      <c r="H709" t="str">
        <f>_xlfn.XLOOKUP(B709,products_2026!A:A,products_2026!E:E,,0,)</f>
        <v>SELL0048</v>
      </c>
      <c r="I709" t="str">
        <f>IFERROR(_xlfn.XLOOKUP(H709,sellers_2026!A:A,sellers_2026!G:G,,0,), "unknown/inactive")</f>
        <v>VIC</v>
      </c>
      <c r="J709" t="str">
        <f>_xlfn.XLOOKUP(H709,sellers_2026!A:A,sellers_2026!B:B,,0,)</f>
        <v>jy9binq4v9</v>
      </c>
    </row>
    <row r="710" spans="1:10" ht="14.25" customHeight="1" x14ac:dyDescent="0.3">
      <c r="A710" s="2" t="s">
        <v>3059</v>
      </c>
      <c r="B710" s="2" t="s">
        <v>151</v>
      </c>
      <c r="C710" s="2">
        <v>1</v>
      </c>
      <c r="D710" t="str">
        <f>_xlfn.XLOOKUP(order_items!B710,products_2026!A:A,products_2026!C:C,,0,)</f>
        <v>Electronics</v>
      </c>
      <c r="E710">
        <f>_xlfn.XLOOKUP(B710,products_2026!A:A,products_2026!D:D,,0,)</f>
        <v>26.58</v>
      </c>
      <c r="F710">
        <f t="shared" si="11"/>
        <v>26.58</v>
      </c>
      <c r="G710" t="str">
        <f>_xlfn.XLOOKUP(B710,products_2026!A:A,products_2026!B:B,,0,)</f>
        <v>Gaming Mouse</v>
      </c>
      <c r="H710" t="str">
        <f>_xlfn.XLOOKUP(B710,products_2026!A:A,products_2026!E:E,,0,)</f>
        <v>SELL0032</v>
      </c>
      <c r="I710" t="str">
        <f>IFERROR(_xlfn.XLOOKUP(H710,sellers_2026!A:A,sellers_2026!G:G,,0,), "unknown/inactive")</f>
        <v>VIC</v>
      </c>
      <c r="J710" t="str">
        <f>_xlfn.XLOOKUP(H710,sellers_2026!A:A,sellers_2026!B:B,,0,)</f>
        <v>buydongxi25</v>
      </c>
    </row>
    <row r="711" spans="1:10" ht="14.25" customHeight="1" x14ac:dyDescent="0.3">
      <c r="A711" s="2" t="s">
        <v>3059</v>
      </c>
      <c r="B711" s="2" t="s">
        <v>443</v>
      </c>
      <c r="C711" s="2">
        <v>1</v>
      </c>
      <c r="D711" t="str">
        <f>_xlfn.XLOOKUP(order_items!B711,products_2026!A:A,products_2026!C:C,,0,)</f>
        <v>Outdoor</v>
      </c>
      <c r="E711">
        <f>_xlfn.XLOOKUP(B711,products_2026!A:A,products_2026!D:D,,0,)</f>
        <v>35.08</v>
      </c>
      <c r="F711">
        <f t="shared" si="11"/>
        <v>35.08</v>
      </c>
      <c r="G711" t="str">
        <f>_xlfn.XLOOKUP(B711,products_2026!A:A,products_2026!B:B,,0,)</f>
        <v>Snorkel Set - Adult</v>
      </c>
      <c r="H711" t="str">
        <f>_xlfn.XLOOKUP(B711,products_2026!A:A,products_2026!E:E,,0,)</f>
        <v>SELL0062</v>
      </c>
      <c r="I711" t="str">
        <f>IFERROR(_xlfn.XLOOKUP(H711,sellers_2026!A:A,sellers_2026!G:G,,0,), "unknown/inactive")</f>
        <v>QLD</v>
      </c>
      <c r="J711" t="str">
        <f>_xlfn.XLOOKUP(H711,sellers_2026!A:A,sellers_2026!B:B,,0,)</f>
        <v>queenslandqweenie</v>
      </c>
    </row>
    <row r="712" spans="1:10" ht="14.25" customHeight="1" x14ac:dyDescent="0.3">
      <c r="A712" s="2" t="s">
        <v>3059</v>
      </c>
      <c r="B712" s="2" t="s">
        <v>707</v>
      </c>
      <c r="C712" s="2">
        <v>2</v>
      </c>
      <c r="D712" t="str">
        <f>_xlfn.XLOOKUP(order_items!B712,products_2026!A:A,products_2026!C:C,,0,)</f>
        <v>Electronics</v>
      </c>
      <c r="E712">
        <f>_xlfn.XLOOKUP(B712,products_2026!A:A,products_2026!D:D,,0,)</f>
        <v>63.84</v>
      </c>
      <c r="F712">
        <f t="shared" si="11"/>
        <v>127.68</v>
      </c>
      <c r="G712" t="str">
        <f>_xlfn.XLOOKUP(B712,products_2026!A:A,products_2026!B:B,,0,)</f>
        <v>Noise Cancelling Headphones (Black)</v>
      </c>
      <c r="H712" t="str">
        <f>_xlfn.XLOOKUP(B712,products_2026!A:A,products_2026!E:E,,0,)</f>
        <v>SELL0088</v>
      </c>
      <c r="I712" t="str">
        <f>IFERROR(_xlfn.XLOOKUP(H712,sellers_2026!A:A,sellers_2026!G:G,,0,), "unknown/inactive")</f>
        <v>TAS</v>
      </c>
      <c r="J712" t="str">
        <f>_xlfn.XLOOKUP(H712,sellers_2026!A:A,sellers_2026!B:B,,0,)</f>
        <v>7ti9lfa6h5</v>
      </c>
    </row>
    <row r="713" spans="1:10" ht="14.25" customHeight="1" x14ac:dyDescent="0.3">
      <c r="A713" s="2" t="s">
        <v>3059</v>
      </c>
      <c r="B713" s="2" t="s">
        <v>823</v>
      </c>
      <c r="C713" s="2">
        <v>1</v>
      </c>
      <c r="D713" t="str">
        <f>_xlfn.XLOOKUP(order_items!B713,products_2026!A:A,products_2026!C:C,,0,)</f>
        <v>Home</v>
      </c>
      <c r="E713">
        <f>_xlfn.XLOOKUP(B713,products_2026!A:A,products_2026!D:D,,0,)</f>
        <v>119.75</v>
      </c>
      <c r="F713">
        <f t="shared" si="11"/>
        <v>119.75</v>
      </c>
      <c r="G713" t="str">
        <f>_xlfn.XLOOKUP(B713,products_2026!A:A,products_2026!B:B,,0,)</f>
        <v>Rug 220cm x 250cm</v>
      </c>
      <c r="H713" t="str">
        <f>_xlfn.XLOOKUP(B713,products_2026!A:A,products_2026!E:E,,0,)</f>
        <v>SELL0027</v>
      </c>
      <c r="I713" t="str">
        <f>IFERROR(_xlfn.XLOOKUP(H713,sellers_2026!A:A,sellers_2026!G:G,,0,), "unknown/inactive")</f>
        <v>QLD</v>
      </c>
      <c r="J713" t="str">
        <f>_xlfn.XLOOKUP(H713,sellers_2026!A:A,sellers_2026!B:B,,0,)</f>
        <v>home458</v>
      </c>
    </row>
    <row r="714" spans="1:10" ht="14.25" customHeight="1" x14ac:dyDescent="0.3">
      <c r="A714" s="2" t="s">
        <v>3060</v>
      </c>
      <c r="B714" s="2" t="s">
        <v>306</v>
      </c>
      <c r="C714" s="2">
        <v>2</v>
      </c>
      <c r="D714" t="str">
        <f>_xlfn.XLOOKUP(order_items!B714,products_2026!A:A,products_2026!C:C,,0,)</f>
        <v>Gift_Sets</v>
      </c>
      <c r="E714">
        <f>_xlfn.XLOOKUP(B714,products_2026!A:A,products_2026!D:D,,0,)</f>
        <v>37.340000000000003</v>
      </c>
      <c r="F714">
        <f t="shared" si="11"/>
        <v>74.680000000000007</v>
      </c>
      <c r="G714" t="str">
        <f>_xlfn.XLOOKUP(B714,products_2026!A:A,products_2026!B:B,,0,)</f>
        <v>Spa Pamper Gift Set For Him</v>
      </c>
      <c r="H714" t="str">
        <f>_xlfn.XLOOKUP(B714,products_2026!A:A,products_2026!E:E,,0,)</f>
        <v>SELL0046</v>
      </c>
      <c r="I714" t="str">
        <f>IFERROR(_xlfn.XLOOKUP(H714,sellers_2026!A:A,sellers_2026!G:G,,0,), "unknown/inactive")</f>
        <v>TAS</v>
      </c>
      <c r="J714" t="str">
        <f>_xlfn.XLOOKUP(H714,sellers_2026!A:A,sellers_2026!B:B,,0,)</f>
        <v>find_what_u_need</v>
      </c>
    </row>
    <row r="715" spans="1:10" ht="14.25" customHeight="1" x14ac:dyDescent="0.3">
      <c r="A715" s="2" t="s">
        <v>3060</v>
      </c>
      <c r="B715" s="2" t="s">
        <v>694</v>
      </c>
      <c r="C715" s="2">
        <v>1</v>
      </c>
      <c r="D715" t="str">
        <f>_xlfn.XLOOKUP(order_items!B715,products_2026!A:A,products_2026!C:C,,0,)</f>
        <v>Electronics</v>
      </c>
      <c r="E715">
        <f>_xlfn.XLOOKUP(B715,products_2026!A:A,products_2026!D:D,,0,)</f>
        <v>92.77</v>
      </c>
      <c r="F715">
        <f t="shared" si="11"/>
        <v>92.77</v>
      </c>
      <c r="G715" t="str">
        <f>_xlfn.XLOOKUP(B715,products_2026!A:A,products_2026!B:B,,0,)</f>
        <v>Smart LED Light Bulb</v>
      </c>
      <c r="H715" t="str">
        <f>_xlfn.XLOOKUP(B715,products_2026!A:A,products_2026!E:E,,0,)</f>
        <v>SELL0087</v>
      </c>
      <c r="I715" t="str">
        <f>IFERROR(_xlfn.XLOOKUP(H715,sellers_2026!A:A,sellers_2026!G:G,,0,), "unknown/inactive")</f>
        <v>TAS</v>
      </c>
      <c r="J715" t="str">
        <f>_xlfn.XLOOKUP(H715,sellers_2026!A:A,sellers_2026!B:B,,0,)</f>
        <v>electrowave</v>
      </c>
    </row>
    <row r="716" spans="1:10" ht="14.25" customHeight="1" x14ac:dyDescent="0.3">
      <c r="A716" s="2" t="s">
        <v>3062</v>
      </c>
      <c r="B716" s="2" t="s">
        <v>432</v>
      </c>
      <c r="C716" s="2">
        <v>1</v>
      </c>
      <c r="D716" t="str">
        <f>_xlfn.XLOOKUP(order_items!B716,products_2026!A:A,products_2026!C:C,,0,)</f>
        <v>Home</v>
      </c>
      <c r="E716">
        <f>_xlfn.XLOOKUP(B716,products_2026!A:A,products_2026!D:D,,0,)</f>
        <v>83.03</v>
      </c>
      <c r="F716">
        <f t="shared" si="11"/>
        <v>83.03</v>
      </c>
      <c r="G716" t="str">
        <f>_xlfn.XLOOKUP(B716,products_2026!A:A,products_2026!B:B,,0,)</f>
        <v xml:space="preserve">Oil Diffuser </v>
      </c>
      <c r="H716" t="str">
        <f>_xlfn.XLOOKUP(B716,products_2026!A:A,products_2026!E:E,,0,)</f>
        <v>SELL0062</v>
      </c>
      <c r="I716" t="str">
        <f>IFERROR(_xlfn.XLOOKUP(H716,sellers_2026!A:A,sellers_2026!G:G,,0,), "unknown/inactive")</f>
        <v>QLD</v>
      </c>
      <c r="J716" t="str">
        <f>_xlfn.XLOOKUP(H716,sellers_2026!A:A,sellers_2026!B:B,,0,)</f>
        <v>queenslandqweenie</v>
      </c>
    </row>
    <row r="717" spans="1:10" ht="14.25" customHeight="1" x14ac:dyDescent="0.3">
      <c r="A717" s="2" t="s">
        <v>3063</v>
      </c>
      <c r="B717" s="2" t="s">
        <v>361</v>
      </c>
      <c r="C717" s="2">
        <v>1</v>
      </c>
      <c r="D717" t="str">
        <f>_xlfn.XLOOKUP(order_items!B717,products_2026!A:A,products_2026!C:C,,0,)</f>
        <v>Clothes</v>
      </c>
      <c r="E717">
        <f>_xlfn.XLOOKUP(B717,products_2026!A:A,products_2026!D:D,,0,)</f>
        <v>42.11</v>
      </c>
      <c r="F717">
        <f t="shared" si="11"/>
        <v>42.11</v>
      </c>
      <c r="G717" t="str">
        <f>_xlfn.XLOOKUP(B717,products_2026!A:A,products_2026!B:B,,0,)</f>
        <v>Women’s Active Leggings L</v>
      </c>
      <c r="H717" t="str">
        <f>_xlfn.XLOOKUP(B717,products_2026!A:A,products_2026!E:E,,0,)</f>
        <v>SELL0054</v>
      </c>
      <c r="I717" t="str">
        <f>IFERROR(_xlfn.XLOOKUP(H717,sellers_2026!A:A,sellers_2026!G:G,,0,), "unknown/inactive")</f>
        <v>ACT</v>
      </c>
      <c r="J717" t="str">
        <f>_xlfn.XLOOKUP(H717,sellers_2026!A:A,sellers_2026!B:B,,0,)</f>
        <v>b8iv8o4c65</v>
      </c>
    </row>
    <row r="718" spans="1:10" ht="14.25" customHeight="1" x14ac:dyDescent="0.3">
      <c r="A718" s="2" t="s">
        <v>3064</v>
      </c>
      <c r="B718" s="2" t="s">
        <v>245</v>
      </c>
      <c r="C718" s="2">
        <v>1</v>
      </c>
      <c r="D718" t="str">
        <f>_xlfn.XLOOKUP(order_items!B718,products_2026!A:A,products_2026!C:C,,0,)</f>
        <v>Jewellery</v>
      </c>
      <c r="E718">
        <f>_xlfn.XLOOKUP(B718,products_2026!A:A,products_2026!D:D,,0,)</f>
        <v>58.45</v>
      </c>
      <c r="F718">
        <f t="shared" si="11"/>
        <v>58.45</v>
      </c>
      <c r="G718" t="str">
        <f>_xlfn.XLOOKUP(B718,products_2026!A:A,products_2026!B:B,,0,)</f>
        <v>Pearl Stud Earrings Genuine Pearl</v>
      </c>
      <c r="H718" t="str">
        <f>_xlfn.XLOOKUP(B718,products_2026!A:A,products_2026!E:E,,0,)</f>
        <v>SELL0041</v>
      </c>
      <c r="I718" t="str">
        <f>IFERROR(_xlfn.XLOOKUP(H718,sellers_2026!A:A,sellers_2026!G:G,,0,), "unknown/inactive")</f>
        <v>NT</v>
      </c>
      <c r="J718" t="str">
        <f>_xlfn.XLOOKUP(H718,sellers_2026!A:A,sellers_2026!B:B,,0,)</f>
        <v>wcs62ctlxh</v>
      </c>
    </row>
    <row r="719" spans="1:10" ht="14.25" customHeight="1" x14ac:dyDescent="0.3">
      <c r="A719" s="2" t="s">
        <v>3064</v>
      </c>
      <c r="B719" s="2" t="s">
        <v>718</v>
      </c>
      <c r="C719" s="2">
        <v>1</v>
      </c>
      <c r="D719" t="str">
        <f>_xlfn.XLOOKUP(order_items!B719,products_2026!A:A,products_2026!C:C,,0,)</f>
        <v>Gift_Sets</v>
      </c>
      <c r="E719">
        <f>_xlfn.XLOOKUP(B719,products_2026!A:A,products_2026!D:D,,0,)</f>
        <v>24.92</v>
      </c>
      <c r="F719">
        <f t="shared" si="11"/>
        <v>24.92</v>
      </c>
      <c r="G719" t="str">
        <f>_xlfn.XLOOKUP(B719,products_2026!A:A,products_2026!B:B,,0,)</f>
        <v>Spa Pamper Gift Set Fruity Mix</v>
      </c>
      <c r="H719" t="str">
        <f>_xlfn.XLOOKUP(B719,products_2026!A:A,products_2026!E:E,,0,)</f>
        <v>SELL0088</v>
      </c>
      <c r="I719" t="str">
        <f>IFERROR(_xlfn.XLOOKUP(H719,sellers_2026!A:A,sellers_2026!G:G,,0,), "unknown/inactive")</f>
        <v>TAS</v>
      </c>
      <c r="J719" t="str">
        <f>_xlfn.XLOOKUP(H719,sellers_2026!A:A,sellers_2026!B:B,,0,)</f>
        <v>7ti9lfa6h5</v>
      </c>
    </row>
    <row r="720" spans="1:10" ht="14.25" customHeight="1" x14ac:dyDescent="0.3">
      <c r="A720" s="2" t="s">
        <v>3065</v>
      </c>
      <c r="B720" s="2" t="s">
        <v>614</v>
      </c>
      <c r="C720" s="2">
        <v>1</v>
      </c>
      <c r="D720" t="str">
        <f>_xlfn.XLOOKUP(order_items!B720,products_2026!A:A,products_2026!C:C,,0,)</f>
        <v>Beauty</v>
      </c>
      <c r="E720">
        <f>_xlfn.XLOOKUP(B720,products_2026!A:A,products_2026!D:D,,0,)</f>
        <v>32.26</v>
      </c>
      <c r="F720">
        <f t="shared" si="11"/>
        <v>32.26</v>
      </c>
      <c r="G720" t="str">
        <f>_xlfn.XLOOKUP(B720,products_2026!A:A,products_2026!B:B,,0,)</f>
        <v>Vitamin C Serum 50ml</v>
      </c>
      <c r="H720" t="str">
        <f>_xlfn.XLOOKUP(B720,products_2026!A:A,products_2026!E:E,,0,)</f>
        <v>SELL0084</v>
      </c>
      <c r="I720" t="str">
        <f>IFERROR(_xlfn.XLOOKUP(H720,sellers_2026!A:A,sellers_2026!G:G,,0,), "unknown/inactive")</f>
        <v>NSW</v>
      </c>
      <c r="J720" t="str">
        <f>_xlfn.XLOOKUP(H720,sellers_2026!A:A,sellers_2026!B:B,,0,)</f>
        <v>lfmk805jw2</v>
      </c>
    </row>
    <row r="721" spans="1:10" ht="14.25" customHeight="1" x14ac:dyDescent="0.3">
      <c r="A721" s="2" t="s">
        <v>3065</v>
      </c>
      <c r="B721" s="2" t="s">
        <v>624</v>
      </c>
      <c r="C721" s="2">
        <v>2</v>
      </c>
      <c r="D721" t="str">
        <f>_xlfn.XLOOKUP(order_items!B721,products_2026!A:A,products_2026!C:C,,0,)</f>
        <v>Beauty</v>
      </c>
      <c r="E721">
        <f>_xlfn.XLOOKUP(B721,products_2026!A:A,products_2026!D:D,,0,)</f>
        <v>26.2</v>
      </c>
      <c r="F721">
        <f t="shared" si="11"/>
        <v>52.4</v>
      </c>
      <c r="G721" t="str">
        <f>_xlfn.XLOOKUP(B721,products_2026!A:A,products_2026!B:B,,0,)</f>
        <v>Vitamin C Serum 50ml</v>
      </c>
      <c r="H721" t="str">
        <f>_xlfn.XLOOKUP(B721,products_2026!A:A,products_2026!E:E,,0,)</f>
        <v>SELL0001</v>
      </c>
      <c r="I721" t="str">
        <f>IFERROR(_xlfn.XLOOKUP(H721,sellers_2026!A:A,sellers_2026!G:G,,0,), "unknown/inactive")</f>
        <v>VIC</v>
      </c>
      <c r="J721" t="str">
        <f>_xlfn.XLOOKUP(H721,sellers_2026!A:A,sellers_2026!B:B,,0,)</f>
        <v>beauty4everyone</v>
      </c>
    </row>
    <row r="722" spans="1:10" ht="14.25" customHeight="1" x14ac:dyDescent="0.3">
      <c r="A722" s="2" t="s">
        <v>3065</v>
      </c>
      <c r="B722" s="2" t="s">
        <v>860</v>
      </c>
      <c r="C722" s="2">
        <v>1</v>
      </c>
      <c r="D722" t="str">
        <f>_xlfn.XLOOKUP(order_items!B722,products_2026!A:A,products_2026!C:C,,0,)</f>
        <v>Jewellery</v>
      </c>
      <c r="E722">
        <f>_xlfn.XLOOKUP(B722,products_2026!A:A,products_2026!D:D,,0,)</f>
        <v>49.13</v>
      </c>
      <c r="F722">
        <f t="shared" si="11"/>
        <v>49.13</v>
      </c>
      <c r="G722" t="str">
        <f>_xlfn.XLOOKUP(B722,products_2026!A:A,products_2026!B:B,,0,)</f>
        <v>Ring Set (Rose Gold)</v>
      </c>
      <c r="H722" t="str">
        <f>_xlfn.XLOOKUP(B722,products_2026!A:A,products_2026!E:E,,0,)</f>
        <v>SELL0092</v>
      </c>
      <c r="I722" t="str">
        <f>IFERROR(_xlfn.XLOOKUP(H722,sellers_2026!A:A,sellers_2026!G:G,,0,), "unknown/inactive")</f>
        <v>VIC</v>
      </c>
      <c r="J722" t="str">
        <f>_xlfn.XLOOKUP(H722,sellers_2026!A:A,sellers_2026!B:B,,0,)</f>
        <v>dress4beauty</v>
      </c>
    </row>
    <row r="723" spans="1:10" ht="14.25" customHeight="1" x14ac:dyDescent="0.3">
      <c r="A723" s="2" t="s">
        <v>3066</v>
      </c>
      <c r="B723" s="2" t="s">
        <v>260</v>
      </c>
      <c r="C723" s="2">
        <v>1</v>
      </c>
      <c r="D723" t="str">
        <f>_xlfn.XLOOKUP(order_items!B723,products_2026!A:A,products_2026!C:C,,0,)</f>
        <v>Clothes</v>
      </c>
      <c r="E723">
        <f>_xlfn.XLOOKUP(B723,products_2026!A:A,products_2026!D:D,,0,)</f>
        <v>41.73</v>
      </c>
      <c r="F723">
        <f t="shared" si="11"/>
        <v>41.73</v>
      </c>
      <c r="G723" t="str">
        <f>_xlfn.XLOOKUP(B723,products_2026!A:A,products_2026!B:B,,0,)</f>
        <v>Rain Jacket Red L</v>
      </c>
      <c r="H723" t="str">
        <f>_xlfn.XLOOKUP(B723,products_2026!A:A,products_2026!E:E,,0,)</f>
        <v>SELL0042</v>
      </c>
      <c r="I723" t="str">
        <f>IFERROR(_xlfn.XLOOKUP(H723,sellers_2026!A:A,sellers_2026!G:G,,0,), "unknown/inactive")</f>
        <v>WA</v>
      </c>
      <c r="J723" t="str">
        <f>_xlfn.XLOOKUP(H723,sellers_2026!A:A,sellers_2026!B:B,,0,)</f>
        <v>beauty490</v>
      </c>
    </row>
    <row r="724" spans="1:10" ht="14.25" customHeight="1" x14ac:dyDescent="0.3">
      <c r="A724" s="2" t="s">
        <v>3067</v>
      </c>
      <c r="B724" s="2" t="s">
        <v>840</v>
      </c>
      <c r="C724" s="2">
        <v>1</v>
      </c>
      <c r="D724" t="str">
        <f>_xlfn.XLOOKUP(order_items!B724,products_2026!A:A,products_2026!C:C,,0,)</f>
        <v>Home</v>
      </c>
      <c r="E724">
        <f>_xlfn.XLOOKUP(B724,products_2026!A:A,products_2026!D:D,,0,)</f>
        <v>85.1</v>
      </c>
      <c r="F724">
        <f t="shared" si="11"/>
        <v>85.1</v>
      </c>
      <c r="G724" t="str">
        <f>_xlfn.XLOOKUP(B724,products_2026!A:A,products_2026!B:B,,0,)</f>
        <v>LED Floor Lamp</v>
      </c>
      <c r="H724" t="str">
        <f>_xlfn.XLOOKUP(B724,products_2026!A:A,products_2026!E:E,,0,)</f>
        <v>SELL0091</v>
      </c>
      <c r="I724" t="str">
        <f>IFERROR(_xlfn.XLOOKUP(H724,sellers_2026!A:A,sellers_2026!G:G,,0,), "unknown/inactive")</f>
        <v>TAS</v>
      </c>
      <c r="J724" t="str">
        <f>_xlfn.XLOOKUP(H724,sellers_2026!A:A,sellers_2026!B:B,,0,)</f>
        <v>beautifullhome</v>
      </c>
    </row>
    <row r="725" spans="1:10" ht="14.25" customHeight="1" x14ac:dyDescent="0.3">
      <c r="A725" s="2" t="s">
        <v>3067</v>
      </c>
      <c r="B725" s="2" t="s">
        <v>993</v>
      </c>
      <c r="C725" s="2">
        <v>1</v>
      </c>
      <c r="D725" t="str">
        <f>_xlfn.XLOOKUP(order_items!B725,products_2026!A:A,products_2026!C:C,,0,)</f>
        <v>Toys</v>
      </c>
      <c r="E725">
        <f>_xlfn.XLOOKUP(B725,products_2026!A:A,products_2026!D:D,,0,)</f>
        <v>26.48</v>
      </c>
      <c r="F725">
        <f t="shared" si="11"/>
        <v>26.48</v>
      </c>
      <c r="G725" t="str">
        <f>_xlfn.XLOOKUP(B725,products_2026!A:A,products_2026!B:B,,0,)</f>
        <v>Wooden Train Set</v>
      </c>
      <c r="H725" t="str">
        <f>_xlfn.XLOOKUP(B725,products_2026!A:A,products_2026!E:E,,0,)</f>
        <v>SELL0095</v>
      </c>
      <c r="I725" t="str">
        <f>IFERROR(_xlfn.XLOOKUP(H725,sellers_2026!A:A,sellers_2026!G:G,,0,), "unknown/inactive")</f>
        <v>TAS</v>
      </c>
      <c r="J725" t="str">
        <f>_xlfn.XLOOKUP(H725,sellers_2026!A:A,sellers_2026!B:B,,0,)</f>
        <v>toybuy</v>
      </c>
    </row>
    <row r="726" spans="1:10" ht="14.25" customHeight="1" x14ac:dyDescent="0.3">
      <c r="A726" s="2" t="s">
        <v>3068</v>
      </c>
      <c r="B726" s="2" t="s">
        <v>470</v>
      </c>
      <c r="C726" s="2">
        <v>2</v>
      </c>
      <c r="D726" t="str">
        <f>_xlfn.XLOOKUP(order_items!B726,products_2026!A:A,products_2026!C:C,,0,)</f>
        <v>Outdoor</v>
      </c>
      <c r="E726">
        <f>_xlfn.XLOOKUP(B726,products_2026!A:A,products_2026!D:D,,0,)</f>
        <v>30.95</v>
      </c>
      <c r="F726">
        <f t="shared" si="11"/>
        <v>61.9</v>
      </c>
      <c r="G726" t="str">
        <f>_xlfn.XLOOKUP(B726,products_2026!A:A,products_2026!B:B,,0,)</f>
        <v>BBQ Cleaning Brush</v>
      </c>
      <c r="H726" t="str">
        <f>_xlfn.XLOOKUP(B726,products_2026!A:A,products_2026!E:E,,0,)</f>
        <v>SELL0067</v>
      </c>
      <c r="I726" t="str">
        <f>IFERROR(_xlfn.XLOOKUP(H726,sellers_2026!A:A,sellers_2026!G:G,,0,), "unknown/inactive")</f>
        <v>WA</v>
      </c>
      <c r="J726" t="str">
        <f>_xlfn.XLOOKUP(H726,sellers_2026!A:A,sellers_2026!B:B,,0,)</f>
        <v>w71bv3mee1</v>
      </c>
    </row>
    <row r="727" spans="1:10" ht="14.25" customHeight="1" x14ac:dyDescent="0.3">
      <c r="A727" s="2" t="s">
        <v>3068</v>
      </c>
      <c r="B727" s="2" t="s">
        <v>590</v>
      </c>
      <c r="C727" s="2">
        <v>2</v>
      </c>
      <c r="D727" t="str">
        <f>_xlfn.XLOOKUP(order_items!B727,products_2026!A:A,products_2026!C:C,,0,)</f>
        <v>Gift_Sets</v>
      </c>
      <c r="E727">
        <f>_xlfn.XLOOKUP(B727,products_2026!A:A,products_2026!D:D,,0,)</f>
        <v>19.09</v>
      </c>
      <c r="F727">
        <f t="shared" si="11"/>
        <v>38.18</v>
      </c>
      <c r="G727" t="str">
        <f>_xlfn.XLOOKUP(B727,products_2026!A:A,products_2026!B:B,,0,)</f>
        <v>Milk Chocolate Selection Box</v>
      </c>
      <c r="H727" t="str">
        <f>_xlfn.XLOOKUP(B727,products_2026!A:A,products_2026!E:E,,0,)</f>
        <v>SELL0081</v>
      </c>
      <c r="I727" t="str">
        <f>IFERROR(_xlfn.XLOOKUP(H727,sellers_2026!A:A,sellers_2026!G:G,,0,), "unknown/inactive")</f>
        <v>QLD</v>
      </c>
      <c r="J727" t="str">
        <f>_xlfn.XLOOKUP(H727,sellers_2026!A:A,sellers_2026!B:B,,0,)</f>
        <v>brizzy_bonanza_48</v>
      </c>
    </row>
    <row r="728" spans="1:10" ht="14.25" customHeight="1" x14ac:dyDescent="0.3">
      <c r="A728" s="2" t="s">
        <v>3068</v>
      </c>
      <c r="B728" s="2" t="s">
        <v>695</v>
      </c>
      <c r="C728" s="2">
        <v>1</v>
      </c>
      <c r="D728" t="str">
        <f>_xlfn.XLOOKUP(order_items!B728,products_2026!A:A,products_2026!C:C,,0,)</f>
        <v>Electronics</v>
      </c>
      <c r="E728">
        <f>_xlfn.XLOOKUP(B728,products_2026!A:A,products_2026!D:D,,0,)</f>
        <v>63.84</v>
      </c>
      <c r="F728">
        <f t="shared" si="11"/>
        <v>63.84</v>
      </c>
      <c r="G728" t="str">
        <f>_xlfn.XLOOKUP(B728,products_2026!A:A,products_2026!B:B,,0,)</f>
        <v>Noise Cancelling Headphones (Blue)</v>
      </c>
      <c r="H728" t="str">
        <f>_xlfn.XLOOKUP(B728,products_2026!A:A,products_2026!E:E,,0,)</f>
        <v>SELL0088</v>
      </c>
      <c r="I728" t="str">
        <f>IFERROR(_xlfn.XLOOKUP(H728,sellers_2026!A:A,sellers_2026!G:G,,0,), "unknown/inactive")</f>
        <v>TAS</v>
      </c>
      <c r="J728" t="str">
        <f>_xlfn.XLOOKUP(H728,sellers_2026!A:A,sellers_2026!B:B,,0,)</f>
        <v>7ti9lfa6h5</v>
      </c>
    </row>
    <row r="729" spans="1:10" ht="14.25" customHeight="1" x14ac:dyDescent="0.3">
      <c r="A729" s="2" t="s">
        <v>3069</v>
      </c>
      <c r="B729" s="2" t="s">
        <v>710</v>
      </c>
      <c r="C729" s="2">
        <v>2</v>
      </c>
      <c r="D729" t="str">
        <f>_xlfn.XLOOKUP(order_items!B729,products_2026!A:A,products_2026!C:C,,0,)</f>
        <v>Electronics</v>
      </c>
      <c r="E729">
        <f>_xlfn.XLOOKUP(B729,products_2026!A:A,products_2026!D:D,,0,)</f>
        <v>36.57</v>
      </c>
      <c r="F729">
        <f t="shared" si="11"/>
        <v>73.14</v>
      </c>
      <c r="G729" t="str">
        <f>_xlfn.XLOOKUP(B729,products_2026!A:A,products_2026!B:B,,0,)</f>
        <v>Portable Power Bank 10,000mAh (Navy)</v>
      </c>
      <c r="H729" t="str">
        <f>_xlfn.XLOOKUP(B729,products_2026!A:A,products_2026!E:E,,0,)</f>
        <v>SELL0088</v>
      </c>
      <c r="I729" t="str">
        <f>IFERROR(_xlfn.XLOOKUP(H729,sellers_2026!A:A,sellers_2026!G:G,,0,), "unknown/inactive")</f>
        <v>TAS</v>
      </c>
      <c r="J729" t="str">
        <f>_xlfn.XLOOKUP(H729,sellers_2026!A:A,sellers_2026!B:B,,0,)</f>
        <v>7ti9lfa6h5</v>
      </c>
    </row>
    <row r="730" spans="1:10" ht="14.25" customHeight="1" x14ac:dyDescent="0.3">
      <c r="A730" s="2" t="s">
        <v>3069</v>
      </c>
      <c r="B730" s="2" t="s">
        <v>813</v>
      </c>
      <c r="C730" s="2">
        <v>1</v>
      </c>
      <c r="D730" t="str">
        <f>_xlfn.XLOOKUP(order_items!B730,products_2026!A:A,products_2026!C:C,,0,)</f>
        <v>Home</v>
      </c>
      <c r="E730">
        <f>_xlfn.XLOOKUP(B730,products_2026!A:A,products_2026!D:D,,0,)</f>
        <v>29.92</v>
      </c>
      <c r="F730">
        <f t="shared" si="11"/>
        <v>29.92</v>
      </c>
      <c r="G730" t="str">
        <f>_xlfn.XLOOKUP(B730,products_2026!A:A,products_2026!B:B,,0,)</f>
        <v>LED Floor Lamp Battery</v>
      </c>
      <c r="H730" t="str">
        <f>_xlfn.XLOOKUP(B730,products_2026!A:A,products_2026!E:E,,0,)</f>
        <v>SELL0090</v>
      </c>
      <c r="I730" t="str">
        <f>IFERROR(_xlfn.XLOOKUP(H730,sellers_2026!A:A,sellers_2026!G:G,,0,), "unknown/inactive")</f>
        <v>TAS</v>
      </c>
      <c r="J730" t="str">
        <f>_xlfn.XLOOKUP(H730,sellers_2026!A:A,sellers_2026!B:B,,0,)</f>
        <v>housenice</v>
      </c>
    </row>
    <row r="731" spans="1:10" ht="14.25" customHeight="1" x14ac:dyDescent="0.3">
      <c r="A731" s="2" t="s">
        <v>3069</v>
      </c>
      <c r="B731" s="2" t="s">
        <v>937</v>
      </c>
      <c r="C731" s="2">
        <v>1</v>
      </c>
      <c r="D731" t="str">
        <f>_xlfn.XLOOKUP(order_items!B731,products_2026!A:A,products_2026!C:C,,0,)</f>
        <v>Outdoor</v>
      </c>
      <c r="E731">
        <f>_xlfn.XLOOKUP(B731,products_2026!A:A,products_2026!D:D,,0,)</f>
        <v>55.99</v>
      </c>
      <c r="F731">
        <f t="shared" si="11"/>
        <v>55.99</v>
      </c>
      <c r="G731" t="str">
        <f>_xlfn.XLOOKUP(B731,products_2026!A:A,products_2026!B:B,,0,)</f>
        <v>Garden Hose 20m (Grey)</v>
      </c>
      <c r="H731" t="str">
        <f>_xlfn.XLOOKUP(B731,products_2026!A:A,products_2026!E:E,,0,)</f>
        <v>SELL0093</v>
      </c>
      <c r="I731" t="str">
        <f>IFERROR(_xlfn.XLOOKUP(H731,sellers_2026!A:A,sellers_2026!G:G,,0,), "unknown/inactive")</f>
        <v>NT</v>
      </c>
      <c r="J731" t="str">
        <f>_xlfn.XLOOKUP(H731,sellers_2026!A:A,sellers_2026!B:B,,0,)</f>
        <v>millies-outdoor-shop</v>
      </c>
    </row>
    <row r="732" spans="1:10" ht="14.25" customHeight="1" x14ac:dyDescent="0.3">
      <c r="A732" s="2" t="s">
        <v>3070</v>
      </c>
      <c r="B732" s="2" t="s">
        <v>681</v>
      </c>
      <c r="C732" s="2">
        <v>1</v>
      </c>
      <c r="D732" t="str">
        <f>_xlfn.XLOOKUP(order_items!B732,products_2026!A:A,products_2026!C:C,,0,)</f>
        <v>Electronics</v>
      </c>
      <c r="E732">
        <f>_xlfn.XLOOKUP(B732,products_2026!A:A,products_2026!D:D,,0,)</f>
        <v>97.88</v>
      </c>
      <c r="F732">
        <f t="shared" si="11"/>
        <v>97.88</v>
      </c>
      <c r="G732" t="str">
        <f>_xlfn.XLOOKUP(B732,products_2026!A:A,products_2026!B:B,,0,)</f>
        <v>HD Webcam 1080p USB Desktop</v>
      </c>
      <c r="H732" t="str">
        <f>_xlfn.XLOOKUP(B732,products_2026!A:A,products_2026!E:E,,0,)</f>
        <v>SELL0024</v>
      </c>
      <c r="I732" t="str">
        <f>IFERROR(_xlfn.XLOOKUP(H732,sellers_2026!A:A,sellers_2026!G:G,,0,), "unknown/inactive")</f>
        <v>VIC</v>
      </c>
      <c r="J732" t="str">
        <f>_xlfn.XLOOKUP(H732,sellers_2026!A:A,sellers_2026!B:B,,0,)</f>
        <v>ELEC25B</v>
      </c>
    </row>
    <row r="733" spans="1:10" ht="14.25" customHeight="1" x14ac:dyDescent="0.3">
      <c r="A733" s="2" t="s">
        <v>3071</v>
      </c>
      <c r="B733" s="2" t="s">
        <v>31</v>
      </c>
      <c r="C733" s="2">
        <v>1</v>
      </c>
      <c r="D733" t="str">
        <f>_xlfn.XLOOKUP(order_items!B733,products_2026!A:A,products_2026!C:C,,0,)</f>
        <v>Toys</v>
      </c>
      <c r="E733">
        <f>_xlfn.XLOOKUP(B733,products_2026!A:A,products_2026!D:D,,0,)</f>
        <v>38.25</v>
      </c>
      <c r="F733">
        <f t="shared" si="11"/>
        <v>38.25</v>
      </c>
      <c r="G733" t="str">
        <f>_xlfn.XLOOKUP(B733,products_2026!A:A,products_2026!B:B,,0,)</f>
        <v>Slime Lab Green 8pc</v>
      </c>
      <c r="H733" t="str">
        <f>_xlfn.XLOOKUP(B733,products_2026!A:A,products_2026!E:E,,0,)</f>
        <v>SELL0006</v>
      </c>
      <c r="I733" t="str">
        <f>IFERROR(_xlfn.XLOOKUP(H733,sellers_2026!A:A,sellers_2026!G:G,,0,), "unknown/inactive")</f>
        <v>VIC</v>
      </c>
      <c r="J733" t="str">
        <f>_xlfn.XLOOKUP(H733,sellers_2026!A:A,sellers_2026!B:B,,0,)</f>
        <v>toysyay</v>
      </c>
    </row>
    <row r="734" spans="1:10" ht="14.25" customHeight="1" x14ac:dyDescent="0.3">
      <c r="A734" s="2" t="s">
        <v>3071</v>
      </c>
      <c r="B734" s="2" t="s">
        <v>519</v>
      </c>
      <c r="C734" s="2">
        <v>1</v>
      </c>
      <c r="D734" t="str">
        <f>_xlfn.XLOOKUP(order_items!B734,products_2026!A:A,products_2026!C:C,,0,)</f>
        <v>Outdoor</v>
      </c>
      <c r="E734">
        <f>_xlfn.XLOOKUP(B734,products_2026!A:A,products_2026!D:D,,0,)</f>
        <v>93.44</v>
      </c>
      <c r="F734">
        <f t="shared" si="11"/>
        <v>93.44</v>
      </c>
      <c r="G734" t="str">
        <f>_xlfn.XLOOKUP(B734,products_2026!A:A,products_2026!B:B,,0,)</f>
        <v>Charcoal Starter Chimney XL</v>
      </c>
      <c r="H734" t="str">
        <f>_xlfn.XLOOKUP(B734,products_2026!A:A,products_2026!E:E,,0,)</f>
        <v>SELL0072</v>
      </c>
      <c r="I734" t="str">
        <f>IFERROR(_xlfn.XLOOKUP(H734,sellers_2026!A:A,sellers_2026!G:G,,0,), "unknown/inactive")</f>
        <v>ACT</v>
      </c>
      <c r="J734" t="str">
        <f>_xlfn.XLOOKUP(H734,sellers_2026!A:A,sellers_2026!B:B,,0,)</f>
        <v>swanium</v>
      </c>
    </row>
    <row r="735" spans="1:10" ht="14.25" customHeight="1" x14ac:dyDescent="0.3">
      <c r="A735" s="2" t="s">
        <v>3072</v>
      </c>
      <c r="B735" s="2" t="s">
        <v>766</v>
      </c>
      <c r="C735" s="2">
        <v>1</v>
      </c>
      <c r="D735" t="str">
        <f>_xlfn.XLOOKUP(order_items!B735,products_2026!A:A,products_2026!C:C,,0,)</f>
        <v>Health</v>
      </c>
      <c r="E735">
        <f>_xlfn.XLOOKUP(B735,products_2026!A:A,products_2026!D:D,,0,)</f>
        <v>77.97</v>
      </c>
      <c r="F735">
        <f t="shared" si="11"/>
        <v>77.97</v>
      </c>
      <c r="G735" t="str">
        <f>_xlfn.XLOOKUP(B735,products_2026!A:A,products_2026!B:B,,0,)</f>
        <v>Adjustable Dumbbell 20kg</v>
      </c>
      <c r="H735" t="str">
        <f>_xlfn.XLOOKUP(B735,products_2026!A:A,products_2026!E:E,,0,)</f>
        <v>SELL0051</v>
      </c>
      <c r="I735" t="str">
        <f>IFERROR(_xlfn.XLOOKUP(H735,sellers_2026!A:A,sellers_2026!G:G,,0,), "unknown/inactive")</f>
        <v>NT</v>
      </c>
      <c r="J735" t="str">
        <f>_xlfn.XLOOKUP(H735,sellers_2026!A:A,sellers_2026!B:B,,0,)</f>
        <v>healthway</v>
      </c>
    </row>
    <row r="736" spans="1:10" ht="14.25" customHeight="1" x14ac:dyDescent="0.3">
      <c r="A736" s="2" t="s">
        <v>3073</v>
      </c>
      <c r="B736" s="2" t="s">
        <v>61</v>
      </c>
      <c r="C736" s="2">
        <v>1</v>
      </c>
      <c r="D736" t="str">
        <f>_xlfn.XLOOKUP(order_items!B736,products_2026!A:A,products_2026!C:C,,0,)</f>
        <v>Beauty</v>
      </c>
      <c r="E736">
        <f>_xlfn.XLOOKUP(B736,products_2026!A:A,products_2026!D:D,,0,)</f>
        <v>10.94</v>
      </c>
      <c r="F736">
        <f t="shared" si="11"/>
        <v>10.94</v>
      </c>
      <c r="G736" t="str">
        <f>_xlfn.XLOOKUP(B736,products_2026!A:A,products_2026!B:B,,0,)</f>
        <v>Hydrating Face Mist</v>
      </c>
      <c r="H736" t="str">
        <f>_xlfn.XLOOKUP(B736,products_2026!A:A,products_2026!E:E,,0,)</f>
        <v>SELL0017</v>
      </c>
      <c r="I736" t="str">
        <f>IFERROR(_xlfn.XLOOKUP(H736,sellers_2026!A:A,sellers_2026!G:G,,0,), "unknown/inactive")</f>
        <v>QLD</v>
      </c>
      <c r="J736" t="str">
        <f>_xlfn.XLOOKUP(H736,sellers_2026!A:A,sellers_2026!B:B,,0,)</f>
        <v>7e16xoz37j</v>
      </c>
    </row>
    <row r="737" spans="1:10" ht="14.25" customHeight="1" x14ac:dyDescent="0.3">
      <c r="A737" s="2" t="s">
        <v>3074</v>
      </c>
      <c r="B737" s="2" t="s">
        <v>530</v>
      </c>
      <c r="C737" s="2">
        <v>1</v>
      </c>
      <c r="D737" t="str">
        <f>_xlfn.XLOOKUP(order_items!B737,products_2026!A:A,products_2026!C:C,,0,)</f>
        <v>Gift_Sets</v>
      </c>
      <c r="E737">
        <f>_xlfn.XLOOKUP(B737,products_2026!A:A,products_2026!D:D,,0,)</f>
        <v>19.03</v>
      </c>
      <c r="F737">
        <f t="shared" si="11"/>
        <v>19.03</v>
      </c>
      <c r="G737" t="str">
        <f>_xlfn.XLOOKUP(B737,products_2026!A:A,products_2026!B:B,,0,)</f>
        <v>Tea Lovers Hamper Shapes Edition</v>
      </c>
      <c r="H737" t="str">
        <f>_xlfn.XLOOKUP(B737,products_2026!A:A,products_2026!E:E,,0,)</f>
        <v>SELL0073</v>
      </c>
      <c r="I737" t="str">
        <f>IFERROR(_xlfn.XLOOKUP(H737,sellers_2026!A:A,sellers_2026!G:G,,0,), "unknown/inactive")</f>
        <v>NSW</v>
      </c>
      <c r="J737" t="str">
        <f>_xlfn.XLOOKUP(H737,sellers_2026!A:A,sellers_2026!B:B,,0,)</f>
        <v>new-south-sales</v>
      </c>
    </row>
    <row r="738" spans="1:10" ht="14.25" customHeight="1" x14ac:dyDescent="0.3">
      <c r="A738" s="2" t="s">
        <v>3074</v>
      </c>
      <c r="B738" s="2" t="s">
        <v>552</v>
      </c>
      <c r="C738" s="2">
        <v>1</v>
      </c>
      <c r="D738" t="str">
        <f>_xlfn.XLOOKUP(order_items!B738,products_2026!A:A,products_2026!C:C,,0,)</f>
        <v>Stationery</v>
      </c>
      <c r="E738">
        <f>_xlfn.XLOOKUP(B738,products_2026!A:A,products_2026!D:D,,0,)</f>
        <v>2.1800000000000002</v>
      </c>
      <c r="F738">
        <f t="shared" si="11"/>
        <v>2.1800000000000002</v>
      </c>
      <c r="G738" t="str">
        <f>_xlfn.XLOOKUP(B738,products_2026!A:A,products_2026!B:B,,0,)</f>
        <v>Ballpoint pen 6 pack</v>
      </c>
      <c r="H738" t="str">
        <f>_xlfn.XLOOKUP(B738,products_2026!A:A,products_2026!E:E,,0,)</f>
        <v>SELL0076</v>
      </c>
      <c r="I738" t="str">
        <f>IFERROR(_xlfn.XLOOKUP(H738,sellers_2026!A:A,sellers_2026!G:G,,0,), "unknown/inactive")</f>
        <v>QLD</v>
      </c>
      <c r="J738" t="str">
        <f>_xlfn.XLOOKUP(H738,sellers_2026!A:A,sellers_2026!B:B,,0,)</f>
        <v>generalstuff</v>
      </c>
    </row>
    <row r="739" spans="1:10" ht="14.25" customHeight="1" x14ac:dyDescent="0.3">
      <c r="A739" s="2" t="s">
        <v>3075</v>
      </c>
      <c r="B739" s="2" t="s">
        <v>235</v>
      </c>
      <c r="C739" s="2">
        <v>1</v>
      </c>
      <c r="D739" t="str">
        <f>_xlfn.XLOOKUP(order_items!B739,products_2026!A:A,products_2026!C:C,,0,)</f>
        <v>Toys</v>
      </c>
      <c r="E739">
        <f>_xlfn.XLOOKUP(B739,products_2026!A:A,products_2026!D:D,,0,)</f>
        <v>20.13</v>
      </c>
      <c r="F739">
        <f t="shared" si="11"/>
        <v>20.13</v>
      </c>
      <c r="G739" t="str">
        <f>_xlfn.XLOOKUP(B739,products_2026!A:A,products_2026!B:B,,0,)</f>
        <v>Plush Koala Toy</v>
      </c>
      <c r="H739" t="str">
        <f>_xlfn.XLOOKUP(B739,products_2026!A:A,products_2026!E:E,,0,)</f>
        <v>SELL0040</v>
      </c>
      <c r="I739" t="str">
        <f>IFERROR(_xlfn.XLOOKUP(H739,sellers_2026!A:A,sellers_2026!G:G,,0,), "unknown/inactive")</f>
        <v>TAS</v>
      </c>
      <c r="J739" t="str">
        <f>_xlfn.XLOOKUP(H739,sellers_2026!A:A,sellers_2026!B:B,,0,)</f>
        <v>cheapandgood27</v>
      </c>
    </row>
    <row r="740" spans="1:10" ht="14.25" customHeight="1" x14ac:dyDescent="0.3">
      <c r="A740" s="2" t="s">
        <v>3076</v>
      </c>
      <c r="B740" s="2" t="s">
        <v>457</v>
      </c>
      <c r="C740" s="2">
        <v>1</v>
      </c>
      <c r="D740" t="str">
        <f>_xlfn.XLOOKUP(order_items!B740,products_2026!A:A,products_2026!C:C,,0,)</f>
        <v>Beauty</v>
      </c>
      <c r="E740">
        <f>_xlfn.XLOOKUP(B740,products_2026!A:A,products_2026!D:D,,0,)</f>
        <v>25.78</v>
      </c>
      <c r="F740">
        <f t="shared" si="11"/>
        <v>25.78</v>
      </c>
      <c r="G740" t="str">
        <f>_xlfn.XLOOKUP(B740,products_2026!A:A,products_2026!B:B,,0,)</f>
        <v>Rose Water Toner</v>
      </c>
      <c r="H740" t="str">
        <f>_xlfn.XLOOKUP(B740,products_2026!A:A,products_2026!E:E,,0,)</f>
        <v>SELL0065</v>
      </c>
      <c r="I740" t="str">
        <f>IFERROR(_xlfn.XLOOKUP(H740,sellers_2026!A:A,sellers_2026!G:G,,0,), "unknown/inactive")</f>
        <v>ACT</v>
      </c>
      <c r="J740" t="str">
        <f>_xlfn.XLOOKUP(H740,sellers_2026!A:A,sellers_2026!B:B,,0,)</f>
        <v>fq9rb8o3qr</v>
      </c>
    </row>
    <row r="741" spans="1:10" ht="14.25" customHeight="1" x14ac:dyDescent="0.3">
      <c r="A741" s="2" t="s">
        <v>3076</v>
      </c>
      <c r="B741" s="2" t="s">
        <v>588</v>
      </c>
      <c r="C741" s="2">
        <v>1</v>
      </c>
      <c r="D741" t="str">
        <f>_xlfn.XLOOKUP(order_items!B741,products_2026!A:A,products_2026!C:C,,0,)</f>
        <v>Clothes</v>
      </c>
      <c r="E741">
        <f>_xlfn.XLOOKUP(B741,products_2026!A:A,products_2026!D:D,,0,)</f>
        <v>56.67</v>
      </c>
      <c r="F741">
        <f t="shared" si="11"/>
        <v>56.67</v>
      </c>
      <c r="G741" t="str">
        <f>_xlfn.XLOOKUP(B741,products_2026!A:A,products_2026!B:B,,0,)</f>
        <v>Men’s Chino Shorts M</v>
      </c>
      <c r="H741" t="str">
        <f>_xlfn.XLOOKUP(B741,products_2026!A:A,products_2026!E:E,,0,)</f>
        <v>SELL0081</v>
      </c>
      <c r="I741" t="str">
        <f>IFERROR(_xlfn.XLOOKUP(H741,sellers_2026!A:A,sellers_2026!G:G,,0,), "unknown/inactive")</f>
        <v>QLD</v>
      </c>
      <c r="J741" t="str">
        <f>_xlfn.XLOOKUP(H741,sellers_2026!A:A,sellers_2026!B:B,,0,)</f>
        <v>brizzy_bonanza_48</v>
      </c>
    </row>
    <row r="742" spans="1:10" ht="14.25" customHeight="1" x14ac:dyDescent="0.3">
      <c r="A742" s="2" t="s">
        <v>3077</v>
      </c>
      <c r="B742" s="2" t="s">
        <v>327</v>
      </c>
      <c r="C742" s="2">
        <v>1</v>
      </c>
      <c r="D742" t="str">
        <f>_xlfn.XLOOKUP(order_items!B742,products_2026!A:A,products_2026!C:C,,0,)</f>
        <v>Stationery</v>
      </c>
      <c r="E742">
        <f>_xlfn.XLOOKUP(B742,products_2026!A:A,products_2026!D:D,,0,)</f>
        <v>7.57</v>
      </c>
      <c r="F742">
        <f t="shared" si="11"/>
        <v>7.57</v>
      </c>
      <c r="G742" t="str">
        <f>_xlfn.XLOOKUP(B742,products_2026!A:A,products_2026!B:B,,0,)</f>
        <v>Whiteoard Markers - 3 pack</v>
      </c>
      <c r="H742" t="str">
        <f>_xlfn.XLOOKUP(B742,products_2026!A:A,products_2026!E:E,,0,)</f>
        <v>SELL0049</v>
      </c>
      <c r="I742" t="str">
        <f>IFERROR(_xlfn.XLOOKUP(H742,sellers_2026!A:A,sellers_2026!G:G,,0,), "unknown/inactive")</f>
        <v>VIC</v>
      </c>
      <c r="J742" t="str">
        <f>_xlfn.XLOOKUP(H742,sellers_2026!A:A,sellers_2026!B:B,,0,)</f>
        <v>beautifullife472</v>
      </c>
    </row>
    <row r="743" spans="1:10" ht="14.25" customHeight="1" x14ac:dyDescent="0.3">
      <c r="A743" s="2" t="s">
        <v>3077</v>
      </c>
      <c r="B743" s="2" t="s">
        <v>407</v>
      </c>
      <c r="C743" s="2">
        <v>1</v>
      </c>
      <c r="D743" t="str">
        <f>_xlfn.XLOOKUP(order_items!B743,products_2026!A:A,products_2026!C:C,,0,)</f>
        <v>Jewellery</v>
      </c>
      <c r="E743">
        <f>_xlfn.XLOOKUP(B743,products_2026!A:A,products_2026!D:D,,0,)</f>
        <v>29</v>
      </c>
      <c r="F743">
        <f t="shared" si="11"/>
        <v>29</v>
      </c>
      <c r="G743" t="str">
        <f>_xlfn.XLOOKUP(B743,products_2026!A:A,products_2026!B:B,,0,)</f>
        <v>Drop Earrings Dangle Silver</v>
      </c>
      <c r="H743" t="str">
        <f>_xlfn.XLOOKUP(B743,products_2026!A:A,products_2026!E:E,,0,)</f>
        <v>SELL0059</v>
      </c>
      <c r="I743" t="str">
        <f>IFERROR(_xlfn.XLOOKUP(H743,sellers_2026!A:A,sellers_2026!G:G,,0,), "unknown/inactive")</f>
        <v>NSW</v>
      </c>
      <c r="J743" t="str">
        <f>_xlfn.XLOOKUP(H743,sellers_2026!A:A,sellers_2026!B:B,,0,)</f>
        <v>glitterymagpie</v>
      </c>
    </row>
    <row r="744" spans="1:10" ht="14.25" customHeight="1" x14ac:dyDescent="0.3">
      <c r="A744" s="2" t="s">
        <v>3078</v>
      </c>
      <c r="B744" s="2" t="s">
        <v>73</v>
      </c>
      <c r="C744" s="2">
        <v>1</v>
      </c>
      <c r="D744" t="str">
        <f>_xlfn.XLOOKUP(order_items!B744,products_2026!A:A,products_2026!C:C,,0,)</f>
        <v>Outdoor</v>
      </c>
      <c r="E744">
        <f>_xlfn.XLOOKUP(B744,products_2026!A:A,products_2026!D:D,,0,)</f>
        <v>23.99</v>
      </c>
      <c r="F744">
        <f t="shared" si="11"/>
        <v>23.99</v>
      </c>
      <c r="G744" t="str">
        <f>_xlfn.XLOOKUP(B744,products_2026!A:A,products_2026!B:B,,0,)</f>
        <v>BBQ Skewers - 24 pack (Bamboo)</v>
      </c>
      <c r="H744" t="str">
        <f>_xlfn.XLOOKUP(B744,products_2026!A:A,products_2026!E:E,,0,)</f>
        <v>SELL0018</v>
      </c>
      <c r="I744" t="str">
        <f>IFERROR(_xlfn.XLOOKUP(H744,sellers_2026!A:A,sellers_2026!G:G,,0,), "unknown/inactive")</f>
        <v>NT</v>
      </c>
      <c r="J744" t="str">
        <f>_xlfn.XLOOKUP(H744,sellers_2026!A:A,sellers_2026!B:B,,0,)</f>
        <v>darwin_beauty</v>
      </c>
    </row>
    <row r="745" spans="1:10" ht="14.25" customHeight="1" x14ac:dyDescent="0.3">
      <c r="A745" s="2" t="s">
        <v>3078</v>
      </c>
      <c r="B745" s="2" t="s">
        <v>658</v>
      </c>
      <c r="C745" s="2">
        <v>1</v>
      </c>
      <c r="D745" t="str">
        <f>_xlfn.XLOOKUP(order_items!B745,products_2026!A:A,products_2026!C:C,,0,)</f>
        <v>Clothes</v>
      </c>
      <c r="E745">
        <f>_xlfn.XLOOKUP(B745,products_2026!A:A,products_2026!D:D,,0,)</f>
        <v>54.51</v>
      </c>
      <c r="F745">
        <f t="shared" si="11"/>
        <v>54.51</v>
      </c>
      <c r="G745" t="str">
        <f>_xlfn.XLOOKUP(B745,products_2026!A:A,products_2026!B:B,,0,)</f>
        <v>Women’s Active Leggings (Yellow)</v>
      </c>
      <c r="H745" t="str">
        <f>_xlfn.XLOOKUP(B745,products_2026!A:A,products_2026!E:E,,0,)</f>
        <v>SELL0086</v>
      </c>
      <c r="I745" t="str">
        <f>IFERROR(_xlfn.XLOOKUP(H745,sellers_2026!A:A,sellers_2026!G:G,,0,), "unknown/inactive")</f>
        <v>VIC</v>
      </c>
      <c r="J745" t="str">
        <f>_xlfn.XLOOKUP(H745,sellers_2026!A:A,sellers_2026!B:B,,0,)</f>
        <v>clothesforlife</v>
      </c>
    </row>
    <row r="746" spans="1:10" ht="14.25" customHeight="1" x14ac:dyDescent="0.3">
      <c r="A746" s="2" t="s">
        <v>3079</v>
      </c>
      <c r="B746" s="2" t="s">
        <v>658</v>
      </c>
      <c r="C746" s="2">
        <v>2</v>
      </c>
      <c r="D746" t="str">
        <f>_xlfn.XLOOKUP(order_items!B746,products_2026!A:A,products_2026!C:C,,0,)</f>
        <v>Clothes</v>
      </c>
      <c r="E746">
        <f>_xlfn.XLOOKUP(B746,products_2026!A:A,products_2026!D:D,,0,)</f>
        <v>54.51</v>
      </c>
      <c r="F746">
        <f t="shared" si="11"/>
        <v>109.02</v>
      </c>
      <c r="G746" t="str">
        <f>_xlfn.XLOOKUP(B746,products_2026!A:A,products_2026!B:B,,0,)</f>
        <v>Women’s Active Leggings (Yellow)</v>
      </c>
      <c r="H746" t="str">
        <f>_xlfn.XLOOKUP(B746,products_2026!A:A,products_2026!E:E,,0,)</f>
        <v>SELL0086</v>
      </c>
      <c r="I746" t="str">
        <f>IFERROR(_xlfn.XLOOKUP(H746,sellers_2026!A:A,sellers_2026!G:G,,0,), "unknown/inactive")</f>
        <v>VIC</v>
      </c>
      <c r="J746" t="str">
        <f>_xlfn.XLOOKUP(H746,sellers_2026!A:A,sellers_2026!B:B,,0,)</f>
        <v>clothesforlife</v>
      </c>
    </row>
    <row r="747" spans="1:10" ht="14.25" customHeight="1" x14ac:dyDescent="0.3">
      <c r="A747" s="2" t="s">
        <v>3080</v>
      </c>
      <c r="B747" s="2" t="s">
        <v>291</v>
      </c>
      <c r="C747" s="2">
        <v>1</v>
      </c>
      <c r="D747" t="str">
        <f>_xlfn.XLOOKUP(order_items!B747,products_2026!A:A,products_2026!C:C,,0,)</f>
        <v>Home</v>
      </c>
      <c r="E747">
        <f>_xlfn.XLOOKUP(B747,products_2026!A:A,products_2026!D:D,,0,)</f>
        <v>16.809999999999999</v>
      </c>
      <c r="F747">
        <f t="shared" si="11"/>
        <v>16.809999999999999</v>
      </c>
      <c r="G747" t="str">
        <f>_xlfn.XLOOKUP(B747,products_2026!A:A,products_2026!B:B,,0,)</f>
        <v>Serving Bowl Blue</v>
      </c>
      <c r="H747" t="str">
        <f>_xlfn.XLOOKUP(B747,products_2026!A:A,products_2026!E:E,,0,)</f>
        <v>SELL0045</v>
      </c>
      <c r="I747" t="str">
        <f>IFERROR(_xlfn.XLOOKUP(H747,sellers_2026!A:A,sellers_2026!G:G,,0,), "unknown/inactive")</f>
        <v>NT</v>
      </c>
      <c r="J747" t="str">
        <f>_xlfn.XLOOKUP(H747,sellers_2026!A:A,sellers_2026!B:B,,0,)</f>
        <v>s22ods7z5m</v>
      </c>
    </row>
    <row r="748" spans="1:10" ht="14.25" customHeight="1" x14ac:dyDescent="0.3">
      <c r="A748" s="2" t="s">
        <v>3081</v>
      </c>
      <c r="B748" s="2" t="s">
        <v>187</v>
      </c>
      <c r="C748" s="2">
        <v>1</v>
      </c>
      <c r="D748" t="str">
        <f>_xlfn.XLOOKUP(order_items!B748,products_2026!A:A,products_2026!C:C,,0,)</f>
        <v>Outdoor</v>
      </c>
      <c r="E748">
        <f>_xlfn.XLOOKUP(B748,products_2026!A:A,products_2026!D:D,,0,)</f>
        <v>31.66</v>
      </c>
      <c r="F748">
        <f t="shared" si="11"/>
        <v>31.66</v>
      </c>
      <c r="G748" t="str">
        <f>_xlfn.XLOOKUP(B748,products_2026!A:A,products_2026!B:B,,0,)</f>
        <v>Wood Chips - Oak</v>
      </c>
      <c r="H748" t="str">
        <f>_xlfn.XLOOKUP(B748,products_2026!A:A,products_2026!E:E,,0,)</f>
        <v>SELL0035</v>
      </c>
      <c r="I748" t="str">
        <f>IFERROR(_xlfn.XLOOKUP(H748,sellers_2026!A:A,sellers_2026!G:G,,0,), "unknown/inactive")</f>
        <v>ACT</v>
      </c>
      <c r="J748" t="str">
        <f>_xlfn.XLOOKUP(H748,sellers_2026!A:A,sellers_2026!B:B,,0,)</f>
        <v>maddie-sells</v>
      </c>
    </row>
    <row r="749" spans="1:10" ht="14.25" customHeight="1" x14ac:dyDescent="0.3">
      <c r="A749" s="2" t="s">
        <v>3081</v>
      </c>
      <c r="B749" s="2" t="s">
        <v>987</v>
      </c>
      <c r="C749" s="2">
        <v>1</v>
      </c>
      <c r="D749" t="str">
        <f>_xlfn.XLOOKUP(order_items!B749,products_2026!A:A,products_2026!C:C,,0,)</f>
        <v>Toys</v>
      </c>
      <c r="E749">
        <f>_xlfn.XLOOKUP(B749,products_2026!A:A,products_2026!D:D,,0,)</f>
        <v>17.5</v>
      </c>
      <c r="F749">
        <f t="shared" si="11"/>
        <v>17.5</v>
      </c>
      <c r="G749" t="str">
        <f>_xlfn.XLOOKUP(B749,products_2026!A:A,products_2026!B:B,,0,)</f>
        <v>Plush Zebra Toy</v>
      </c>
      <c r="H749" t="str">
        <f>_xlfn.XLOOKUP(B749,products_2026!A:A,products_2026!E:E,,0,)</f>
        <v>SELL0095</v>
      </c>
      <c r="I749" t="str">
        <f>IFERROR(_xlfn.XLOOKUP(H749,sellers_2026!A:A,sellers_2026!G:G,,0,), "unknown/inactive")</f>
        <v>TAS</v>
      </c>
      <c r="J749" t="str">
        <f>_xlfn.XLOOKUP(H749,sellers_2026!A:A,sellers_2026!B:B,,0,)</f>
        <v>toybuy</v>
      </c>
    </row>
    <row r="750" spans="1:10" ht="14.25" customHeight="1" x14ac:dyDescent="0.3">
      <c r="A750" s="2" t="s">
        <v>3082</v>
      </c>
      <c r="B750" s="2" t="s">
        <v>212</v>
      </c>
      <c r="C750" s="2">
        <v>1</v>
      </c>
      <c r="D750" t="str">
        <f>_xlfn.XLOOKUP(order_items!B750,products_2026!A:A,products_2026!C:C,,0,)</f>
        <v>Gift_Sets</v>
      </c>
      <c r="E750">
        <f>_xlfn.XLOOKUP(B750,products_2026!A:A,products_2026!D:D,,0,)</f>
        <v>22.33</v>
      </c>
      <c r="F750">
        <f t="shared" si="11"/>
        <v>22.33</v>
      </c>
      <c r="G750" t="str">
        <f>_xlfn.XLOOKUP(B750,products_2026!A:A,products_2026!B:B,,0,)</f>
        <v>Tea Lovers Hamper Earl Grey</v>
      </c>
      <c r="H750" t="str">
        <f>_xlfn.XLOOKUP(B750,products_2026!A:A,products_2026!E:E,,0,)</f>
        <v>SELL0037</v>
      </c>
      <c r="I750" t="str">
        <f>IFERROR(_xlfn.XLOOKUP(H750,sellers_2026!A:A,sellers_2026!G:G,,0,), "unknown/inactive")</f>
        <v>VIC</v>
      </c>
      <c r="J750" t="str">
        <f>_xlfn.XLOOKUP(H750,sellers_2026!A:A,sellers_2026!B:B,,0,)</f>
        <v>storeshop</v>
      </c>
    </row>
    <row r="751" spans="1:10" ht="14.25" customHeight="1" x14ac:dyDescent="0.3">
      <c r="A751" s="2" t="s">
        <v>3082</v>
      </c>
      <c r="B751" s="2" t="s">
        <v>559</v>
      </c>
      <c r="C751" s="2">
        <v>1</v>
      </c>
      <c r="D751" t="str">
        <f>_xlfn.XLOOKUP(order_items!B751,products_2026!A:A,products_2026!C:C,,0,)</f>
        <v>Outdoor</v>
      </c>
      <c r="E751">
        <f>_xlfn.XLOOKUP(B751,products_2026!A:A,products_2026!D:D,,0,)</f>
        <v>51.74</v>
      </c>
      <c r="F751">
        <f t="shared" si="11"/>
        <v>51.74</v>
      </c>
      <c r="G751" t="str">
        <f>_xlfn.XLOOKUP(B751,products_2026!A:A,products_2026!B:B,,0,)</f>
        <v>Garden Ornament Frog</v>
      </c>
      <c r="H751" t="str">
        <f>_xlfn.XLOOKUP(B751,products_2026!A:A,products_2026!E:E,,0,)</f>
        <v>SELL0077</v>
      </c>
      <c r="I751" t="str">
        <f>IFERROR(_xlfn.XLOOKUP(H751,sellers_2026!A:A,sellers_2026!G:G,,0,), "unknown/inactive")</f>
        <v>ACT</v>
      </c>
      <c r="J751" t="str">
        <f>_xlfn.XLOOKUP(H751,sellers_2026!A:A,sellers_2026!B:B,,0,)</f>
        <v>doorsyout</v>
      </c>
    </row>
    <row r="752" spans="1:10" ht="14.25" customHeight="1" x14ac:dyDescent="0.3">
      <c r="A752" s="2" t="s">
        <v>3082</v>
      </c>
      <c r="B752" s="2" t="s">
        <v>827</v>
      </c>
      <c r="C752" s="2">
        <v>2</v>
      </c>
      <c r="D752" t="str">
        <f>_xlfn.XLOOKUP(order_items!B752,products_2026!A:A,products_2026!C:C,,0,)</f>
        <v>Home</v>
      </c>
      <c r="E752">
        <f>_xlfn.XLOOKUP(B752,products_2026!A:A,products_2026!D:D,,0,)</f>
        <v>100.7</v>
      </c>
      <c r="F752">
        <f t="shared" si="11"/>
        <v>201.4</v>
      </c>
      <c r="G752" t="str">
        <f>_xlfn.XLOOKUP(B752,products_2026!A:A,products_2026!B:B,,0,)</f>
        <v>Portable Camping Chair (Yellow)</v>
      </c>
      <c r="H752" t="str">
        <f>_xlfn.XLOOKUP(B752,products_2026!A:A,products_2026!E:E,,0,)</f>
        <v>SELL0027</v>
      </c>
      <c r="I752" t="str">
        <f>IFERROR(_xlfn.XLOOKUP(H752,sellers_2026!A:A,sellers_2026!G:G,,0,), "unknown/inactive")</f>
        <v>QLD</v>
      </c>
      <c r="J752" t="str">
        <f>_xlfn.XLOOKUP(H752,sellers_2026!A:A,sellers_2026!B:B,,0,)</f>
        <v>home458</v>
      </c>
    </row>
    <row r="753" spans="1:10" ht="14.25" customHeight="1" x14ac:dyDescent="0.3">
      <c r="A753" s="2" t="s">
        <v>3083</v>
      </c>
      <c r="B753" s="2" t="s">
        <v>799</v>
      </c>
      <c r="C753" s="2">
        <v>1</v>
      </c>
      <c r="D753" t="str">
        <f>_xlfn.XLOOKUP(order_items!B753,products_2026!A:A,products_2026!C:C,,0,)</f>
        <v>Home</v>
      </c>
      <c r="E753">
        <f>_xlfn.XLOOKUP(B753,products_2026!A:A,products_2026!D:D,,0,)</f>
        <v>20.79</v>
      </c>
      <c r="F753">
        <f t="shared" si="11"/>
        <v>20.79</v>
      </c>
      <c r="G753" t="str">
        <f>_xlfn.XLOOKUP(B753,products_2026!A:A,products_2026!B:B,,0,)</f>
        <v>Silicone Laundry Basket - White</v>
      </c>
      <c r="H753" t="str">
        <f>_xlfn.XLOOKUP(B753,products_2026!A:A,products_2026!E:E,,0,)</f>
        <v>SELL0027</v>
      </c>
      <c r="I753" t="str">
        <f>IFERROR(_xlfn.XLOOKUP(H753,sellers_2026!A:A,sellers_2026!G:G,,0,), "unknown/inactive")</f>
        <v>QLD</v>
      </c>
      <c r="J753" t="str">
        <f>_xlfn.XLOOKUP(H753,sellers_2026!A:A,sellers_2026!B:B,,0,)</f>
        <v>home458</v>
      </c>
    </row>
    <row r="754" spans="1:10" ht="14.25" customHeight="1" x14ac:dyDescent="0.3">
      <c r="A754" s="2" t="s">
        <v>3083</v>
      </c>
      <c r="B754" s="2" t="s">
        <v>869</v>
      </c>
      <c r="C754" s="2">
        <v>1</v>
      </c>
      <c r="D754" t="str">
        <f>_xlfn.XLOOKUP(order_items!B754,products_2026!A:A,products_2026!C:C,,0,)</f>
        <v>Jewellery</v>
      </c>
      <c r="E754">
        <f>_xlfn.XLOOKUP(B754,products_2026!A:A,products_2026!D:D,,0,)</f>
        <v>37.76</v>
      </c>
      <c r="F754">
        <f t="shared" si="11"/>
        <v>37.76</v>
      </c>
      <c r="G754" t="str">
        <f>_xlfn.XLOOKUP(B754,products_2026!A:A,products_2026!B:B,,0,)</f>
        <v>Anklet - Silver Tone</v>
      </c>
      <c r="H754" t="str">
        <f>_xlfn.XLOOKUP(B754,products_2026!A:A,products_2026!E:E,,0,)</f>
        <v>SELL0092</v>
      </c>
      <c r="I754" t="str">
        <f>IFERROR(_xlfn.XLOOKUP(H754,sellers_2026!A:A,sellers_2026!G:G,,0,), "unknown/inactive")</f>
        <v>VIC</v>
      </c>
      <c r="J754" t="str">
        <f>_xlfn.XLOOKUP(H754,sellers_2026!A:A,sellers_2026!B:B,,0,)</f>
        <v>dress4beauty</v>
      </c>
    </row>
    <row r="755" spans="1:10" ht="14.25" customHeight="1" x14ac:dyDescent="0.3">
      <c r="A755" s="2" t="s">
        <v>3084</v>
      </c>
      <c r="B755" s="2" t="s">
        <v>341</v>
      </c>
      <c r="C755" s="2">
        <v>1</v>
      </c>
      <c r="D755" t="str">
        <f>_xlfn.XLOOKUP(order_items!B755,products_2026!A:A,products_2026!C:C,,0,)</f>
        <v>Health</v>
      </c>
      <c r="E755">
        <f>_xlfn.XLOOKUP(B755,products_2026!A:A,products_2026!D:D,,0,)</f>
        <v>49.21</v>
      </c>
      <c r="F755">
        <f t="shared" si="11"/>
        <v>49.21</v>
      </c>
      <c r="G755" t="str">
        <f>_xlfn.XLOOKUP(B755,products_2026!A:A,products_2026!B:B,,0,)</f>
        <v>Foam Roller - Firm Blue Large</v>
      </c>
      <c r="H755" t="str">
        <f>_xlfn.XLOOKUP(B755,products_2026!A:A,products_2026!E:E,,0,)</f>
        <v>SELL0051</v>
      </c>
      <c r="I755" t="str">
        <f>IFERROR(_xlfn.XLOOKUP(H755,sellers_2026!A:A,sellers_2026!G:G,,0,), "unknown/inactive")</f>
        <v>NT</v>
      </c>
      <c r="J755" t="str">
        <f>_xlfn.XLOOKUP(H755,sellers_2026!A:A,sellers_2026!B:B,,0,)</f>
        <v>healthway</v>
      </c>
    </row>
    <row r="756" spans="1:10" ht="14.25" customHeight="1" x14ac:dyDescent="0.3">
      <c r="A756" s="2" t="s">
        <v>3085</v>
      </c>
      <c r="B756" s="2" t="s">
        <v>630</v>
      </c>
      <c r="C756" s="2">
        <v>1</v>
      </c>
      <c r="D756" t="str">
        <f>_xlfn.XLOOKUP(order_items!B756,products_2026!A:A,products_2026!C:C,,0,)</f>
        <v>Beauty</v>
      </c>
      <c r="E756">
        <f>_xlfn.XLOOKUP(B756,products_2026!A:A,products_2026!D:D,,0,)</f>
        <v>13.25</v>
      </c>
      <c r="F756">
        <f t="shared" si="11"/>
        <v>13.25</v>
      </c>
      <c r="G756" t="str">
        <f>_xlfn.XLOOKUP(B756,products_2026!A:A,products_2026!B:B,,0,)</f>
        <v>Aloe Vera Gel 150ml 2 pack</v>
      </c>
      <c r="H756" t="str">
        <f>_xlfn.XLOOKUP(B756,products_2026!A:A,products_2026!E:E,,0,)</f>
        <v>SELL0086</v>
      </c>
      <c r="I756" t="str">
        <f>IFERROR(_xlfn.XLOOKUP(H756,sellers_2026!A:A,sellers_2026!G:G,,0,), "unknown/inactive")</f>
        <v>VIC</v>
      </c>
      <c r="J756" t="str">
        <f>_xlfn.XLOOKUP(H756,sellers_2026!A:A,sellers_2026!B:B,,0,)</f>
        <v>clothesforlife</v>
      </c>
    </row>
    <row r="757" spans="1:10" ht="14.25" customHeight="1" x14ac:dyDescent="0.3">
      <c r="A757" s="2" t="s">
        <v>3085</v>
      </c>
      <c r="B757" s="2" t="s">
        <v>815</v>
      </c>
      <c r="C757" s="2">
        <v>1</v>
      </c>
      <c r="D757" t="str">
        <f>_xlfn.XLOOKUP(order_items!B757,products_2026!A:A,products_2026!C:C,,0,)</f>
        <v>Home</v>
      </c>
      <c r="E757">
        <f>_xlfn.XLOOKUP(B757,products_2026!A:A,products_2026!D:D,,0,)</f>
        <v>101.55</v>
      </c>
      <c r="F757">
        <f t="shared" si="11"/>
        <v>101.55</v>
      </c>
      <c r="G757" t="str">
        <f>_xlfn.XLOOKUP(B757,products_2026!A:A,products_2026!B:B,,0,)</f>
        <v>Ceramic Vase Grey Sand</v>
      </c>
      <c r="H757" t="str">
        <f>_xlfn.XLOOKUP(B757,products_2026!A:A,products_2026!E:E,,0,)</f>
        <v>SELL0090</v>
      </c>
      <c r="I757" t="str">
        <f>IFERROR(_xlfn.XLOOKUP(H757,sellers_2026!A:A,sellers_2026!G:G,,0,), "unknown/inactive")</f>
        <v>TAS</v>
      </c>
      <c r="J757" t="str">
        <f>_xlfn.XLOOKUP(H757,sellers_2026!A:A,sellers_2026!B:B,,0,)</f>
        <v>housenice</v>
      </c>
    </row>
    <row r="758" spans="1:10" ht="14.25" customHeight="1" x14ac:dyDescent="0.3">
      <c r="A758" s="2" t="s">
        <v>3086</v>
      </c>
      <c r="B758" s="2" t="s">
        <v>311</v>
      </c>
      <c r="C758" s="2">
        <v>2</v>
      </c>
      <c r="D758" t="str">
        <f>_xlfn.XLOOKUP(order_items!B758,products_2026!A:A,products_2026!C:C,,0,)</f>
        <v>Toys</v>
      </c>
      <c r="E758">
        <f>_xlfn.XLOOKUP(B758,products_2026!A:A,products_2026!D:D,,0,)</f>
        <v>12.31</v>
      </c>
      <c r="F758">
        <f t="shared" si="11"/>
        <v>24.62</v>
      </c>
      <c r="G758" t="str">
        <f>_xlfn.XLOOKUP(B758,products_2026!A:A,products_2026!B:B,,0,)</f>
        <v>Kite Glitter</v>
      </c>
      <c r="H758" t="str">
        <f>_xlfn.XLOOKUP(B758,products_2026!A:A,products_2026!E:E,,0,)</f>
        <v>SELL0047</v>
      </c>
      <c r="I758" t="str">
        <f>IFERROR(_xlfn.XLOOKUP(H758,sellers_2026!A:A,sellers_2026!G:G,,0,), "unknown/inactive")</f>
        <v>NT</v>
      </c>
      <c r="J758" t="str">
        <f>_xlfn.XLOOKUP(H758,sellers_2026!A:A,sellers_2026!B:B,,0,)</f>
        <v>toymajoy</v>
      </c>
    </row>
    <row r="759" spans="1:10" ht="14.25" customHeight="1" x14ac:dyDescent="0.3">
      <c r="A759" s="2" t="s">
        <v>3086</v>
      </c>
      <c r="B759" s="2" t="s">
        <v>329</v>
      </c>
      <c r="C759" s="2">
        <v>1</v>
      </c>
      <c r="D759" t="str">
        <f>_xlfn.XLOOKUP(order_items!B759,products_2026!A:A,products_2026!C:C,,0,)</f>
        <v>Stationery</v>
      </c>
      <c r="E759">
        <f>_xlfn.XLOOKUP(B759,products_2026!A:A,products_2026!D:D,,0,)</f>
        <v>8.36</v>
      </c>
      <c r="F759">
        <f t="shared" si="11"/>
        <v>8.36</v>
      </c>
      <c r="G759" t="str">
        <f>_xlfn.XLOOKUP(B759,products_2026!A:A,products_2026!B:B,,0,)</f>
        <v>Premium Pencil Case (Glitter)</v>
      </c>
      <c r="H759" t="str">
        <f>_xlfn.XLOOKUP(B759,products_2026!A:A,products_2026!E:E,,0,)</f>
        <v>SELL0049</v>
      </c>
      <c r="I759" t="str">
        <f>IFERROR(_xlfn.XLOOKUP(H759,sellers_2026!A:A,sellers_2026!G:G,,0,), "unknown/inactive")</f>
        <v>VIC</v>
      </c>
      <c r="J759" t="str">
        <f>_xlfn.XLOOKUP(H759,sellers_2026!A:A,sellers_2026!B:B,,0,)</f>
        <v>beautifullife472</v>
      </c>
    </row>
    <row r="760" spans="1:10" ht="14.25" customHeight="1" x14ac:dyDescent="0.3">
      <c r="A760" s="2" t="s">
        <v>3086</v>
      </c>
      <c r="B760" s="2" t="s">
        <v>401</v>
      </c>
      <c r="C760" s="2">
        <v>1</v>
      </c>
      <c r="D760" t="str">
        <f>_xlfn.XLOOKUP(order_items!B760,products_2026!A:A,products_2026!C:C,,0,)</f>
        <v>Outdoor</v>
      </c>
      <c r="E760">
        <f>_xlfn.XLOOKUP(B760,products_2026!A:A,products_2026!D:D,,0,)</f>
        <v>75.239999999999995</v>
      </c>
      <c r="F760">
        <f t="shared" si="11"/>
        <v>75.239999999999995</v>
      </c>
      <c r="G760" t="str">
        <f>_xlfn.XLOOKUP(B760,products_2026!A:A,products_2026!B:B,,0,)</f>
        <v>Ice bucket outdoor beers garden picnic</v>
      </c>
      <c r="H760" t="str">
        <f>_xlfn.XLOOKUP(B760,products_2026!A:A,products_2026!E:E,,0,)</f>
        <v>SELL0058</v>
      </c>
      <c r="I760" t="str">
        <f>IFERROR(_xlfn.XLOOKUP(H760,sellers_2026!A:A,sellers_2026!G:G,,0,), "unknown/inactive")</f>
        <v>QLD</v>
      </c>
      <c r="J760" t="str">
        <f>_xlfn.XLOOKUP(H760,sellers_2026!A:A,sellers_2026!B:B,,0,)</f>
        <v>au6ynzdcy5</v>
      </c>
    </row>
    <row r="761" spans="1:10" ht="14.25" customHeight="1" x14ac:dyDescent="0.3">
      <c r="A761" s="2" t="s">
        <v>3086</v>
      </c>
      <c r="B761" s="2" t="s">
        <v>415</v>
      </c>
      <c r="C761" s="2">
        <v>1</v>
      </c>
      <c r="D761" t="str">
        <f>_xlfn.XLOOKUP(order_items!B761,products_2026!A:A,products_2026!C:C,,0,)</f>
        <v>Outdoor</v>
      </c>
      <c r="E761">
        <f>_xlfn.XLOOKUP(B761,products_2026!A:A,products_2026!D:D,,0,)</f>
        <v>34.86</v>
      </c>
      <c r="F761">
        <f t="shared" si="11"/>
        <v>34.86</v>
      </c>
      <c r="G761" t="str">
        <f>_xlfn.XLOOKUP(B761,products_2026!A:A,products_2026!B:B,,0,)</f>
        <v>Steel Grill Basket</v>
      </c>
      <c r="H761" t="str">
        <f>_xlfn.XLOOKUP(B761,products_2026!A:A,products_2026!E:E,,0,)</f>
        <v>SELL0060</v>
      </c>
      <c r="I761" t="str">
        <f>IFERROR(_xlfn.XLOOKUP(H761,sellers_2026!A:A,sellers_2026!G:G,,0,), "unknown/inactive")</f>
        <v>VIC</v>
      </c>
      <c r="J761" t="str">
        <f>_xlfn.XLOOKUP(H761,sellers_2026!A:A,sellers_2026!B:B,,0,)</f>
        <v>shop689</v>
      </c>
    </row>
    <row r="762" spans="1:10" ht="14.25" customHeight="1" x14ac:dyDescent="0.3">
      <c r="A762" s="2" t="s">
        <v>3086</v>
      </c>
      <c r="B762" s="2" t="s">
        <v>980</v>
      </c>
      <c r="C762" s="2">
        <v>1</v>
      </c>
      <c r="D762" t="str">
        <f>_xlfn.XLOOKUP(order_items!B762,products_2026!A:A,products_2026!C:C,,0,)</f>
        <v>Stationery</v>
      </c>
      <c r="E762">
        <f>_xlfn.XLOOKUP(B762,products_2026!A:A,products_2026!D:D,,0,)</f>
        <v>14.36</v>
      </c>
      <c r="F762">
        <f t="shared" si="11"/>
        <v>14.36</v>
      </c>
      <c r="G762" t="str">
        <f>_xlfn.XLOOKUP(B762,products_2026!A:A,products_2026!B:B,,0,)</f>
        <v>Premium Pencil Case (Black)</v>
      </c>
      <c r="H762" t="str">
        <f>_xlfn.XLOOKUP(B762,products_2026!A:A,products_2026!E:E,,0,)</f>
        <v>SELL0095</v>
      </c>
      <c r="I762" t="str">
        <f>IFERROR(_xlfn.XLOOKUP(H762,sellers_2026!A:A,sellers_2026!G:G,,0,), "unknown/inactive")</f>
        <v>TAS</v>
      </c>
      <c r="J762" t="str">
        <f>_xlfn.XLOOKUP(H762,sellers_2026!A:A,sellers_2026!B:B,,0,)</f>
        <v>toybuy</v>
      </c>
    </row>
    <row r="763" spans="1:10" ht="14.25" customHeight="1" x14ac:dyDescent="0.3">
      <c r="A763" s="2" t="s">
        <v>3087</v>
      </c>
      <c r="B763" s="2" t="s">
        <v>501</v>
      </c>
      <c r="C763" s="2">
        <v>1</v>
      </c>
      <c r="D763" t="str">
        <f>_xlfn.XLOOKUP(order_items!B763,products_2026!A:A,products_2026!C:C,,0,)</f>
        <v>Outdoor</v>
      </c>
      <c r="E763">
        <f>_xlfn.XLOOKUP(B763,products_2026!A:A,products_2026!D:D,,0,)</f>
        <v>32.67</v>
      </c>
      <c r="F763">
        <f t="shared" si="11"/>
        <v>32.67</v>
      </c>
      <c r="G763" t="str">
        <f>_xlfn.XLOOKUP(B763,products_2026!A:A,products_2026!B:B,,0,)</f>
        <v>Snorkel Set - Adult Small</v>
      </c>
      <c r="H763" t="str">
        <f>_xlfn.XLOOKUP(B763,products_2026!A:A,products_2026!E:E,,0,)</f>
        <v>SELL0070</v>
      </c>
      <c r="I763" t="str">
        <f>IFERROR(_xlfn.XLOOKUP(H763,sellers_2026!A:A,sellers_2026!G:G,,0,), "unknown/inactive")</f>
        <v>QLD</v>
      </c>
      <c r="J763" t="str">
        <f>_xlfn.XLOOKUP(H763,sellers_2026!A:A,sellers_2026!B:B,,0,)</f>
        <v>homeandaways</v>
      </c>
    </row>
    <row r="764" spans="1:10" ht="14.25" customHeight="1" x14ac:dyDescent="0.3">
      <c r="A764" s="2" t="s">
        <v>3087</v>
      </c>
      <c r="B764" s="2" t="s">
        <v>530</v>
      </c>
      <c r="C764" s="2">
        <v>1</v>
      </c>
      <c r="D764" t="str">
        <f>_xlfn.XLOOKUP(order_items!B764,products_2026!A:A,products_2026!C:C,,0,)</f>
        <v>Gift_Sets</v>
      </c>
      <c r="E764">
        <f>_xlfn.XLOOKUP(B764,products_2026!A:A,products_2026!D:D,,0,)</f>
        <v>19.03</v>
      </c>
      <c r="F764">
        <f t="shared" si="11"/>
        <v>19.03</v>
      </c>
      <c r="G764" t="str">
        <f>_xlfn.XLOOKUP(B764,products_2026!A:A,products_2026!B:B,,0,)</f>
        <v>Tea Lovers Hamper Shapes Edition</v>
      </c>
      <c r="H764" t="str">
        <f>_xlfn.XLOOKUP(B764,products_2026!A:A,products_2026!E:E,,0,)</f>
        <v>SELL0073</v>
      </c>
      <c r="I764" t="str">
        <f>IFERROR(_xlfn.XLOOKUP(H764,sellers_2026!A:A,sellers_2026!G:G,,0,), "unknown/inactive")</f>
        <v>NSW</v>
      </c>
      <c r="J764" t="str">
        <f>_xlfn.XLOOKUP(H764,sellers_2026!A:A,sellers_2026!B:B,,0,)</f>
        <v>new-south-sales</v>
      </c>
    </row>
    <row r="765" spans="1:10" ht="14.25" customHeight="1" x14ac:dyDescent="0.3">
      <c r="A765" s="2" t="s">
        <v>3088</v>
      </c>
      <c r="B765" s="2" t="s">
        <v>231</v>
      </c>
      <c r="C765" s="2">
        <v>1</v>
      </c>
      <c r="D765" t="str">
        <f>_xlfn.XLOOKUP(order_items!B765,products_2026!A:A,products_2026!C:C,,0,)</f>
        <v>Stationery</v>
      </c>
      <c r="E765">
        <f>_xlfn.XLOOKUP(B765,products_2026!A:A,products_2026!D:D,,0,)</f>
        <v>12.88</v>
      </c>
      <c r="F765">
        <f t="shared" si="11"/>
        <v>12.88</v>
      </c>
      <c r="G765" t="str">
        <f>_xlfn.XLOOKUP(B765,products_2026!A:A,products_2026!B:B,,0,)</f>
        <v>Highlighter Set Pens Yellow</v>
      </c>
      <c r="H765" t="str">
        <f>_xlfn.XLOOKUP(B765,products_2026!A:A,products_2026!E:E,,0,)</f>
        <v>SELL0040</v>
      </c>
      <c r="I765" t="str">
        <f>IFERROR(_xlfn.XLOOKUP(H765,sellers_2026!A:A,sellers_2026!G:G,,0,), "unknown/inactive")</f>
        <v>TAS</v>
      </c>
      <c r="J765" t="str">
        <f>_xlfn.XLOOKUP(H765,sellers_2026!A:A,sellers_2026!B:B,,0,)</f>
        <v>cheapandgood27</v>
      </c>
    </row>
    <row r="766" spans="1:10" ht="14.25" customHeight="1" x14ac:dyDescent="0.3">
      <c r="A766" s="2" t="s">
        <v>3088</v>
      </c>
      <c r="B766" s="2" t="s">
        <v>401</v>
      </c>
      <c r="C766" s="2">
        <v>1</v>
      </c>
      <c r="D766" t="str">
        <f>_xlfn.XLOOKUP(order_items!B766,products_2026!A:A,products_2026!C:C,,0,)</f>
        <v>Outdoor</v>
      </c>
      <c r="E766">
        <f>_xlfn.XLOOKUP(B766,products_2026!A:A,products_2026!D:D,,0,)</f>
        <v>75.239999999999995</v>
      </c>
      <c r="F766">
        <f t="shared" si="11"/>
        <v>75.239999999999995</v>
      </c>
      <c r="G766" t="str">
        <f>_xlfn.XLOOKUP(B766,products_2026!A:A,products_2026!B:B,,0,)</f>
        <v>Ice bucket outdoor beers garden picnic</v>
      </c>
      <c r="H766" t="str">
        <f>_xlfn.XLOOKUP(B766,products_2026!A:A,products_2026!E:E,,0,)</f>
        <v>SELL0058</v>
      </c>
      <c r="I766" t="str">
        <f>IFERROR(_xlfn.XLOOKUP(H766,sellers_2026!A:A,sellers_2026!G:G,,0,), "unknown/inactive")</f>
        <v>QLD</v>
      </c>
      <c r="J766" t="str">
        <f>_xlfn.XLOOKUP(H766,sellers_2026!A:A,sellers_2026!B:B,,0,)</f>
        <v>au6ynzdcy5</v>
      </c>
    </row>
    <row r="767" spans="1:10" ht="14.25" customHeight="1" x14ac:dyDescent="0.3">
      <c r="A767" s="2" t="s">
        <v>3088</v>
      </c>
      <c r="B767" s="2" t="s">
        <v>540</v>
      </c>
      <c r="C767" s="2">
        <v>1</v>
      </c>
      <c r="D767" t="str">
        <f>_xlfn.XLOOKUP(order_items!B767,products_2026!A:A,products_2026!C:C,,0,)</f>
        <v>Jewellery</v>
      </c>
      <c r="E767">
        <f>_xlfn.XLOOKUP(B767,products_2026!A:A,products_2026!D:D,,0,)</f>
        <v>59.4</v>
      </c>
      <c r="F767">
        <f t="shared" si="11"/>
        <v>59.4</v>
      </c>
      <c r="G767" t="str">
        <f>_xlfn.XLOOKUP(B767,products_2026!A:A,products_2026!B:B,,0,)</f>
        <v>Jewellery Box Pink</v>
      </c>
      <c r="H767" t="str">
        <f>_xlfn.XLOOKUP(B767,products_2026!A:A,products_2026!E:E,,0,)</f>
        <v>SELL0075</v>
      </c>
      <c r="I767" t="str">
        <f>IFERROR(_xlfn.XLOOKUP(H767,sellers_2026!A:A,sellers_2026!G:G,,0,), "unknown/inactive")</f>
        <v>NSW</v>
      </c>
      <c r="J767" t="str">
        <f>_xlfn.XLOOKUP(H767,sellers_2026!A:A,sellers_2026!B:B,,0,)</f>
        <v>nhlay6j49a</v>
      </c>
    </row>
    <row r="768" spans="1:10" ht="14.25" customHeight="1" x14ac:dyDescent="0.3">
      <c r="A768" s="2" t="s">
        <v>3089</v>
      </c>
      <c r="B768" s="2" t="s">
        <v>79</v>
      </c>
      <c r="C768" s="2">
        <v>1</v>
      </c>
      <c r="D768" t="str">
        <f>_xlfn.XLOOKUP(order_items!B768,products_2026!A:A,products_2026!C:C,,0,)</f>
        <v>Jewellery</v>
      </c>
      <c r="E768">
        <f>_xlfn.XLOOKUP(B768,products_2026!A:A,products_2026!D:D,,0,)</f>
        <v>28.22</v>
      </c>
      <c r="F768">
        <f t="shared" si="11"/>
        <v>28.22</v>
      </c>
      <c r="G768" t="str">
        <f>_xlfn.XLOOKUP(B768,products_2026!A:A,products_2026!B:B,,0,)</f>
        <v>Pendant Necklace - Rose Gold</v>
      </c>
      <c r="H768" t="str">
        <f>_xlfn.XLOOKUP(B768,products_2026!A:A,products_2026!E:E,,0,)</f>
        <v>SELL0019</v>
      </c>
      <c r="I768" t="str">
        <f>IFERROR(_xlfn.XLOOKUP(H768,sellers_2026!A:A,sellers_2026!G:G,,0,), "unknown/inactive")</f>
        <v>QLD</v>
      </c>
      <c r="J768" t="str">
        <f>_xlfn.XLOOKUP(H768,sellers_2026!A:A,sellers_2026!B:B,,0,)</f>
        <v>buyingtime</v>
      </c>
    </row>
    <row r="769" spans="1:10" ht="14.25" customHeight="1" x14ac:dyDescent="0.3">
      <c r="A769" s="2" t="s">
        <v>3089</v>
      </c>
      <c r="B769" s="2" t="s">
        <v>557</v>
      </c>
      <c r="C769" s="2">
        <v>1</v>
      </c>
      <c r="D769" t="str">
        <f>_xlfn.XLOOKUP(order_items!B769,products_2026!A:A,products_2026!C:C,,0,)</f>
        <v>Health</v>
      </c>
      <c r="E769">
        <f>_xlfn.XLOOKUP(B769,products_2026!A:A,products_2026!D:D,,0,)</f>
        <v>79.16</v>
      </c>
      <c r="F769">
        <f t="shared" si="11"/>
        <v>79.16</v>
      </c>
      <c r="G769" t="str">
        <f>_xlfn.XLOOKUP(B769,products_2026!A:A,products_2026!B:B,,0,)</f>
        <v>Heat Therapy Pad Reusable</v>
      </c>
      <c r="H769" t="str">
        <f>_xlfn.XLOOKUP(B769,products_2026!A:A,products_2026!E:E,,0,)</f>
        <v>SELL0076</v>
      </c>
      <c r="I769" t="str">
        <f>IFERROR(_xlfn.XLOOKUP(H769,sellers_2026!A:A,sellers_2026!G:G,,0,), "unknown/inactive")</f>
        <v>QLD</v>
      </c>
      <c r="J769" t="str">
        <f>_xlfn.XLOOKUP(H769,sellers_2026!A:A,sellers_2026!B:B,,0,)</f>
        <v>generalstuff</v>
      </c>
    </row>
    <row r="770" spans="1:10" ht="14.25" customHeight="1" x14ac:dyDescent="0.3">
      <c r="A770" s="2" t="s">
        <v>3089</v>
      </c>
      <c r="B770" s="2" t="s">
        <v>728</v>
      </c>
      <c r="C770" s="2">
        <v>2</v>
      </c>
      <c r="D770" t="str">
        <f>_xlfn.XLOOKUP(order_items!B770,products_2026!A:A,products_2026!C:C,,0,)</f>
        <v>Gift_Sets</v>
      </c>
      <c r="E770">
        <f>_xlfn.XLOOKUP(B770,products_2026!A:A,products_2026!D:D,,0,)</f>
        <v>33.89</v>
      </c>
      <c r="F770">
        <f t="shared" si="11"/>
        <v>67.78</v>
      </c>
      <c r="G770" t="str">
        <f>_xlfn.XLOOKUP(B770,products_2026!A:A,products_2026!B:B,,0,)</f>
        <v>Mini Plant Starter Kit (Diasy)</v>
      </c>
      <c r="H770" t="str">
        <f>_xlfn.XLOOKUP(B770,products_2026!A:A,products_2026!E:E,,0,)</f>
        <v>SELL0088</v>
      </c>
      <c r="I770" t="str">
        <f>IFERROR(_xlfn.XLOOKUP(H770,sellers_2026!A:A,sellers_2026!G:G,,0,), "unknown/inactive")</f>
        <v>TAS</v>
      </c>
      <c r="J770" t="str">
        <f>_xlfn.XLOOKUP(H770,sellers_2026!A:A,sellers_2026!B:B,,0,)</f>
        <v>7ti9lfa6h5</v>
      </c>
    </row>
    <row r="771" spans="1:10" ht="14.25" customHeight="1" x14ac:dyDescent="0.3">
      <c r="A771" s="2" t="s">
        <v>3090</v>
      </c>
      <c r="B771" s="2" t="s">
        <v>360</v>
      </c>
      <c r="C771" s="2">
        <v>1</v>
      </c>
      <c r="D771" t="str">
        <f>_xlfn.XLOOKUP(order_items!B771,products_2026!A:A,products_2026!C:C,,0,)</f>
        <v>Toys</v>
      </c>
      <c r="E771">
        <f>_xlfn.XLOOKUP(B771,products_2026!A:A,products_2026!D:D,,0,)</f>
        <v>24.94</v>
      </c>
      <c r="F771">
        <f t="shared" ref="F771:F796" si="12">C771*E771</f>
        <v>24.94</v>
      </c>
      <c r="G771" t="str">
        <f>_xlfn.XLOOKUP(B771,products_2026!A:A,products_2026!B:B,,0,)</f>
        <v>Kite Blue</v>
      </c>
      <c r="H771" t="str">
        <f>_xlfn.XLOOKUP(B771,products_2026!A:A,products_2026!E:E,,0,)</f>
        <v>SELL0021</v>
      </c>
      <c r="I771" t="str">
        <f>IFERROR(_xlfn.XLOOKUP(H771,sellers_2026!A:A,sellers_2026!G:G,,0,), "unknown/inactive")</f>
        <v>VIC</v>
      </c>
      <c r="J771" t="str">
        <f>_xlfn.XLOOKUP(H771,sellers_2026!A:A,sellers_2026!B:B,,0,)</f>
        <v>stuff-on-sale</v>
      </c>
    </row>
    <row r="772" spans="1:10" ht="14.25" customHeight="1" x14ac:dyDescent="0.3">
      <c r="A772" s="2" t="s">
        <v>3091</v>
      </c>
      <c r="B772" s="2" t="s">
        <v>732</v>
      </c>
      <c r="C772" s="2">
        <v>1</v>
      </c>
      <c r="D772" t="str">
        <f>_xlfn.XLOOKUP(order_items!B772,products_2026!A:A,products_2026!C:C,,0,)</f>
        <v>Gift_Sets</v>
      </c>
      <c r="E772">
        <f>_xlfn.XLOOKUP(B772,products_2026!A:A,products_2026!D:D,,0,)</f>
        <v>32.71</v>
      </c>
      <c r="F772">
        <f t="shared" si="12"/>
        <v>32.71</v>
      </c>
      <c r="G772" t="str">
        <f>_xlfn.XLOOKUP(B772,products_2026!A:A,products_2026!B:B,,0,)</f>
        <v>Luxury Skincare Set Moisturiser Bath Bomb</v>
      </c>
      <c r="H772" t="str">
        <f>_xlfn.XLOOKUP(B772,products_2026!A:A,products_2026!E:E,,0,)</f>
        <v>SELL0088</v>
      </c>
      <c r="I772" t="str">
        <f>IFERROR(_xlfn.XLOOKUP(H772,sellers_2026!A:A,sellers_2026!G:G,,0,), "unknown/inactive")</f>
        <v>TAS</v>
      </c>
      <c r="J772" t="str">
        <f>_xlfn.XLOOKUP(H772,sellers_2026!A:A,sellers_2026!B:B,,0,)</f>
        <v>7ti9lfa6h5</v>
      </c>
    </row>
    <row r="773" spans="1:10" ht="14.25" customHeight="1" x14ac:dyDescent="0.3">
      <c r="A773" s="2" t="s">
        <v>3092</v>
      </c>
      <c r="B773" s="2" t="s">
        <v>173</v>
      </c>
      <c r="C773" s="2">
        <v>1</v>
      </c>
      <c r="D773" t="str">
        <f>_xlfn.XLOOKUP(order_items!B773,products_2026!A:A,products_2026!C:C,,0,)</f>
        <v>Toys</v>
      </c>
      <c r="E773">
        <f>_xlfn.XLOOKUP(B773,products_2026!A:A,products_2026!D:D,,0,)</f>
        <v>23.3</v>
      </c>
      <c r="F773">
        <f t="shared" si="12"/>
        <v>23.3</v>
      </c>
      <c r="G773" t="str">
        <f>_xlfn.XLOOKUP(B773,products_2026!A:A,products_2026!B:B,,0,)</f>
        <v>Car Controlled Phone Remote</v>
      </c>
      <c r="H773" t="str">
        <f>_xlfn.XLOOKUP(B773,products_2026!A:A,products_2026!E:E,,0,)</f>
        <v>SELL0034</v>
      </c>
      <c r="I773" t="str">
        <f>IFERROR(_xlfn.XLOOKUP(H773,sellers_2026!A:A,sellers_2026!G:G,,0,), "unknown/inactive")</f>
        <v>NT</v>
      </c>
      <c r="J773" t="str">
        <f>_xlfn.XLOOKUP(H773,sellers_2026!A:A,sellers_2026!B:B,,0,)</f>
        <v>outer40</v>
      </c>
    </row>
    <row r="774" spans="1:10" ht="14.25" customHeight="1" x14ac:dyDescent="0.3">
      <c r="A774" s="2" t="s">
        <v>3093</v>
      </c>
      <c r="B774" s="2" t="s">
        <v>968</v>
      </c>
      <c r="C774" s="2">
        <v>1</v>
      </c>
      <c r="D774" t="str">
        <f>_xlfn.XLOOKUP(order_items!B774,products_2026!A:A,products_2026!C:C,,0,)</f>
        <v>Stationery</v>
      </c>
      <c r="E774">
        <f>_xlfn.XLOOKUP(B774,products_2026!A:A,products_2026!D:D,,0,)</f>
        <v>3.23</v>
      </c>
      <c r="F774">
        <f t="shared" si="12"/>
        <v>3.23</v>
      </c>
      <c r="G774" t="str">
        <f>_xlfn.XLOOKUP(B774,products_2026!A:A,products_2026!B:B,,0,)</f>
        <v>Weekly Planner Pad</v>
      </c>
      <c r="H774" t="str">
        <f>_xlfn.XLOOKUP(B774,products_2026!A:A,products_2026!E:E,,0,)</f>
        <v>SELL0010</v>
      </c>
      <c r="I774" t="str">
        <f>IFERROR(_xlfn.XLOOKUP(H774,sellers_2026!A:A,sellers_2026!G:G,,0,), "unknown/inactive")</f>
        <v>VIC</v>
      </c>
      <c r="J774" t="str">
        <f>_xlfn.XLOOKUP(H774,sellers_2026!A:A,sellers_2026!B:B,,0,)</f>
        <v>hobbylobby</v>
      </c>
    </row>
    <row r="775" spans="1:10" ht="14.25" customHeight="1" x14ac:dyDescent="0.3">
      <c r="A775" s="2" t="s">
        <v>3094</v>
      </c>
      <c r="B775" s="2" t="s">
        <v>509</v>
      </c>
      <c r="C775" s="2">
        <v>1</v>
      </c>
      <c r="D775" t="str">
        <f>_xlfn.XLOOKUP(order_items!B775,products_2026!A:A,products_2026!C:C,,0,)</f>
        <v>Beauty</v>
      </c>
      <c r="E775">
        <f>_xlfn.XLOOKUP(B775,products_2026!A:A,products_2026!D:D,,0,)</f>
        <v>22.23</v>
      </c>
      <c r="F775">
        <f t="shared" si="12"/>
        <v>22.23</v>
      </c>
      <c r="G775" t="str">
        <f>_xlfn.XLOOKUP(B775,products_2026!A:A,products_2026!B:B,,0,)</f>
        <v>Lotion Cocoa Butter 50ml</v>
      </c>
      <c r="H775" t="str">
        <f>_xlfn.XLOOKUP(B775,products_2026!A:A,products_2026!E:E,,0,)</f>
        <v>SELL0071</v>
      </c>
      <c r="I775" t="str">
        <f>IFERROR(_xlfn.XLOOKUP(H775,sellers_2026!A:A,sellers_2026!G:G,,0,), "unknown/inactive")</f>
        <v>VIC</v>
      </c>
      <c r="J775" t="str">
        <f>_xlfn.XLOOKUP(H775,sellers_2026!A:A,sellers_2026!B:B,,0,)</f>
        <v>trueyou55</v>
      </c>
    </row>
    <row r="776" spans="1:10" ht="14.25" customHeight="1" x14ac:dyDescent="0.3">
      <c r="A776" s="2" t="s">
        <v>3095</v>
      </c>
      <c r="B776" s="2" t="s">
        <v>781</v>
      </c>
      <c r="C776" s="2">
        <v>1</v>
      </c>
      <c r="D776" t="str">
        <f>_xlfn.XLOOKUP(order_items!B776,products_2026!A:A,products_2026!C:C,,0,)</f>
        <v>Beauty</v>
      </c>
      <c r="E776">
        <f>_xlfn.XLOOKUP(B776,products_2026!A:A,products_2026!D:D,,0,)</f>
        <v>17.829999999999998</v>
      </c>
      <c r="F776">
        <f t="shared" si="12"/>
        <v>17.829999999999998</v>
      </c>
      <c r="G776" t="str">
        <f>_xlfn.XLOOKUP(B776,products_2026!A:A,products_2026!B:B,,0,)</f>
        <v>Aloe Vera Gel 500ml</v>
      </c>
      <c r="H776" t="str">
        <f>_xlfn.XLOOKUP(B776,products_2026!A:A,products_2026!E:E,,0,)</f>
        <v>SELL0083</v>
      </c>
      <c r="I776" t="str">
        <f>IFERROR(_xlfn.XLOOKUP(H776,sellers_2026!A:A,sellers_2026!G:G,,0,), "unknown/inactive")</f>
        <v>WA</v>
      </c>
      <c r="J776" t="str">
        <f>_xlfn.XLOOKUP(H776,sellers_2026!A:A,sellers_2026!B:B,,0,)</f>
        <v>makeupped</v>
      </c>
    </row>
    <row r="777" spans="1:10" ht="14.25" customHeight="1" x14ac:dyDescent="0.3">
      <c r="A777" s="2" t="s">
        <v>3096</v>
      </c>
      <c r="B777" s="2" t="s">
        <v>116</v>
      </c>
      <c r="C777" s="2">
        <v>1</v>
      </c>
      <c r="D777" t="str">
        <f>_xlfn.XLOOKUP(order_items!B777,products_2026!A:A,products_2026!C:C,,0,)</f>
        <v>Outdoor</v>
      </c>
      <c r="E777">
        <f>_xlfn.XLOOKUP(B777,products_2026!A:A,products_2026!D:D,,0,)</f>
        <v>55.89</v>
      </c>
      <c r="F777">
        <f t="shared" si="12"/>
        <v>55.89</v>
      </c>
      <c r="G777" t="str">
        <f>_xlfn.XLOOKUP(B777,products_2026!A:A,products_2026!B:B,,0,)</f>
        <v>Fairy Lights Outdoor Garden String 200</v>
      </c>
      <c r="H777" t="str">
        <f>_xlfn.XLOOKUP(B777,products_2026!A:A,products_2026!E:E,,0,)</f>
        <v>SELL0023</v>
      </c>
      <c r="I777" t="str">
        <f>IFERROR(_xlfn.XLOOKUP(H777,sellers_2026!A:A,sellers_2026!G:G,,0,), "unknown/inactive")</f>
        <v>VIC</v>
      </c>
      <c r="J777" t="str">
        <f>_xlfn.XLOOKUP(H777,sellers_2026!A:A,sellers_2026!B:B,,0,)</f>
        <v>cleaning_out_my_shed</v>
      </c>
    </row>
    <row r="778" spans="1:10" ht="14.25" customHeight="1" x14ac:dyDescent="0.3">
      <c r="A778" s="2" t="s">
        <v>3096</v>
      </c>
      <c r="B778" s="2" t="s">
        <v>596</v>
      </c>
      <c r="C778" s="2">
        <v>1</v>
      </c>
      <c r="D778" t="str">
        <f>_xlfn.XLOOKUP(order_items!B778,products_2026!A:A,products_2026!C:C,,0,)</f>
        <v>Outdoor</v>
      </c>
      <c r="E778">
        <f>_xlfn.XLOOKUP(B778,products_2026!A:A,products_2026!D:D,,0,)</f>
        <v>48.14</v>
      </c>
      <c r="F778">
        <f t="shared" si="12"/>
        <v>48.14</v>
      </c>
      <c r="G778" t="str">
        <f>_xlfn.XLOOKUP(B778,products_2026!A:A,products_2026!B:B,,0,)</f>
        <v>Disposible Mini Grill</v>
      </c>
      <c r="H778" t="str">
        <f>_xlfn.XLOOKUP(B778,products_2026!A:A,products_2026!E:E,,0,)</f>
        <v>SELL0081</v>
      </c>
      <c r="I778" t="str">
        <f>IFERROR(_xlfn.XLOOKUP(H778,sellers_2026!A:A,sellers_2026!G:G,,0,), "unknown/inactive")</f>
        <v>QLD</v>
      </c>
      <c r="J778" t="str">
        <f>_xlfn.XLOOKUP(H778,sellers_2026!A:A,sellers_2026!B:B,,0,)</f>
        <v>brizzy_bonanza_48</v>
      </c>
    </row>
    <row r="779" spans="1:10" ht="14.25" customHeight="1" x14ac:dyDescent="0.3">
      <c r="A779" s="2" t="s">
        <v>3097</v>
      </c>
      <c r="B779" s="2" t="s">
        <v>694</v>
      </c>
      <c r="C779" s="2">
        <v>1</v>
      </c>
      <c r="D779" t="str">
        <f>_xlfn.XLOOKUP(order_items!B779,products_2026!A:A,products_2026!C:C,,0,)</f>
        <v>Electronics</v>
      </c>
      <c r="E779">
        <f>_xlfn.XLOOKUP(B779,products_2026!A:A,products_2026!D:D,,0,)</f>
        <v>92.77</v>
      </c>
      <c r="F779">
        <f t="shared" si="12"/>
        <v>92.77</v>
      </c>
      <c r="G779" t="str">
        <f>_xlfn.XLOOKUP(B779,products_2026!A:A,products_2026!B:B,,0,)</f>
        <v>Smart LED Light Bulb</v>
      </c>
      <c r="H779" t="str">
        <f>_xlfn.XLOOKUP(B779,products_2026!A:A,products_2026!E:E,,0,)</f>
        <v>SELL0087</v>
      </c>
      <c r="I779" t="str">
        <f>IFERROR(_xlfn.XLOOKUP(H779,sellers_2026!A:A,sellers_2026!G:G,,0,), "unknown/inactive")</f>
        <v>TAS</v>
      </c>
      <c r="J779" t="str">
        <f>_xlfn.XLOOKUP(H779,sellers_2026!A:A,sellers_2026!B:B,,0,)</f>
        <v>electrowave</v>
      </c>
    </row>
    <row r="780" spans="1:10" ht="14.25" customHeight="1" x14ac:dyDescent="0.3">
      <c r="A780" s="2" t="s">
        <v>3098</v>
      </c>
      <c r="B780" s="2" t="s">
        <v>764</v>
      </c>
      <c r="C780" s="2">
        <v>1</v>
      </c>
      <c r="D780" t="str">
        <f>_xlfn.XLOOKUP(order_items!B780,products_2026!A:A,products_2026!C:C,,0,)</f>
        <v>Health</v>
      </c>
      <c r="E780">
        <f>_xlfn.XLOOKUP(B780,products_2026!A:A,products_2026!D:D,,0,)</f>
        <v>60.86</v>
      </c>
      <c r="F780">
        <f t="shared" si="12"/>
        <v>60.86</v>
      </c>
      <c r="G780" t="str">
        <f>_xlfn.XLOOKUP(B780,products_2026!A:A,products_2026!B:B,,0,)</f>
        <v>Adjustable Dumbbell 12kg</v>
      </c>
      <c r="H780" t="str">
        <f>_xlfn.XLOOKUP(B780,products_2026!A:A,products_2026!E:E,,0,)</f>
        <v>SELL0051</v>
      </c>
      <c r="I780" t="str">
        <f>IFERROR(_xlfn.XLOOKUP(H780,sellers_2026!A:A,sellers_2026!G:G,,0,), "unknown/inactive")</f>
        <v>NT</v>
      </c>
      <c r="J780" t="str">
        <f>_xlfn.XLOOKUP(H780,sellers_2026!A:A,sellers_2026!B:B,,0,)</f>
        <v>healthway</v>
      </c>
    </row>
    <row r="781" spans="1:10" ht="14.25" customHeight="1" x14ac:dyDescent="0.3">
      <c r="A781" s="2" t="s">
        <v>3099</v>
      </c>
      <c r="B781" s="2" t="s">
        <v>691</v>
      </c>
      <c r="C781" s="2">
        <v>1</v>
      </c>
      <c r="D781" t="str">
        <f>_xlfn.XLOOKUP(order_items!B781,products_2026!A:A,products_2026!C:C,,0,)</f>
        <v>Electronics</v>
      </c>
      <c r="E781">
        <f>_xlfn.XLOOKUP(B781,products_2026!A:A,products_2026!D:D,,0,)</f>
        <v>115.55</v>
      </c>
      <c r="F781">
        <f t="shared" si="12"/>
        <v>115.55</v>
      </c>
      <c r="G781" t="str">
        <f>_xlfn.XLOOKUP(B781,products_2026!A:A,products_2026!B:B,,0,)</f>
        <v>Smart LED Light Bulb</v>
      </c>
      <c r="H781" t="str">
        <f>_xlfn.XLOOKUP(B781,products_2026!A:A,products_2026!E:E,,0,)</f>
        <v>SELL0087</v>
      </c>
      <c r="I781" t="str">
        <f>IFERROR(_xlfn.XLOOKUP(H781,sellers_2026!A:A,sellers_2026!G:G,,0,), "unknown/inactive")</f>
        <v>TAS</v>
      </c>
      <c r="J781" t="str">
        <f>_xlfn.XLOOKUP(H781,sellers_2026!A:A,sellers_2026!B:B,,0,)</f>
        <v>electrowave</v>
      </c>
    </row>
    <row r="782" spans="1:10" ht="14.25" customHeight="1" x14ac:dyDescent="0.3">
      <c r="A782" s="2" t="s">
        <v>3100</v>
      </c>
      <c r="B782" s="2" t="s">
        <v>470</v>
      </c>
      <c r="C782" s="2">
        <v>1</v>
      </c>
      <c r="D782" t="str">
        <f>_xlfn.XLOOKUP(order_items!B782,products_2026!A:A,products_2026!C:C,,0,)</f>
        <v>Outdoor</v>
      </c>
      <c r="E782">
        <f>_xlfn.XLOOKUP(B782,products_2026!A:A,products_2026!D:D,,0,)</f>
        <v>30.95</v>
      </c>
      <c r="F782">
        <f t="shared" si="12"/>
        <v>30.95</v>
      </c>
      <c r="G782" t="str">
        <f>_xlfn.XLOOKUP(B782,products_2026!A:A,products_2026!B:B,,0,)</f>
        <v>BBQ Cleaning Brush</v>
      </c>
      <c r="H782" t="str">
        <f>_xlfn.XLOOKUP(B782,products_2026!A:A,products_2026!E:E,,0,)</f>
        <v>SELL0067</v>
      </c>
      <c r="I782" t="str">
        <f>IFERROR(_xlfn.XLOOKUP(H782,sellers_2026!A:A,sellers_2026!G:G,,0,), "unknown/inactive")</f>
        <v>WA</v>
      </c>
      <c r="J782" t="str">
        <f>_xlfn.XLOOKUP(H782,sellers_2026!A:A,sellers_2026!B:B,,0,)</f>
        <v>w71bv3mee1</v>
      </c>
    </row>
    <row r="783" spans="1:10" ht="14.25" customHeight="1" x14ac:dyDescent="0.3">
      <c r="A783" s="2" t="s">
        <v>3100</v>
      </c>
      <c r="B783" s="2" t="s">
        <v>960</v>
      </c>
      <c r="C783" s="2">
        <v>1</v>
      </c>
      <c r="D783" t="str">
        <f>_xlfn.XLOOKUP(order_items!B783,products_2026!A:A,products_2026!C:C,,0,)</f>
        <v>Outdoor</v>
      </c>
      <c r="E783">
        <f>_xlfn.XLOOKUP(B783,products_2026!A:A,products_2026!D:D,,0,)</f>
        <v>44.92</v>
      </c>
      <c r="F783">
        <f t="shared" si="12"/>
        <v>44.92</v>
      </c>
      <c r="G783" t="str">
        <f>_xlfn.XLOOKUP(B783,products_2026!A:A,products_2026!B:B,,0,)</f>
        <v>Waterproof Picnic Mat</v>
      </c>
      <c r="H783" t="str">
        <f>_xlfn.XLOOKUP(B783,products_2026!A:A,products_2026!E:E,,0,)</f>
        <v>SELL0094</v>
      </c>
      <c r="I783" t="str">
        <f>IFERROR(_xlfn.XLOOKUP(H783,sellers_2026!A:A,sellers_2026!G:G,,0,), "unknown/inactive")</f>
        <v>WA</v>
      </c>
      <c r="J783" t="str">
        <f>_xlfn.XLOOKUP(H783,sellers_2026!A:A,sellers_2026!B:B,,0,)</f>
        <v>excelinall</v>
      </c>
    </row>
    <row r="784" spans="1:10" ht="14.25" customHeight="1" x14ac:dyDescent="0.3">
      <c r="A784" s="2" t="s">
        <v>3101</v>
      </c>
      <c r="B784" s="2" t="s">
        <v>710</v>
      </c>
      <c r="C784" s="2">
        <v>1</v>
      </c>
      <c r="D784" t="str">
        <f>_xlfn.XLOOKUP(order_items!B784,products_2026!A:A,products_2026!C:C,,0,)</f>
        <v>Electronics</v>
      </c>
      <c r="E784">
        <f>_xlfn.XLOOKUP(B784,products_2026!A:A,products_2026!D:D,,0,)</f>
        <v>36.57</v>
      </c>
      <c r="F784">
        <f t="shared" si="12"/>
        <v>36.57</v>
      </c>
      <c r="G784" t="str">
        <f>_xlfn.XLOOKUP(B784,products_2026!A:A,products_2026!B:B,,0,)</f>
        <v>Portable Power Bank 10,000mAh (Navy)</v>
      </c>
      <c r="H784" t="str">
        <f>_xlfn.XLOOKUP(B784,products_2026!A:A,products_2026!E:E,,0,)</f>
        <v>SELL0088</v>
      </c>
      <c r="I784" t="str">
        <f>IFERROR(_xlfn.XLOOKUP(H784,sellers_2026!A:A,sellers_2026!G:G,,0,), "unknown/inactive")</f>
        <v>TAS</v>
      </c>
      <c r="J784" t="str">
        <f>_xlfn.XLOOKUP(H784,sellers_2026!A:A,sellers_2026!B:B,,0,)</f>
        <v>7ti9lfa6h5</v>
      </c>
    </row>
    <row r="785" spans="1:10" ht="14.25" customHeight="1" x14ac:dyDescent="0.3">
      <c r="A785" s="2" t="s">
        <v>3101</v>
      </c>
      <c r="B785" s="2" t="s">
        <v>877</v>
      </c>
      <c r="C785" s="2">
        <v>1</v>
      </c>
      <c r="D785" t="str">
        <f>_xlfn.XLOOKUP(order_items!B785,products_2026!A:A,products_2026!C:C,,0,)</f>
        <v>Jewellery</v>
      </c>
      <c r="E785">
        <f>_xlfn.XLOOKUP(B785,products_2026!A:A,products_2026!D:D,,0,)</f>
        <v>39.04</v>
      </c>
      <c r="F785">
        <f t="shared" si="12"/>
        <v>39.04</v>
      </c>
      <c r="G785" t="str">
        <f>_xlfn.XLOOKUP(B785,products_2026!A:A,products_2026!B:B,,0,)</f>
        <v>Gold-plated Hoop Earrings 5mm</v>
      </c>
      <c r="H785" t="str">
        <f>_xlfn.XLOOKUP(B785,products_2026!A:A,products_2026!E:E,,0,)</f>
        <v>SELL0092</v>
      </c>
      <c r="I785" t="str">
        <f>IFERROR(_xlfn.XLOOKUP(H785,sellers_2026!A:A,sellers_2026!G:G,,0,), "unknown/inactive")</f>
        <v>VIC</v>
      </c>
      <c r="J785" t="str">
        <f>_xlfn.XLOOKUP(H785,sellers_2026!A:A,sellers_2026!B:B,,0,)</f>
        <v>dress4beauty</v>
      </c>
    </row>
    <row r="786" spans="1:10" ht="14.25" customHeight="1" x14ac:dyDescent="0.3">
      <c r="A786" s="2" t="s">
        <v>3101</v>
      </c>
      <c r="B786" s="2" t="s">
        <v>883</v>
      </c>
      <c r="C786" s="2">
        <v>1</v>
      </c>
      <c r="D786" t="str">
        <f>_xlfn.XLOOKUP(order_items!B786,products_2026!A:A,products_2026!C:C,,0,)</f>
        <v>Outdoor</v>
      </c>
      <c r="E786">
        <f>_xlfn.XLOOKUP(B786,products_2026!A:A,products_2026!D:D,,0,)</f>
        <v>81.02</v>
      </c>
      <c r="F786">
        <f t="shared" si="12"/>
        <v>81.02</v>
      </c>
      <c r="G786" t="str">
        <f>_xlfn.XLOOKUP(B786,products_2026!A:A,products_2026!B:B,,0,)</f>
        <v>BBQ Meat Thermometer Bluetooth</v>
      </c>
      <c r="H786" t="str">
        <f>_xlfn.XLOOKUP(B786,products_2026!A:A,products_2026!E:E,,0,)</f>
        <v>SELL0092</v>
      </c>
      <c r="I786" t="str">
        <f>IFERROR(_xlfn.XLOOKUP(H786,sellers_2026!A:A,sellers_2026!G:G,,0,), "unknown/inactive")</f>
        <v>VIC</v>
      </c>
      <c r="J786" t="str">
        <f>_xlfn.XLOOKUP(H786,sellers_2026!A:A,sellers_2026!B:B,,0,)</f>
        <v>dress4beauty</v>
      </c>
    </row>
    <row r="787" spans="1:10" ht="14.25" customHeight="1" x14ac:dyDescent="0.3">
      <c r="A787" s="2" t="s">
        <v>3102</v>
      </c>
      <c r="B787" s="2" t="s">
        <v>341</v>
      </c>
      <c r="C787" s="2">
        <v>1</v>
      </c>
      <c r="D787" t="str">
        <f>_xlfn.XLOOKUP(order_items!B787,products_2026!A:A,products_2026!C:C,,0,)</f>
        <v>Health</v>
      </c>
      <c r="E787">
        <f>_xlfn.XLOOKUP(B787,products_2026!A:A,products_2026!D:D,,0,)</f>
        <v>49.21</v>
      </c>
      <c r="F787">
        <f t="shared" si="12"/>
        <v>49.21</v>
      </c>
      <c r="G787" t="str">
        <f>_xlfn.XLOOKUP(B787,products_2026!A:A,products_2026!B:B,,0,)</f>
        <v>Foam Roller - Firm Blue Large</v>
      </c>
      <c r="H787" t="str">
        <f>_xlfn.XLOOKUP(B787,products_2026!A:A,products_2026!E:E,,0,)</f>
        <v>SELL0051</v>
      </c>
      <c r="I787" t="str">
        <f>IFERROR(_xlfn.XLOOKUP(H787,sellers_2026!A:A,sellers_2026!G:G,,0,), "unknown/inactive")</f>
        <v>NT</v>
      </c>
      <c r="J787" t="str">
        <f>_xlfn.XLOOKUP(H787,sellers_2026!A:A,sellers_2026!B:B,,0,)</f>
        <v>healthway</v>
      </c>
    </row>
    <row r="788" spans="1:10" ht="14.25" customHeight="1" x14ac:dyDescent="0.3">
      <c r="A788" s="2" t="s">
        <v>3103</v>
      </c>
      <c r="B788" s="2" t="s">
        <v>532</v>
      </c>
      <c r="C788" s="2">
        <v>1</v>
      </c>
      <c r="D788" t="str">
        <f>_xlfn.XLOOKUP(order_items!B788,products_2026!A:A,products_2026!C:C,,0,)</f>
        <v>Home</v>
      </c>
      <c r="E788">
        <f>_xlfn.XLOOKUP(B788,products_2026!A:A,products_2026!D:D,,0,)</f>
        <v>64.55</v>
      </c>
      <c r="F788">
        <f t="shared" si="12"/>
        <v>64.55</v>
      </c>
      <c r="G788" t="str">
        <f>_xlfn.XLOOKUP(B788,products_2026!A:A,products_2026!B:B,,0,)</f>
        <v>Carbon Fiber Mug Set</v>
      </c>
      <c r="H788" t="str">
        <f>_xlfn.XLOOKUP(B788,products_2026!A:A,products_2026!E:E,,0,)</f>
        <v>SELL0074</v>
      </c>
      <c r="I788" t="str">
        <f>IFERROR(_xlfn.XLOOKUP(H788,sellers_2026!A:A,sellers_2026!G:G,,0,), "unknown/inactive")</f>
        <v>NT</v>
      </c>
      <c r="J788" t="str">
        <f>_xlfn.XLOOKUP(H788,sellers_2026!A:A,sellers_2026!B:B,,0,)</f>
        <v>springlesprungle3</v>
      </c>
    </row>
    <row r="789" spans="1:10" ht="14.25" customHeight="1" x14ac:dyDescent="0.3">
      <c r="A789" s="2" t="s">
        <v>3103</v>
      </c>
      <c r="B789" s="2" t="s">
        <v>638</v>
      </c>
      <c r="C789" s="2">
        <v>2</v>
      </c>
      <c r="D789" t="str">
        <f>_xlfn.XLOOKUP(order_items!B789,products_2026!A:A,products_2026!C:C,,0,)</f>
        <v>Clothes</v>
      </c>
      <c r="E789">
        <f>_xlfn.XLOOKUP(B789,products_2026!A:A,products_2026!D:D,,0,)</f>
        <v>44.13</v>
      </c>
      <c r="F789">
        <f t="shared" si="12"/>
        <v>88.26</v>
      </c>
      <c r="G789" t="str">
        <f>_xlfn.XLOOKUP(B789,products_2026!A:A,products_2026!B:B,,0,)</f>
        <v>Men’s Chino Shorts XL</v>
      </c>
      <c r="H789" t="str">
        <f>_xlfn.XLOOKUP(B789,products_2026!A:A,products_2026!E:E,,0,)</f>
        <v>SELL0086</v>
      </c>
      <c r="I789" t="str">
        <f>IFERROR(_xlfn.XLOOKUP(H789,sellers_2026!A:A,sellers_2026!G:G,,0,), "unknown/inactive")</f>
        <v>VIC</v>
      </c>
      <c r="J789" t="str">
        <f>_xlfn.XLOOKUP(H789,sellers_2026!A:A,sellers_2026!B:B,,0,)</f>
        <v>clothesforlife</v>
      </c>
    </row>
    <row r="790" spans="1:10" ht="14.25" customHeight="1" x14ac:dyDescent="0.3">
      <c r="A790" s="2" t="s">
        <v>3104</v>
      </c>
      <c r="B790" s="2" t="s">
        <v>698</v>
      </c>
      <c r="C790" s="2">
        <v>1</v>
      </c>
      <c r="D790" t="str">
        <f>_xlfn.XLOOKUP(order_items!B790,products_2026!A:A,products_2026!C:C,,0,)</f>
        <v>Electronics</v>
      </c>
      <c r="E790">
        <f>_xlfn.XLOOKUP(B790,products_2026!A:A,products_2026!D:D,,0,)</f>
        <v>63.84</v>
      </c>
      <c r="F790">
        <f t="shared" si="12"/>
        <v>63.84</v>
      </c>
      <c r="G790" t="str">
        <f>_xlfn.XLOOKUP(B790,products_2026!A:A,products_2026!B:B,,0,)</f>
        <v>Noise Cancelling Headphones (Red)</v>
      </c>
      <c r="H790" t="str">
        <f>_xlfn.XLOOKUP(B790,products_2026!A:A,products_2026!E:E,,0,)</f>
        <v>SELL0088</v>
      </c>
      <c r="I790" t="str">
        <f>IFERROR(_xlfn.XLOOKUP(H790,sellers_2026!A:A,sellers_2026!G:G,,0,), "unknown/inactive")</f>
        <v>TAS</v>
      </c>
      <c r="J790" t="str">
        <f>_xlfn.XLOOKUP(H790,sellers_2026!A:A,sellers_2026!B:B,,0,)</f>
        <v>7ti9lfa6h5</v>
      </c>
    </row>
    <row r="791" spans="1:10" ht="14.25" customHeight="1" x14ac:dyDescent="0.3">
      <c r="A791" s="2" t="s">
        <v>3105</v>
      </c>
      <c r="B791" s="2" t="s">
        <v>803</v>
      </c>
      <c r="C791" s="2">
        <v>1</v>
      </c>
      <c r="D791" t="str">
        <f>_xlfn.XLOOKUP(order_items!B791,products_2026!A:A,products_2026!C:C,,0,)</f>
        <v>Home</v>
      </c>
      <c r="E791">
        <f>_xlfn.XLOOKUP(B791,products_2026!A:A,products_2026!D:D,,0,)</f>
        <v>115.49</v>
      </c>
      <c r="F791">
        <f t="shared" si="12"/>
        <v>115.49</v>
      </c>
      <c r="G791" t="str">
        <f>_xlfn.XLOOKUP(B791,products_2026!A:A,products_2026!B:B,,0,)</f>
        <v>Memory Foam Pillow Medium Firm</v>
      </c>
      <c r="H791" t="str">
        <f>_xlfn.XLOOKUP(B791,products_2026!A:A,products_2026!E:E,,0,)</f>
        <v>SELL0027</v>
      </c>
      <c r="I791" t="str">
        <f>IFERROR(_xlfn.XLOOKUP(H791,sellers_2026!A:A,sellers_2026!G:G,,0,), "unknown/inactive")</f>
        <v>QLD</v>
      </c>
      <c r="J791" t="str">
        <f>_xlfn.XLOOKUP(H791,sellers_2026!A:A,sellers_2026!B:B,,0,)</f>
        <v>home458</v>
      </c>
    </row>
    <row r="792" spans="1:10" ht="14.25" customHeight="1" x14ac:dyDescent="0.3">
      <c r="A792" s="2" t="s">
        <v>3105</v>
      </c>
      <c r="B792" s="2" t="s">
        <v>935</v>
      </c>
      <c r="C792" s="2">
        <v>1</v>
      </c>
      <c r="D792" t="str">
        <f>_xlfn.XLOOKUP(order_items!B792,products_2026!A:A,products_2026!C:C,,0,)</f>
        <v>Outdoor</v>
      </c>
      <c r="E792">
        <f>_xlfn.XLOOKUP(B792,products_2026!A:A,products_2026!D:D,,0,)</f>
        <v>96.77</v>
      </c>
      <c r="F792">
        <f t="shared" si="12"/>
        <v>96.77</v>
      </c>
      <c r="G792" t="str">
        <f>_xlfn.XLOOKUP(B792,products_2026!A:A,products_2026!B:B,,0,)</f>
        <v>Garden Hose 50m (Grey)</v>
      </c>
      <c r="H792" t="str">
        <f>_xlfn.XLOOKUP(B792,products_2026!A:A,products_2026!E:E,,0,)</f>
        <v>SELL0093</v>
      </c>
      <c r="I792" t="str">
        <f>IFERROR(_xlfn.XLOOKUP(H792,sellers_2026!A:A,sellers_2026!G:G,,0,), "unknown/inactive")</f>
        <v>NT</v>
      </c>
      <c r="J792" t="str">
        <f>_xlfn.XLOOKUP(H792,sellers_2026!A:A,sellers_2026!B:B,,0,)</f>
        <v>millies-outdoor-shop</v>
      </c>
    </row>
    <row r="793" spans="1:10" ht="14.25" customHeight="1" x14ac:dyDescent="0.3">
      <c r="A793" s="2" t="s">
        <v>3106</v>
      </c>
      <c r="B793" s="2" t="s">
        <v>217</v>
      </c>
      <c r="C793" s="2">
        <v>1</v>
      </c>
      <c r="D793" t="str">
        <f>_xlfn.XLOOKUP(order_items!B793,products_2026!A:A,products_2026!C:C,,0,)</f>
        <v>Home</v>
      </c>
      <c r="E793">
        <f>_xlfn.XLOOKUP(B793,products_2026!A:A,products_2026!D:D,,0,)</f>
        <v>82.88</v>
      </c>
      <c r="F793">
        <f t="shared" si="12"/>
        <v>82.88</v>
      </c>
      <c r="G793" t="str">
        <f>_xlfn.XLOOKUP(B793,products_2026!A:A,products_2026!B:B,,0,)</f>
        <v>Floor Lamp Standing Tall LED</v>
      </c>
      <c r="H793" t="str">
        <f>_xlfn.XLOOKUP(B793,products_2026!A:A,products_2026!E:E,,0,)</f>
        <v>SELL0038</v>
      </c>
      <c r="I793" t="str">
        <f>IFERROR(_xlfn.XLOOKUP(H793,sellers_2026!A:A,sellers_2026!G:G,,0,), "unknown/inactive")</f>
        <v>SA</v>
      </c>
      <c r="J793" t="str">
        <f>_xlfn.XLOOKUP(H793,sellers_2026!A:A,sellers_2026!B:B,,0,)</f>
        <v>compradadonut</v>
      </c>
    </row>
    <row r="794" spans="1:10" ht="14.25" customHeight="1" x14ac:dyDescent="0.3">
      <c r="A794" s="2" t="s">
        <v>3107</v>
      </c>
      <c r="B794" s="2" t="s">
        <v>255</v>
      </c>
      <c r="C794" s="2">
        <v>1</v>
      </c>
      <c r="D794" t="str">
        <f>_xlfn.XLOOKUP(order_items!B794,products_2026!A:A,products_2026!C:C,,0,)</f>
        <v>Health</v>
      </c>
      <c r="E794">
        <f>_xlfn.XLOOKUP(B794,products_2026!A:A,products_2026!D:D,,0,)</f>
        <v>26.98</v>
      </c>
      <c r="F794">
        <f t="shared" si="12"/>
        <v>26.98</v>
      </c>
      <c r="G794" t="str">
        <f>_xlfn.XLOOKUP(B794,products_2026!A:A,products_2026!B:B,,0,)</f>
        <v>Yoga Mat - 8mm Thick</v>
      </c>
      <c r="H794" t="str">
        <f>_xlfn.XLOOKUP(B794,products_2026!A:A,products_2026!E:E,,0,)</f>
        <v>SELL0042</v>
      </c>
      <c r="I794" t="str">
        <f>IFERROR(_xlfn.XLOOKUP(H794,sellers_2026!A:A,sellers_2026!G:G,,0,), "unknown/inactive")</f>
        <v>WA</v>
      </c>
      <c r="J794" t="str">
        <f>_xlfn.XLOOKUP(H794,sellers_2026!A:A,sellers_2026!B:B,,0,)</f>
        <v>beauty490</v>
      </c>
    </row>
    <row r="795" spans="1:10" ht="14.25" customHeight="1" x14ac:dyDescent="0.3">
      <c r="A795" s="2" t="s">
        <v>3107</v>
      </c>
      <c r="B795" s="2" t="s">
        <v>462</v>
      </c>
      <c r="C795" s="2">
        <v>1</v>
      </c>
      <c r="D795" t="str">
        <f>_xlfn.XLOOKUP(order_items!B795,products_2026!A:A,products_2026!C:C,,0,)</f>
        <v>Health</v>
      </c>
      <c r="E795">
        <f>_xlfn.XLOOKUP(B795,products_2026!A:A,products_2026!D:D,,0,)</f>
        <v>40.75</v>
      </c>
      <c r="F795">
        <f t="shared" si="12"/>
        <v>40.75</v>
      </c>
      <c r="G795" t="str">
        <f>_xlfn.XLOOKUP(B795,products_2026!A:A,products_2026!B:B,,0,)</f>
        <v>Blood Pressure Monitor Digital</v>
      </c>
      <c r="H795" t="str">
        <f>_xlfn.XLOOKUP(B795,products_2026!A:A,products_2026!E:E,,0,)</f>
        <v>SELL0066</v>
      </c>
      <c r="I795" t="str">
        <f>IFERROR(_xlfn.XLOOKUP(H795,sellers_2026!A:A,sellers_2026!G:G,,0,), "unknown/inactive")</f>
        <v>VIC</v>
      </c>
      <c r="J795" t="str">
        <f>_xlfn.XLOOKUP(H795,sellers_2026!A:A,sellers_2026!B:B,,0,)</f>
        <v>healthcarehelp</v>
      </c>
    </row>
    <row r="796" spans="1:10" ht="14.25" customHeight="1" x14ac:dyDescent="0.3">
      <c r="A796" s="2" t="s">
        <v>3107</v>
      </c>
      <c r="B796" s="2" t="s">
        <v>819</v>
      </c>
      <c r="C796" s="2">
        <v>2</v>
      </c>
      <c r="D796" t="str">
        <f>_xlfn.XLOOKUP(order_items!B796,products_2026!A:A,products_2026!C:C,,0,)</f>
        <v>Home</v>
      </c>
      <c r="E796">
        <f>_xlfn.XLOOKUP(B796,products_2026!A:A,products_2026!D:D,,0,)</f>
        <v>24.23</v>
      </c>
      <c r="F796">
        <f t="shared" si="12"/>
        <v>48.46</v>
      </c>
      <c r="G796" t="str">
        <f>_xlfn.XLOOKUP(B796,products_2026!A:A,products_2026!B:B,,0,)</f>
        <v>Rug 200cm x 220cm</v>
      </c>
      <c r="H796" t="str">
        <f>_xlfn.XLOOKUP(B796,products_2026!A:A,products_2026!E:E,,0,)</f>
        <v>SELL0027</v>
      </c>
      <c r="I796" t="str">
        <f>IFERROR(_xlfn.XLOOKUP(H796,sellers_2026!A:A,sellers_2026!G:G,,0,), "unknown/inactive")</f>
        <v>QLD</v>
      </c>
      <c r="J796" t="str">
        <f>_xlfn.XLOOKUP(H796,sellers_2026!A:A,sellers_2026!B:B,,0,)</f>
        <v>home458</v>
      </c>
    </row>
    <row r="797" spans="1:10" ht="14.25" customHeight="1" x14ac:dyDescent="0.3"/>
    <row r="798" spans="1:10" ht="14.25" customHeight="1" x14ac:dyDescent="0.3"/>
    <row r="799" spans="1:10" ht="14.25" customHeight="1" x14ac:dyDescent="0.3"/>
    <row r="800" spans="1:1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autoFilter ref="A1:AB797" xr:uid="{00000000-0009-0000-0000-000004000000}"/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5CB61-062F-40D1-8381-A9091F1869AF}">
  <dimension ref="A1:J365"/>
  <sheetViews>
    <sheetView topLeftCell="A312" workbookViewId="0">
      <selection activeCell="M1" sqref="M1:N1048576"/>
    </sheetView>
  </sheetViews>
  <sheetFormatPr defaultRowHeight="14.4" x14ac:dyDescent="0.3"/>
  <cols>
    <col min="1" max="1" width="11.33203125" bestFit="1" customWidth="1"/>
    <col min="2" max="2" width="12.88671875" bestFit="1" customWidth="1"/>
    <col min="3" max="3" width="10.88671875" bestFit="1" customWidth="1"/>
    <col min="5" max="5" width="18.6640625" bestFit="1" customWidth="1"/>
    <col min="6" max="6" width="16.6640625" bestFit="1" customWidth="1"/>
    <col min="7" max="7" width="19.5546875" bestFit="1" customWidth="1"/>
    <col min="10" max="10" width="22.6640625" bestFit="1" customWidth="1"/>
    <col min="13" max="14" width="11.33203125" bestFit="1" customWidth="1"/>
  </cols>
  <sheetData>
    <row r="1" spans="1:10" ht="14.25" customHeight="1" x14ac:dyDescent="0.3">
      <c r="A1" s="17" t="s">
        <v>2621</v>
      </c>
      <c r="B1" s="17" t="s">
        <v>0</v>
      </c>
      <c r="C1" s="17" t="s">
        <v>3112</v>
      </c>
      <c r="D1" s="17" t="s">
        <v>3113</v>
      </c>
      <c r="E1" s="17" t="s">
        <v>1000</v>
      </c>
      <c r="F1" s="17" t="s">
        <v>3114</v>
      </c>
      <c r="G1" s="18" t="s">
        <v>3115</v>
      </c>
      <c r="H1" s="19"/>
      <c r="I1" s="20"/>
      <c r="J1" s="20"/>
    </row>
    <row r="2" spans="1:10" x14ac:dyDescent="0.3">
      <c r="A2" s="20" t="s">
        <v>2629</v>
      </c>
      <c r="B2" s="20" t="s">
        <v>196</v>
      </c>
      <c r="C2" s="20" t="s">
        <v>191</v>
      </c>
      <c r="D2" s="21">
        <v>5</v>
      </c>
      <c r="E2" s="20">
        <v>1</v>
      </c>
      <c r="F2" s="20" t="s">
        <v>3116</v>
      </c>
      <c r="G2" s="20">
        <v>-0.67</v>
      </c>
      <c r="H2" s="20"/>
      <c r="I2" s="20"/>
      <c r="J2" s="20" t="s">
        <v>3117</v>
      </c>
    </row>
    <row r="3" spans="1:10" x14ac:dyDescent="0.3">
      <c r="A3" s="20" t="s">
        <v>2630</v>
      </c>
      <c r="B3" s="20" t="s">
        <v>447</v>
      </c>
      <c r="C3" s="20" t="s">
        <v>434</v>
      </c>
      <c r="D3" s="20">
        <v>4</v>
      </c>
      <c r="E3" s="20">
        <v>1</v>
      </c>
      <c r="F3" s="20" t="s">
        <v>3116</v>
      </c>
      <c r="G3" s="20">
        <v>-0.7</v>
      </c>
      <c r="H3" s="20"/>
      <c r="I3" s="20"/>
      <c r="J3" s="20" t="s">
        <v>3118</v>
      </c>
    </row>
    <row r="4" spans="1:10" x14ac:dyDescent="0.3">
      <c r="A4" s="20" t="s">
        <v>2632</v>
      </c>
      <c r="B4" s="20" t="s">
        <v>478</v>
      </c>
      <c r="C4" s="20" t="s">
        <v>467</v>
      </c>
      <c r="D4" s="20">
        <v>3</v>
      </c>
      <c r="E4" s="20">
        <v>1</v>
      </c>
      <c r="F4" s="20" t="s">
        <v>3116</v>
      </c>
      <c r="G4" s="20">
        <v>-2.4</v>
      </c>
      <c r="H4" s="20"/>
      <c r="I4" s="20"/>
      <c r="J4" s="20" t="s">
        <v>3119</v>
      </c>
    </row>
    <row r="5" spans="1:10" x14ac:dyDescent="0.3">
      <c r="A5" s="20" t="s">
        <v>2633</v>
      </c>
      <c r="B5" s="20" t="s">
        <v>978</v>
      </c>
      <c r="C5" s="20" t="s">
        <v>44</v>
      </c>
      <c r="D5" s="20">
        <v>4</v>
      </c>
      <c r="E5" s="20">
        <v>1</v>
      </c>
      <c r="F5" s="20" t="s">
        <v>3116</v>
      </c>
      <c r="G5" s="20">
        <v>-0.6</v>
      </c>
      <c r="H5" s="20"/>
      <c r="I5" s="20"/>
      <c r="J5" s="20" t="s">
        <v>3120</v>
      </c>
    </row>
    <row r="6" spans="1:10" x14ac:dyDescent="0.3">
      <c r="A6" s="20" t="s">
        <v>2634</v>
      </c>
      <c r="B6" s="20" t="s">
        <v>210</v>
      </c>
      <c r="C6" s="20" t="s">
        <v>200</v>
      </c>
      <c r="D6" s="20">
        <v>5</v>
      </c>
      <c r="E6" s="20">
        <v>1</v>
      </c>
      <c r="F6" s="20" t="s">
        <v>3116</v>
      </c>
      <c r="G6" s="20">
        <v>-0.66</v>
      </c>
      <c r="H6" s="20"/>
      <c r="I6" s="20"/>
      <c r="J6" s="20" t="s">
        <v>3121</v>
      </c>
    </row>
    <row r="7" spans="1:10" x14ac:dyDescent="0.3">
      <c r="A7" s="20" t="s">
        <v>2636</v>
      </c>
      <c r="B7" s="20" t="s">
        <v>204</v>
      </c>
      <c r="C7" s="20" t="s">
        <v>200</v>
      </c>
      <c r="D7" s="20">
        <v>4</v>
      </c>
      <c r="E7" s="20">
        <v>1</v>
      </c>
      <c r="F7" s="20" t="s">
        <v>3116</v>
      </c>
      <c r="G7" s="20">
        <v>-1.51</v>
      </c>
      <c r="H7" s="20"/>
      <c r="I7" s="20"/>
      <c r="J7" s="20" t="s">
        <v>3122</v>
      </c>
    </row>
    <row r="8" spans="1:10" x14ac:dyDescent="0.3">
      <c r="A8" s="20" t="s">
        <v>2637</v>
      </c>
      <c r="B8" s="20" t="s">
        <v>403</v>
      </c>
      <c r="C8" s="20" t="s">
        <v>398</v>
      </c>
      <c r="D8" s="20">
        <v>4</v>
      </c>
      <c r="E8" s="20">
        <v>1</v>
      </c>
      <c r="F8" s="20" t="s">
        <v>3116</v>
      </c>
      <c r="G8" s="20">
        <v>-0.64</v>
      </c>
      <c r="H8" s="20"/>
      <c r="I8" s="20"/>
      <c r="J8" s="20"/>
    </row>
    <row r="9" spans="1:10" x14ac:dyDescent="0.3">
      <c r="A9" s="20" t="s">
        <v>2640</v>
      </c>
      <c r="B9" s="20" t="s">
        <v>156</v>
      </c>
      <c r="C9" s="20" t="s">
        <v>153</v>
      </c>
      <c r="D9" s="20">
        <v>4</v>
      </c>
      <c r="E9" s="20">
        <v>1</v>
      </c>
      <c r="F9" s="20" t="s">
        <v>3123</v>
      </c>
      <c r="G9" s="20">
        <v>0.33</v>
      </c>
      <c r="H9" s="20"/>
      <c r="I9" s="20"/>
      <c r="J9" s="20"/>
    </row>
    <row r="10" spans="1:10" x14ac:dyDescent="0.3">
      <c r="A10" s="20" t="s">
        <v>2640</v>
      </c>
      <c r="B10" s="20" t="s">
        <v>728</v>
      </c>
      <c r="C10" s="20" t="s">
        <v>697</v>
      </c>
      <c r="D10" s="20">
        <v>4</v>
      </c>
      <c r="E10" s="20">
        <v>1</v>
      </c>
      <c r="F10" s="20" t="s">
        <v>3123</v>
      </c>
      <c r="G10" s="20">
        <v>0.33</v>
      </c>
      <c r="H10" s="20"/>
      <c r="I10" s="20"/>
      <c r="J10" s="20"/>
    </row>
    <row r="11" spans="1:10" x14ac:dyDescent="0.3">
      <c r="A11" s="20" t="s">
        <v>2643</v>
      </c>
      <c r="B11" s="20" t="s">
        <v>470</v>
      </c>
      <c r="C11" s="20" t="s">
        <v>467</v>
      </c>
      <c r="D11" s="20">
        <v>2</v>
      </c>
      <c r="E11" s="20">
        <v>1</v>
      </c>
      <c r="F11" s="20" t="s">
        <v>3116</v>
      </c>
      <c r="G11" s="20">
        <v>-1.52</v>
      </c>
      <c r="H11" s="20"/>
      <c r="I11" s="20"/>
      <c r="J11" s="20"/>
    </row>
    <row r="12" spans="1:10" x14ac:dyDescent="0.3">
      <c r="A12" s="20" t="s">
        <v>2646</v>
      </c>
      <c r="B12" s="20" t="s">
        <v>799</v>
      </c>
      <c r="C12" s="20" t="s">
        <v>133</v>
      </c>
      <c r="D12" s="20">
        <v>4</v>
      </c>
      <c r="E12" s="20">
        <v>1</v>
      </c>
      <c r="F12" s="20" t="s">
        <v>3116</v>
      </c>
      <c r="G12" s="20">
        <v>-0.5</v>
      </c>
      <c r="H12" s="20"/>
      <c r="I12" s="20"/>
      <c r="J12" s="20"/>
    </row>
    <row r="13" spans="1:10" x14ac:dyDescent="0.3">
      <c r="A13" s="20" t="s">
        <v>2647</v>
      </c>
      <c r="B13" s="20" t="s">
        <v>210</v>
      </c>
      <c r="C13" s="20" t="s">
        <v>200</v>
      </c>
      <c r="D13" s="20">
        <v>3</v>
      </c>
      <c r="E13" s="20">
        <v>2</v>
      </c>
      <c r="F13" s="20" t="s">
        <v>3116</v>
      </c>
      <c r="G13" s="20">
        <v>-0.62</v>
      </c>
      <c r="H13" s="20"/>
      <c r="I13" s="20"/>
      <c r="J13" s="20"/>
    </row>
    <row r="14" spans="1:10" x14ac:dyDescent="0.3">
      <c r="A14" s="20" t="s">
        <v>2648</v>
      </c>
      <c r="B14" s="20" t="s">
        <v>338</v>
      </c>
      <c r="C14" s="20" t="s">
        <v>340</v>
      </c>
      <c r="D14" s="20">
        <v>3</v>
      </c>
      <c r="E14" s="20">
        <v>1</v>
      </c>
      <c r="F14" s="20" t="s">
        <v>3123</v>
      </c>
      <c r="G14" s="20">
        <v>0.36</v>
      </c>
      <c r="H14" s="20"/>
      <c r="I14" s="20"/>
      <c r="J14" s="20"/>
    </row>
    <row r="15" spans="1:10" x14ac:dyDescent="0.3">
      <c r="A15" s="20" t="s">
        <v>2649</v>
      </c>
      <c r="B15" s="20" t="s">
        <v>460</v>
      </c>
      <c r="C15" s="20" t="s">
        <v>459</v>
      </c>
      <c r="D15" s="20">
        <v>2</v>
      </c>
      <c r="E15" s="20">
        <v>1</v>
      </c>
      <c r="F15" s="20" t="s">
        <v>3116</v>
      </c>
      <c r="G15" s="20">
        <v>-1.45</v>
      </c>
      <c r="H15" s="20"/>
      <c r="I15" s="20"/>
      <c r="J15" s="20"/>
    </row>
    <row r="16" spans="1:10" x14ac:dyDescent="0.3">
      <c r="A16" s="20" t="s">
        <v>2653</v>
      </c>
      <c r="B16" s="20" t="s">
        <v>495</v>
      </c>
      <c r="C16" s="20" t="s">
        <v>494</v>
      </c>
      <c r="D16" s="20">
        <v>5</v>
      </c>
      <c r="E16" s="20">
        <v>1</v>
      </c>
      <c r="F16" s="20" t="s">
        <v>3123</v>
      </c>
      <c r="G16" s="20">
        <v>0.28999999999999998</v>
      </c>
      <c r="H16" s="20"/>
      <c r="I16" s="20"/>
      <c r="J16" s="20"/>
    </row>
    <row r="17" spans="1:10" x14ac:dyDescent="0.3">
      <c r="A17" s="20" t="s">
        <v>2653</v>
      </c>
      <c r="B17" s="20" t="s">
        <v>710</v>
      </c>
      <c r="C17" s="20" t="s">
        <v>697</v>
      </c>
      <c r="D17" s="20">
        <v>5</v>
      </c>
      <c r="E17" s="20">
        <v>2</v>
      </c>
      <c r="F17" s="20" t="s">
        <v>3123</v>
      </c>
      <c r="G17" s="20">
        <v>0.28999999999999998</v>
      </c>
      <c r="H17" s="20"/>
      <c r="I17" s="20"/>
      <c r="J17" s="20"/>
    </row>
    <row r="18" spans="1:10" x14ac:dyDescent="0.3">
      <c r="A18" s="20" t="s">
        <v>2653</v>
      </c>
      <c r="B18" s="20" t="s">
        <v>883</v>
      </c>
      <c r="C18" s="20" t="s">
        <v>862</v>
      </c>
      <c r="D18" s="20">
        <v>5</v>
      </c>
      <c r="E18" s="20">
        <v>1</v>
      </c>
      <c r="F18" s="20" t="s">
        <v>3123</v>
      </c>
      <c r="G18" s="20">
        <v>0.28999999999999998</v>
      </c>
      <c r="H18" s="20"/>
      <c r="I18" s="20"/>
      <c r="J18" s="20"/>
    </row>
    <row r="19" spans="1:10" x14ac:dyDescent="0.3">
      <c r="A19" s="20" t="s">
        <v>2655</v>
      </c>
      <c r="B19" s="20" t="s">
        <v>503</v>
      </c>
      <c r="C19" s="20" t="s">
        <v>494</v>
      </c>
      <c r="D19" s="20">
        <v>5</v>
      </c>
      <c r="E19" s="20">
        <v>2</v>
      </c>
      <c r="F19" s="20" t="s">
        <v>3116</v>
      </c>
      <c r="G19" s="20">
        <v>-0.55000000000000004</v>
      </c>
      <c r="H19" s="20"/>
      <c r="I19" s="20"/>
      <c r="J19" s="20"/>
    </row>
    <row r="20" spans="1:10" x14ac:dyDescent="0.3">
      <c r="A20" s="20" t="s">
        <v>2658</v>
      </c>
      <c r="B20" s="20" t="s">
        <v>247</v>
      </c>
      <c r="C20" s="20" t="s">
        <v>244</v>
      </c>
      <c r="D20" s="20">
        <v>3</v>
      </c>
      <c r="E20" s="20">
        <v>1</v>
      </c>
      <c r="F20" s="20" t="s">
        <v>3116</v>
      </c>
      <c r="G20" s="20">
        <v>-1.57</v>
      </c>
      <c r="H20" s="20"/>
      <c r="I20" s="20"/>
      <c r="J20" s="20"/>
    </row>
    <row r="21" spans="1:10" x14ac:dyDescent="0.3">
      <c r="A21" s="20" t="s">
        <v>2659</v>
      </c>
      <c r="B21" s="20" t="s">
        <v>327</v>
      </c>
      <c r="C21" s="20" t="s">
        <v>326</v>
      </c>
      <c r="D21" s="20">
        <v>3</v>
      </c>
      <c r="E21" s="20">
        <v>1</v>
      </c>
      <c r="F21" s="20" t="s">
        <v>3116</v>
      </c>
      <c r="G21" s="20">
        <v>-2.5</v>
      </c>
      <c r="H21" s="20"/>
      <c r="I21" s="20"/>
      <c r="J21" s="20"/>
    </row>
    <row r="22" spans="1:10" x14ac:dyDescent="0.3">
      <c r="A22" s="20" t="s">
        <v>2662</v>
      </c>
      <c r="B22" s="20" t="s">
        <v>550</v>
      </c>
      <c r="C22" s="20" t="s">
        <v>221</v>
      </c>
      <c r="D22" s="20">
        <v>5</v>
      </c>
      <c r="E22" s="20">
        <v>1</v>
      </c>
      <c r="F22" s="20" t="s">
        <v>3123</v>
      </c>
      <c r="G22" s="20">
        <v>0.46</v>
      </c>
      <c r="H22" s="20"/>
      <c r="I22" s="20"/>
      <c r="J22" s="20"/>
    </row>
    <row r="23" spans="1:10" x14ac:dyDescent="0.3">
      <c r="A23" s="20" t="s">
        <v>2663</v>
      </c>
      <c r="B23" s="20" t="s">
        <v>224</v>
      </c>
      <c r="C23" s="20" t="s">
        <v>221</v>
      </c>
      <c r="D23" s="20">
        <v>5</v>
      </c>
      <c r="E23" s="20">
        <v>2</v>
      </c>
      <c r="F23" s="20" t="s">
        <v>3116</v>
      </c>
      <c r="G23" s="20">
        <v>-1.37</v>
      </c>
      <c r="H23" s="20"/>
      <c r="I23" s="20"/>
      <c r="J23" s="20"/>
    </row>
    <row r="24" spans="1:10" x14ac:dyDescent="0.3">
      <c r="A24" s="20" t="s">
        <v>2663</v>
      </c>
      <c r="B24" s="20" t="s">
        <v>286</v>
      </c>
      <c r="C24" s="20" t="s">
        <v>288</v>
      </c>
      <c r="D24" s="20">
        <v>5</v>
      </c>
      <c r="E24" s="20">
        <v>1</v>
      </c>
      <c r="F24" s="20" t="s">
        <v>3116</v>
      </c>
      <c r="G24" s="20">
        <v>-1.37</v>
      </c>
      <c r="H24" s="20"/>
      <c r="I24" s="20"/>
      <c r="J24" s="20"/>
    </row>
    <row r="25" spans="1:10" x14ac:dyDescent="0.3">
      <c r="A25" s="20" t="s">
        <v>2663</v>
      </c>
      <c r="B25" s="20" t="s">
        <v>559</v>
      </c>
      <c r="C25" s="20" t="s">
        <v>561</v>
      </c>
      <c r="D25" s="20">
        <v>5</v>
      </c>
      <c r="E25" s="20">
        <v>1</v>
      </c>
      <c r="F25" s="20" t="s">
        <v>3116</v>
      </c>
      <c r="G25" s="20">
        <v>-1.37</v>
      </c>
      <c r="H25" s="20"/>
      <c r="I25" s="20"/>
      <c r="J25" s="20"/>
    </row>
    <row r="26" spans="1:10" x14ac:dyDescent="0.3">
      <c r="A26" s="20" t="s">
        <v>2663</v>
      </c>
      <c r="B26" s="20" t="s">
        <v>836</v>
      </c>
      <c r="C26" s="20" t="s">
        <v>837</v>
      </c>
      <c r="D26" s="20">
        <v>5</v>
      </c>
      <c r="E26" s="20">
        <v>1</v>
      </c>
      <c r="F26" s="20" t="s">
        <v>3116</v>
      </c>
      <c r="G26" s="20">
        <v>-1.37</v>
      </c>
      <c r="H26" s="20"/>
      <c r="I26" s="20"/>
      <c r="J26" s="20"/>
    </row>
    <row r="27" spans="1:10" x14ac:dyDescent="0.3">
      <c r="A27" s="20" t="s">
        <v>2664</v>
      </c>
      <c r="B27" s="20" t="s">
        <v>583</v>
      </c>
      <c r="C27" s="20" t="s">
        <v>582</v>
      </c>
      <c r="D27" s="20">
        <v>1</v>
      </c>
      <c r="E27" s="20">
        <v>1</v>
      </c>
      <c r="F27" s="20" t="s">
        <v>3116</v>
      </c>
      <c r="G27" s="20">
        <v>-1.71</v>
      </c>
      <c r="H27" s="20"/>
      <c r="I27" s="20"/>
      <c r="J27" s="20"/>
    </row>
    <row r="28" spans="1:10" x14ac:dyDescent="0.3">
      <c r="A28" s="20" t="s">
        <v>2666</v>
      </c>
      <c r="B28" s="20" t="s">
        <v>726</v>
      </c>
      <c r="C28" s="20" t="s">
        <v>697</v>
      </c>
      <c r="D28" s="20">
        <v>3</v>
      </c>
      <c r="E28" s="20">
        <v>1</v>
      </c>
      <c r="F28" s="20" t="s">
        <v>3116</v>
      </c>
      <c r="G28" s="20">
        <v>-0.56999999999999995</v>
      </c>
      <c r="H28" s="20"/>
      <c r="I28" s="20"/>
      <c r="J28" s="20"/>
    </row>
    <row r="29" spans="1:10" x14ac:dyDescent="0.3">
      <c r="A29" s="20" t="s">
        <v>2670</v>
      </c>
      <c r="B29" s="20" t="s">
        <v>805</v>
      </c>
      <c r="C29" s="20" t="s">
        <v>133</v>
      </c>
      <c r="D29" s="20">
        <v>5</v>
      </c>
      <c r="E29" s="20">
        <v>2</v>
      </c>
      <c r="F29" s="20" t="s">
        <v>3116</v>
      </c>
      <c r="G29" s="20">
        <v>-0.6</v>
      </c>
      <c r="H29" s="20"/>
      <c r="I29" s="20"/>
      <c r="J29" s="20"/>
    </row>
    <row r="30" spans="1:10" x14ac:dyDescent="0.3">
      <c r="A30" s="20" t="s">
        <v>2671</v>
      </c>
      <c r="B30" s="20" t="s">
        <v>237</v>
      </c>
      <c r="C30" s="20" t="s">
        <v>230</v>
      </c>
      <c r="D30" s="20">
        <v>4</v>
      </c>
      <c r="E30" s="20">
        <v>1</v>
      </c>
      <c r="F30" s="20" t="s">
        <v>3123</v>
      </c>
      <c r="G30" s="20">
        <v>0.36</v>
      </c>
      <c r="H30" s="20"/>
      <c r="I30" s="20"/>
      <c r="J30" s="20"/>
    </row>
    <row r="31" spans="1:10" x14ac:dyDescent="0.3">
      <c r="A31" s="20" t="s">
        <v>2671</v>
      </c>
      <c r="B31" s="20" t="s">
        <v>927</v>
      </c>
      <c r="C31" s="20" t="s">
        <v>898</v>
      </c>
      <c r="D31" s="20">
        <v>4</v>
      </c>
      <c r="E31" s="20">
        <v>1</v>
      </c>
      <c r="F31" s="20" t="s">
        <v>3123</v>
      </c>
      <c r="G31" s="20">
        <v>0.36</v>
      </c>
      <c r="H31" s="20"/>
      <c r="I31" s="20"/>
      <c r="J31" s="20"/>
    </row>
    <row r="32" spans="1:10" x14ac:dyDescent="0.3">
      <c r="A32" s="20" t="s">
        <v>2672</v>
      </c>
      <c r="B32" s="20" t="s">
        <v>224</v>
      </c>
      <c r="C32" s="20" t="s">
        <v>221</v>
      </c>
      <c r="D32" s="20">
        <v>4</v>
      </c>
      <c r="E32" s="20">
        <v>1</v>
      </c>
      <c r="F32" s="20" t="s">
        <v>3116</v>
      </c>
      <c r="G32" s="20">
        <v>-2.4</v>
      </c>
      <c r="H32" s="20"/>
      <c r="I32" s="20"/>
      <c r="J32" s="20"/>
    </row>
    <row r="33" spans="1:10" x14ac:dyDescent="0.3">
      <c r="A33" s="20" t="s">
        <v>2673</v>
      </c>
      <c r="B33" s="20" t="s">
        <v>462</v>
      </c>
      <c r="C33" s="20" t="s">
        <v>464</v>
      </c>
      <c r="D33" s="20">
        <v>4</v>
      </c>
      <c r="E33" s="20">
        <v>1</v>
      </c>
      <c r="F33" s="20" t="s">
        <v>3123</v>
      </c>
      <c r="G33" s="20">
        <v>0.27</v>
      </c>
      <c r="H33" s="20"/>
      <c r="I33" s="20"/>
      <c r="J33" s="20"/>
    </row>
    <row r="34" spans="1:10" x14ac:dyDescent="0.3">
      <c r="A34" s="20" t="s">
        <v>2673</v>
      </c>
      <c r="B34" s="20" t="s">
        <v>614</v>
      </c>
      <c r="C34" s="20" t="s">
        <v>615</v>
      </c>
      <c r="D34" s="20">
        <v>4</v>
      </c>
      <c r="E34" s="20">
        <v>1</v>
      </c>
      <c r="F34" s="20" t="s">
        <v>3123</v>
      </c>
      <c r="G34" s="20">
        <v>0.27</v>
      </c>
      <c r="H34" s="20"/>
      <c r="I34" s="20"/>
      <c r="J34" s="20"/>
    </row>
    <row r="35" spans="1:10" x14ac:dyDescent="0.3">
      <c r="A35" s="20" t="s">
        <v>2674</v>
      </c>
      <c r="B35" s="20" t="s">
        <v>753</v>
      </c>
      <c r="C35" s="20" t="s">
        <v>750</v>
      </c>
      <c r="D35" s="20">
        <v>5</v>
      </c>
      <c r="E35" s="20">
        <v>1</v>
      </c>
      <c r="F35" s="20" t="s">
        <v>3123</v>
      </c>
      <c r="G35" s="20">
        <v>0.3</v>
      </c>
      <c r="H35" s="20"/>
      <c r="I35" s="20"/>
      <c r="J35" s="20"/>
    </row>
    <row r="36" spans="1:10" x14ac:dyDescent="0.3">
      <c r="A36" s="20" t="s">
        <v>2678</v>
      </c>
      <c r="B36" s="20" t="s">
        <v>269</v>
      </c>
      <c r="C36" s="20" t="s">
        <v>268</v>
      </c>
      <c r="D36" s="20">
        <v>5</v>
      </c>
      <c r="E36" s="20">
        <v>1</v>
      </c>
      <c r="F36" s="20" t="s">
        <v>3123</v>
      </c>
      <c r="G36" s="20">
        <v>0.26</v>
      </c>
      <c r="H36" s="20"/>
      <c r="I36" s="20"/>
      <c r="J36" s="20"/>
    </row>
    <row r="37" spans="1:10" x14ac:dyDescent="0.3">
      <c r="A37" s="20" t="s">
        <v>2679</v>
      </c>
      <c r="B37" s="20" t="s">
        <v>449</v>
      </c>
      <c r="C37" s="20" t="s">
        <v>451</v>
      </c>
      <c r="D37" s="20">
        <v>5</v>
      </c>
      <c r="E37" s="20">
        <v>1</v>
      </c>
      <c r="F37" s="20" t="s">
        <v>3123</v>
      </c>
      <c r="G37" s="20">
        <v>0.52</v>
      </c>
      <c r="H37" s="20"/>
      <c r="I37" s="20"/>
      <c r="J37" s="20"/>
    </row>
    <row r="38" spans="1:10" x14ac:dyDescent="0.3">
      <c r="A38" s="20" t="s">
        <v>2679</v>
      </c>
      <c r="B38" s="20" t="s">
        <v>557</v>
      </c>
      <c r="C38" s="20" t="s">
        <v>554</v>
      </c>
      <c r="D38" s="20">
        <v>5</v>
      </c>
      <c r="E38" s="20">
        <v>1</v>
      </c>
      <c r="F38" s="20" t="s">
        <v>3123</v>
      </c>
      <c r="G38" s="20">
        <v>0.52</v>
      </c>
      <c r="H38" s="20"/>
      <c r="I38" s="20"/>
      <c r="J38" s="20"/>
    </row>
    <row r="39" spans="1:10" x14ac:dyDescent="0.3">
      <c r="A39" s="20" t="s">
        <v>2680</v>
      </c>
      <c r="B39" s="20" t="s">
        <v>368</v>
      </c>
      <c r="C39" s="20" t="s">
        <v>367</v>
      </c>
      <c r="D39" s="20">
        <v>2</v>
      </c>
      <c r="E39" s="20">
        <v>1</v>
      </c>
      <c r="F39" s="20" t="s">
        <v>3116</v>
      </c>
      <c r="G39" s="20">
        <v>-2.64</v>
      </c>
      <c r="H39" s="20"/>
      <c r="I39" s="20"/>
      <c r="J39" s="20"/>
    </row>
    <row r="40" spans="1:10" x14ac:dyDescent="0.3">
      <c r="A40" s="20" t="s">
        <v>2682</v>
      </c>
      <c r="B40" s="20" t="s">
        <v>970</v>
      </c>
      <c r="C40" s="20" t="s">
        <v>957</v>
      </c>
      <c r="D40" s="20">
        <v>5</v>
      </c>
      <c r="E40" s="20">
        <v>1</v>
      </c>
      <c r="F40" s="20" t="s">
        <v>3123</v>
      </c>
      <c r="G40" s="20">
        <v>0.64</v>
      </c>
      <c r="H40" s="20"/>
      <c r="I40" s="20"/>
      <c r="J40" s="20"/>
    </row>
    <row r="41" spans="1:10" x14ac:dyDescent="0.3">
      <c r="A41" s="20" t="s">
        <v>2683</v>
      </c>
      <c r="B41" s="20" t="s">
        <v>707</v>
      </c>
      <c r="C41" s="20" t="s">
        <v>697</v>
      </c>
      <c r="D41" s="20">
        <v>5</v>
      </c>
      <c r="E41" s="20">
        <v>2</v>
      </c>
      <c r="F41" s="20" t="s">
        <v>3116</v>
      </c>
      <c r="G41" s="20">
        <v>-0.45</v>
      </c>
      <c r="H41" s="20"/>
      <c r="I41" s="20"/>
      <c r="J41" s="20"/>
    </row>
    <row r="42" spans="1:10" x14ac:dyDescent="0.3">
      <c r="A42" s="20" t="s">
        <v>2684</v>
      </c>
      <c r="B42" s="20" t="s">
        <v>612</v>
      </c>
      <c r="C42" s="20" t="s">
        <v>564</v>
      </c>
      <c r="D42" s="20">
        <v>3</v>
      </c>
      <c r="E42" s="20">
        <v>1</v>
      </c>
      <c r="F42" s="20" t="s">
        <v>3116</v>
      </c>
      <c r="G42" s="20">
        <v>-2.54</v>
      </c>
      <c r="H42" s="20"/>
      <c r="I42" s="20"/>
      <c r="J42" s="20"/>
    </row>
    <row r="43" spans="1:10" x14ac:dyDescent="0.3">
      <c r="A43" s="20" t="s">
        <v>2684</v>
      </c>
      <c r="B43" s="20" t="s">
        <v>869</v>
      </c>
      <c r="C43" s="20" t="s">
        <v>862</v>
      </c>
      <c r="D43" s="20">
        <v>3</v>
      </c>
      <c r="E43" s="20">
        <v>1</v>
      </c>
      <c r="F43" s="20" t="s">
        <v>3116</v>
      </c>
      <c r="G43" s="20">
        <v>-2.54</v>
      </c>
      <c r="H43" s="20"/>
      <c r="I43" s="20"/>
      <c r="J43" s="20"/>
    </row>
    <row r="44" spans="1:10" x14ac:dyDescent="0.3">
      <c r="A44" s="20" t="s">
        <v>2685</v>
      </c>
      <c r="B44" s="20" t="s">
        <v>249</v>
      </c>
      <c r="C44" s="20" t="s">
        <v>244</v>
      </c>
      <c r="D44" s="20">
        <v>4</v>
      </c>
      <c r="E44" s="20">
        <v>1</v>
      </c>
      <c r="F44" s="20" t="s">
        <v>3116</v>
      </c>
      <c r="G44" s="20">
        <v>-0.61</v>
      </c>
      <c r="H44" s="20"/>
      <c r="I44" s="20"/>
      <c r="J44" s="20"/>
    </row>
    <row r="45" spans="1:10" x14ac:dyDescent="0.3">
      <c r="A45" s="20" t="s">
        <v>2685</v>
      </c>
      <c r="B45" s="20" t="s">
        <v>764</v>
      </c>
      <c r="C45" s="20" t="s">
        <v>340</v>
      </c>
      <c r="D45" s="20">
        <v>4</v>
      </c>
      <c r="E45" s="20">
        <v>1</v>
      </c>
      <c r="F45" s="20" t="s">
        <v>3116</v>
      </c>
      <c r="G45" s="20">
        <v>-0.61</v>
      </c>
      <c r="H45" s="20"/>
      <c r="I45" s="20"/>
      <c r="J45" s="20"/>
    </row>
    <row r="46" spans="1:10" x14ac:dyDescent="0.3">
      <c r="A46" s="20" t="s">
        <v>2685</v>
      </c>
      <c r="B46" s="20" t="s">
        <v>991</v>
      </c>
      <c r="C46" s="20" t="s">
        <v>982</v>
      </c>
      <c r="D46" s="20">
        <v>4</v>
      </c>
      <c r="E46" s="20">
        <v>2</v>
      </c>
      <c r="F46" s="20" t="s">
        <v>3116</v>
      </c>
      <c r="G46" s="20">
        <v>-0.61</v>
      </c>
      <c r="H46" s="20"/>
      <c r="I46" s="20"/>
      <c r="J46" s="20"/>
    </row>
    <row r="47" spans="1:10" x14ac:dyDescent="0.3">
      <c r="A47" s="20" t="s">
        <v>2689</v>
      </c>
      <c r="B47" s="20" t="s">
        <v>313</v>
      </c>
      <c r="C47" s="20" t="s">
        <v>310</v>
      </c>
      <c r="D47" s="20">
        <v>4</v>
      </c>
      <c r="E47" s="20">
        <v>1</v>
      </c>
      <c r="F47" s="20" t="s">
        <v>3124</v>
      </c>
      <c r="G47" s="20">
        <v>1.49</v>
      </c>
      <c r="H47" s="20"/>
      <c r="I47" s="20"/>
      <c r="J47" s="20"/>
    </row>
    <row r="48" spans="1:10" x14ac:dyDescent="0.3">
      <c r="A48" s="20" t="s">
        <v>2690</v>
      </c>
      <c r="B48" s="20" t="s">
        <v>772</v>
      </c>
      <c r="C48" s="20" t="s">
        <v>340</v>
      </c>
      <c r="D48" s="20">
        <v>4</v>
      </c>
      <c r="E48" s="20">
        <v>1</v>
      </c>
      <c r="F48" s="20" t="s">
        <v>3124</v>
      </c>
      <c r="G48" s="20">
        <v>1.45</v>
      </c>
      <c r="H48" s="20"/>
      <c r="I48" s="20"/>
      <c r="J48" s="20"/>
    </row>
    <row r="49" spans="1:10" x14ac:dyDescent="0.3">
      <c r="A49" s="20" t="s">
        <v>2690</v>
      </c>
      <c r="B49" s="20" t="s">
        <v>911</v>
      </c>
      <c r="C49" s="20" t="s">
        <v>310</v>
      </c>
      <c r="D49" s="20">
        <v>4</v>
      </c>
      <c r="E49" s="20">
        <v>1</v>
      </c>
      <c r="F49" s="20" t="s">
        <v>3124</v>
      </c>
      <c r="G49" s="20">
        <v>1.45</v>
      </c>
      <c r="H49" s="20"/>
      <c r="I49" s="20"/>
      <c r="J49" s="20"/>
    </row>
    <row r="50" spans="1:10" x14ac:dyDescent="0.3">
      <c r="A50" s="20" t="s">
        <v>2691</v>
      </c>
      <c r="B50" s="20" t="s">
        <v>468</v>
      </c>
      <c r="C50" s="20" t="s">
        <v>467</v>
      </c>
      <c r="D50" s="20">
        <v>1</v>
      </c>
      <c r="E50" s="20">
        <v>1</v>
      </c>
      <c r="F50" s="20" t="s">
        <v>3116</v>
      </c>
      <c r="G50" s="20">
        <v>-2.57</v>
      </c>
      <c r="H50" s="20"/>
      <c r="I50" s="20"/>
      <c r="J50" s="20"/>
    </row>
    <row r="51" spans="1:10" x14ac:dyDescent="0.3">
      <c r="A51" s="20" t="s">
        <v>2691</v>
      </c>
      <c r="B51" s="20" t="s">
        <v>501</v>
      </c>
      <c r="C51" s="20" t="s">
        <v>494</v>
      </c>
      <c r="D51" s="20">
        <v>1</v>
      </c>
      <c r="E51" s="20">
        <v>2</v>
      </c>
      <c r="F51" s="20" t="s">
        <v>3116</v>
      </c>
      <c r="G51" s="20">
        <v>-2.57</v>
      </c>
      <c r="H51" s="20"/>
      <c r="I51" s="20"/>
      <c r="J51" s="20"/>
    </row>
    <row r="52" spans="1:10" x14ac:dyDescent="0.3">
      <c r="A52" s="20" t="s">
        <v>2692</v>
      </c>
      <c r="B52" s="20" t="s">
        <v>277</v>
      </c>
      <c r="C52" s="20" t="s">
        <v>122</v>
      </c>
      <c r="D52" s="20">
        <v>5</v>
      </c>
      <c r="E52" s="20">
        <v>1</v>
      </c>
      <c r="F52" s="20" t="s">
        <v>3116</v>
      </c>
      <c r="G52" s="20">
        <v>-0.36</v>
      </c>
      <c r="H52" s="20"/>
      <c r="I52" s="20"/>
      <c r="J52" s="20"/>
    </row>
    <row r="53" spans="1:10" x14ac:dyDescent="0.3">
      <c r="A53" s="20" t="s">
        <v>2692</v>
      </c>
      <c r="B53" s="20" t="s">
        <v>503</v>
      </c>
      <c r="C53" s="20" t="s">
        <v>494</v>
      </c>
      <c r="D53" s="20">
        <v>5</v>
      </c>
      <c r="E53" s="20">
        <v>1</v>
      </c>
      <c r="F53" s="20" t="s">
        <v>3116</v>
      </c>
      <c r="G53" s="20">
        <v>-0.36</v>
      </c>
      <c r="H53" s="20"/>
      <c r="I53" s="20"/>
      <c r="J53" s="20"/>
    </row>
    <row r="54" spans="1:10" x14ac:dyDescent="0.3">
      <c r="A54" s="20" t="s">
        <v>2694</v>
      </c>
      <c r="B54" s="20" t="s">
        <v>376</v>
      </c>
      <c r="C54" s="20" t="s">
        <v>375</v>
      </c>
      <c r="D54" s="20">
        <v>4</v>
      </c>
      <c r="E54" s="20">
        <v>1</v>
      </c>
      <c r="F54" s="20" t="s">
        <v>3116</v>
      </c>
      <c r="G54" s="20">
        <v>-0.67</v>
      </c>
      <c r="H54" s="20"/>
      <c r="I54" s="20"/>
      <c r="J54" s="20"/>
    </row>
    <row r="55" spans="1:10" x14ac:dyDescent="0.3">
      <c r="A55" s="20" t="s">
        <v>2698</v>
      </c>
      <c r="B55" s="20" t="s">
        <v>138</v>
      </c>
      <c r="C55" s="20" t="s">
        <v>135</v>
      </c>
      <c r="D55" s="20">
        <v>5</v>
      </c>
      <c r="E55" s="20">
        <v>1</v>
      </c>
      <c r="F55" s="20" t="s">
        <v>3116</v>
      </c>
      <c r="G55" s="20">
        <v>-0.42</v>
      </c>
      <c r="H55" s="20"/>
      <c r="I55" s="20"/>
      <c r="J55" s="20"/>
    </row>
    <row r="56" spans="1:10" x14ac:dyDescent="0.3">
      <c r="A56" s="20" t="s">
        <v>2698</v>
      </c>
      <c r="B56" s="20" t="s">
        <v>333</v>
      </c>
      <c r="C56" s="20" t="s">
        <v>326</v>
      </c>
      <c r="D56" s="20">
        <v>5</v>
      </c>
      <c r="E56" s="20">
        <v>1</v>
      </c>
      <c r="F56" s="20" t="s">
        <v>3116</v>
      </c>
      <c r="G56" s="20">
        <v>-0.42</v>
      </c>
      <c r="H56" s="20"/>
      <c r="I56" s="20"/>
      <c r="J56" s="20"/>
    </row>
    <row r="57" spans="1:10" x14ac:dyDescent="0.3">
      <c r="A57" s="20" t="s">
        <v>2701</v>
      </c>
      <c r="B57" s="20" t="s">
        <v>378</v>
      </c>
      <c r="C57" s="20" t="s">
        <v>310</v>
      </c>
      <c r="D57" s="20">
        <v>4</v>
      </c>
      <c r="E57" s="20">
        <v>1</v>
      </c>
      <c r="F57" s="20" t="s">
        <v>3116</v>
      </c>
      <c r="G57" s="20">
        <v>-1.67</v>
      </c>
      <c r="H57" s="20"/>
      <c r="I57" s="20"/>
      <c r="J57" s="20"/>
    </row>
    <row r="58" spans="1:10" x14ac:dyDescent="0.3">
      <c r="A58" s="20" t="s">
        <v>2702</v>
      </c>
      <c r="B58" s="20" t="s">
        <v>148</v>
      </c>
      <c r="C58" s="20" t="s">
        <v>150</v>
      </c>
      <c r="D58" s="20">
        <v>4</v>
      </c>
      <c r="E58" s="20">
        <v>1</v>
      </c>
      <c r="F58" s="20" t="s">
        <v>3116</v>
      </c>
      <c r="G58" s="20">
        <v>-0.4</v>
      </c>
      <c r="H58" s="20"/>
      <c r="I58" s="20"/>
      <c r="J58" s="20"/>
    </row>
    <row r="59" spans="1:10" x14ac:dyDescent="0.3">
      <c r="A59" s="20" t="s">
        <v>2702</v>
      </c>
      <c r="B59" s="20" t="s">
        <v>624</v>
      </c>
      <c r="C59" s="20" t="s">
        <v>8</v>
      </c>
      <c r="D59" s="20">
        <v>4</v>
      </c>
      <c r="E59" s="20">
        <v>1</v>
      </c>
      <c r="F59" s="20" t="s">
        <v>3116</v>
      </c>
      <c r="G59" s="20">
        <v>-0.4</v>
      </c>
      <c r="H59" s="20"/>
      <c r="I59" s="20"/>
      <c r="J59" s="20"/>
    </row>
    <row r="60" spans="1:10" x14ac:dyDescent="0.3">
      <c r="A60" s="20" t="s">
        <v>2702</v>
      </c>
      <c r="B60" s="20" t="s">
        <v>658</v>
      </c>
      <c r="C60" s="20" t="s">
        <v>627</v>
      </c>
      <c r="D60" s="20">
        <v>4</v>
      </c>
      <c r="E60" s="20">
        <v>2</v>
      </c>
      <c r="F60" s="20" t="s">
        <v>3116</v>
      </c>
      <c r="G60" s="20">
        <v>-0.4</v>
      </c>
      <c r="H60" s="20"/>
      <c r="I60" s="20"/>
      <c r="J60" s="20"/>
    </row>
    <row r="61" spans="1:10" x14ac:dyDescent="0.3">
      <c r="A61" s="20" t="s">
        <v>2703</v>
      </c>
      <c r="B61" s="20" t="s">
        <v>612</v>
      </c>
      <c r="C61" s="20" t="s">
        <v>564</v>
      </c>
      <c r="D61" s="20">
        <v>4</v>
      </c>
      <c r="E61" s="20">
        <v>1</v>
      </c>
      <c r="F61" s="20" t="s">
        <v>3116</v>
      </c>
      <c r="G61" s="20">
        <v>-0.34</v>
      </c>
      <c r="H61" s="20"/>
      <c r="I61" s="20"/>
      <c r="J61" s="20"/>
    </row>
    <row r="62" spans="1:10" x14ac:dyDescent="0.3">
      <c r="A62" s="20" t="s">
        <v>2709</v>
      </c>
      <c r="B62" s="20" t="s">
        <v>92</v>
      </c>
      <c r="C62" s="20" t="s">
        <v>89</v>
      </c>
      <c r="D62" s="20">
        <v>1</v>
      </c>
      <c r="E62" s="20">
        <v>1</v>
      </c>
      <c r="F62" s="20" t="s">
        <v>3116</v>
      </c>
      <c r="G62" s="20">
        <v>-1.39</v>
      </c>
      <c r="H62" s="20"/>
      <c r="I62" s="20"/>
      <c r="J62" s="20"/>
    </row>
    <row r="63" spans="1:10" x14ac:dyDescent="0.3">
      <c r="A63" s="20" t="s">
        <v>2709</v>
      </c>
      <c r="B63" s="20" t="s">
        <v>523</v>
      </c>
      <c r="C63" s="20" t="s">
        <v>525</v>
      </c>
      <c r="D63" s="20">
        <v>1</v>
      </c>
      <c r="E63" s="20">
        <v>1</v>
      </c>
      <c r="F63" s="20" t="s">
        <v>3116</v>
      </c>
      <c r="G63" s="20">
        <v>-1.39</v>
      </c>
      <c r="H63" s="20"/>
      <c r="I63" s="20"/>
      <c r="J63" s="20"/>
    </row>
    <row r="64" spans="1:10" x14ac:dyDescent="0.3">
      <c r="A64" s="20" t="s">
        <v>2709</v>
      </c>
      <c r="B64" s="20" t="s">
        <v>923</v>
      </c>
      <c r="C64" s="20" t="s">
        <v>898</v>
      </c>
      <c r="D64" s="20">
        <v>1</v>
      </c>
      <c r="E64" s="20">
        <v>1</v>
      </c>
      <c r="F64" s="20" t="s">
        <v>3116</v>
      </c>
      <c r="G64" s="20">
        <v>-1.39</v>
      </c>
      <c r="H64" s="20"/>
      <c r="I64" s="20"/>
      <c r="J64" s="20"/>
    </row>
    <row r="65" spans="1:10" x14ac:dyDescent="0.3">
      <c r="A65" s="20" t="s">
        <v>2710</v>
      </c>
      <c r="B65" s="20" t="s">
        <v>161</v>
      </c>
      <c r="C65" s="20" t="s">
        <v>160</v>
      </c>
      <c r="D65" s="20">
        <v>5</v>
      </c>
      <c r="E65" s="20">
        <v>2</v>
      </c>
      <c r="F65" s="20" t="s">
        <v>3123</v>
      </c>
      <c r="G65" s="20">
        <v>0.33</v>
      </c>
      <c r="H65" s="20"/>
      <c r="I65" s="20"/>
      <c r="J65" s="20"/>
    </row>
    <row r="66" spans="1:10" x14ac:dyDescent="0.3">
      <c r="A66" s="20" t="s">
        <v>2710</v>
      </c>
      <c r="B66" s="20" t="s">
        <v>171</v>
      </c>
      <c r="C66" s="20" t="s">
        <v>168</v>
      </c>
      <c r="D66" s="20">
        <v>5</v>
      </c>
      <c r="E66" s="20">
        <v>1</v>
      </c>
      <c r="F66" s="20" t="s">
        <v>3123</v>
      </c>
      <c r="G66" s="20">
        <v>0.33</v>
      </c>
      <c r="H66" s="20"/>
      <c r="I66" s="20"/>
      <c r="J66" s="20"/>
    </row>
    <row r="67" spans="1:10" x14ac:dyDescent="0.3">
      <c r="A67" s="20" t="s">
        <v>2710</v>
      </c>
      <c r="B67" s="20" t="s">
        <v>322</v>
      </c>
      <c r="C67" s="20" t="s">
        <v>321</v>
      </c>
      <c r="D67" s="20">
        <v>5</v>
      </c>
      <c r="E67" s="20">
        <v>1</v>
      </c>
      <c r="F67" s="20" t="s">
        <v>3123</v>
      </c>
      <c r="G67" s="20">
        <v>0.33</v>
      </c>
      <c r="H67" s="20"/>
      <c r="I67" s="20"/>
      <c r="J67" s="20"/>
    </row>
    <row r="68" spans="1:10" x14ac:dyDescent="0.3">
      <c r="A68" s="20" t="s">
        <v>2710</v>
      </c>
      <c r="B68" s="20" t="s">
        <v>875</v>
      </c>
      <c r="C68" s="20" t="s">
        <v>862</v>
      </c>
      <c r="D68" s="20">
        <v>5</v>
      </c>
      <c r="E68" s="20">
        <v>1</v>
      </c>
      <c r="F68" s="20" t="s">
        <v>3123</v>
      </c>
      <c r="G68" s="20">
        <v>0.33</v>
      </c>
      <c r="H68" s="20"/>
      <c r="I68" s="20"/>
      <c r="J68" s="20"/>
    </row>
    <row r="69" spans="1:10" x14ac:dyDescent="0.3">
      <c r="A69" s="20" t="s">
        <v>2711</v>
      </c>
      <c r="B69" s="20" t="s">
        <v>114</v>
      </c>
      <c r="C69" s="20" t="s">
        <v>111</v>
      </c>
      <c r="D69" s="20">
        <v>4</v>
      </c>
      <c r="E69" s="20">
        <v>2</v>
      </c>
      <c r="F69" s="20" t="s">
        <v>3123</v>
      </c>
      <c r="G69" s="20">
        <v>0.41</v>
      </c>
      <c r="H69" s="20"/>
      <c r="I69" s="20"/>
      <c r="J69" s="20"/>
    </row>
    <row r="70" spans="1:10" x14ac:dyDescent="0.3">
      <c r="A70" s="20" t="s">
        <v>2712</v>
      </c>
      <c r="B70" s="20" t="s">
        <v>73</v>
      </c>
      <c r="C70" s="20" t="s">
        <v>71</v>
      </c>
      <c r="D70" s="20">
        <v>1</v>
      </c>
      <c r="E70" s="20">
        <v>1</v>
      </c>
      <c r="F70" s="20" t="s">
        <v>3116</v>
      </c>
      <c r="G70" s="20">
        <v>-1.49</v>
      </c>
      <c r="H70" s="20"/>
      <c r="I70" s="20"/>
      <c r="J70" s="20"/>
    </row>
    <row r="71" spans="1:10" x14ac:dyDescent="0.3">
      <c r="A71" s="20" t="s">
        <v>2717</v>
      </c>
      <c r="B71" s="20" t="s">
        <v>963</v>
      </c>
      <c r="C71" s="20" t="s">
        <v>957</v>
      </c>
      <c r="D71" s="20">
        <v>5</v>
      </c>
      <c r="E71" s="20">
        <v>1</v>
      </c>
      <c r="F71" s="20" t="s">
        <v>3116</v>
      </c>
      <c r="G71" s="20">
        <v>-0.53</v>
      </c>
      <c r="H71" s="20"/>
      <c r="I71" s="20"/>
      <c r="J71" s="20"/>
    </row>
    <row r="72" spans="1:10" x14ac:dyDescent="0.3">
      <c r="A72" s="20" t="s">
        <v>2718</v>
      </c>
      <c r="B72" s="20" t="s">
        <v>827</v>
      </c>
      <c r="C72" s="20" t="s">
        <v>133</v>
      </c>
      <c r="D72" s="20">
        <v>5</v>
      </c>
      <c r="E72" s="20">
        <v>2</v>
      </c>
      <c r="F72" s="20" t="s">
        <v>3123</v>
      </c>
      <c r="G72" s="20">
        <v>0.28999999999999998</v>
      </c>
      <c r="H72" s="20"/>
      <c r="I72" s="20"/>
      <c r="J72" s="20"/>
    </row>
    <row r="73" spans="1:10" x14ac:dyDescent="0.3">
      <c r="A73" s="20" t="s">
        <v>2718</v>
      </c>
      <c r="B73" s="20" t="s">
        <v>883</v>
      </c>
      <c r="C73" s="20" t="s">
        <v>862</v>
      </c>
      <c r="D73" s="20">
        <v>5</v>
      </c>
      <c r="E73" s="20">
        <v>1</v>
      </c>
      <c r="F73" s="20" t="s">
        <v>3123</v>
      </c>
      <c r="G73" s="20">
        <v>0.28999999999999998</v>
      </c>
      <c r="H73" s="20"/>
      <c r="I73" s="20"/>
      <c r="J73" s="20"/>
    </row>
    <row r="74" spans="1:10" x14ac:dyDescent="0.3">
      <c r="A74" s="20" t="s">
        <v>2719</v>
      </c>
      <c r="B74" s="20" t="s">
        <v>112</v>
      </c>
      <c r="C74" s="20" t="s">
        <v>111</v>
      </c>
      <c r="D74" s="20">
        <v>2</v>
      </c>
      <c r="E74" s="20">
        <v>1</v>
      </c>
      <c r="F74" s="20" t="s">
        <v>3116</v>
      </c>
      <c r="G74" s="20">
        <v>-1.4</v>
      </c>
      <c r="H74" s="20"/>
      <c r="I74" s="20"/>
      <c r="J74" s="20"/>
    </row>
    <row r="75" spans="1:10" x14ac:dyDescent="0.3">
      <c r="A75" s="20" t="s">
        <v>2719</v>
      </c>
      <c r="B75" s="20" t="s">
        <v>927</v>
      </c>
      <c r="C75" s="20" t="s">
        <v>898</v>
      </c>
      <c r="D75" s="20">
        <v>2</v>
      </c>
      <c r="E75" s="20">
        <v>1</v>
      </c>
      <c r="F75" s="20" t="s">
        <v>3116</v>
      </c>
      <c r="G75" s="20">
        <v>-1.4</v>
      </c>
      <c r="H75" s="20"/>
      <c r="I75" s="20"/>
      <c r="J75" s="20"/>
    </row>
    <row r="76" spans="1:10" x14ac:dyDescent="0.3">
      <c r="A76" s="20" t="s">
        <v>2720</v>
      </c>
      <c r="B76" s="20" t="s">
        <v>474</v>
      </c>
      <c r="C76" s="20" t="s">
        <v>467</v>
      </c>
      <c r="D76" s="20">
        <v>5</v>
      </c>
      <c r="E76" s="20">
        <v>2</v>
      </c>
      <c r="F76" s="20" t="s">
        <v>3116</v>
      </c>
      <c r="G76" s="20">
        <v>-0.4</v>
      </c>
      <c r="H76" s="20"/>
      <c r="I76" s="20"/>
      <c r="J76" s="20"/>
    </row>
    <row r="77" spans="1:10" x14ac:dyDescent="0.3">
      <c r="A77" s="20" t="s">
        <v>2720</v>
      </c>
      <c r="B77" s="20" t="s">
        <v>594</v>
      </c>
      <c r="C77" s="20" t="s">
        <v>587</v>
      </c>
      <c r="D77" s="20">
        <v>5</v>
      </c>
      <c r="E77" s="20">
        <v>1</v>
      </c>
      <c r="F77" s="20" t="s">
        <v>3116</v>
      </c>
      <c r="G77" s="20">
        <v>-0.4</v>
      </c>
      <c r="H77" s="20"/>
      <c r="I77" s="20"/>
      <c r="J77" s="20"/>
    </row>
    <row r="78" spans="1:10" x14ac:dyDescent="0.3">
      <c r="A78" s="20" t="s">
        <v>2720</v>
      </c>
      <c r="B78" s="20" t="s">
        <v>781</v>
      </c>
      <c r="C78" s="20" t="s">
        <v>607</v>
      </c>
      <c r="D78" s="20">
        <v>5</v>
      </c>
      <c r="E78" s="20">
        <v>1</v>
      </c>
      <c r="F78" s="20" t="s">
        <v>3116</v>
      </c>
      <c r="G78" s="20">
        <v>-0.4</v>
      </c>
      <c r="H78" s="20"/>
      <c r="I78" s="20"/>
      <c r="J78" s="20"/>
    </row>
    <row r="79" spans="1:10" x14ac:dyDescent="0.3">
      <c r="A79" s="20" t="s">
        <v>2721</v>
      </c>
      <c r="B79" s="20" t="s">
        <v>60</v>
      </c>
      <c r="C79" s="20" t="s">
        <v>59</v>
      </c>
      <c r="D79" s="20">
        <v>5</v>
      </c>
      <c r="E79" s="20">
        <v>1</v>
      </c>
      <c r="F79" s="20" t="s">
        <v>3124</v>
      </c>
      <c r="G79" s="20">
        <v>1.5</v>
      </c>
      <c r="H79" s="20"/>
      <c r="I79" s="20"/>
      <c r="J79" s="20"/>
    </row>
    <row r="80" spans="1:10" x14ac:dyDescent="0.3">
      <c r="A80" s="20" t="s">
        <v>2721</v>
      </c>
      <c r="B80" s="20" t="s">
        <v>889</v>
      </c>
      <c r="C80" s="20" t="s">
        <v>862</v>
      </c>
      <c r="D80" s="20">
        <v>5</v>
      </c>
      <c r="E80" s="20">
        <v>2</v>
      </c>
      <c r="F80" s="20" t="s">
        <v>3124</v>
      </c>
      <c r="G80" s="20">
        <v>1.5</v>
      </c>
      <c r="H80" s="20"/>
      <c r="I80" s="20"/>
      <c r="J80" s="20"/>
    </row>
    <row r="81" spans="1:10" x14ac:dyDescent="0.3">
      <c r="A81" s="20" t="s">
        <v>2723</v>
      </c>
      <c r="B81" s="20" t="s">
        <v>103</v>
      </c>
      <c r="C81" s="20" t="s">
        <v>100</v>
      </c>
      <c r="D81" s="20">
        <v>1</v>
      </c>
      <c r="E81" s="20">
        <v>1</v>
      </c>
      <c r="F81" s="20" t="s">
        <v>3116</v>
      </c>
      <c r="G81" s="20">
        <v>-2.57</v>
      </c>
      <c r="H81" s="20"/>
      <c r="I81" s="20"/>
      <c r="J81" s="20"/>
    </row>
    <row r="82" spans="1:10" x14ac:dyDescent="0.3">
      <c r="A82" s="20" t="s">
        <v>2725</v>
      </c>
      <c r="B82" s="20" t="s">
        <v>114</v>
      </c>
      <c r="C82" s="20" t="s">
        <v>111</v>
      </c>
      <c r="D82" s="20">
        <v>5</v>
      </c>
      <c r="E82" s="20">
        <v>1</v>
      </c>
      <c r="F82" s="20" t="s">
        <v>3116</v>
      </c>
      <c r="G82" s="20">
        <v>-0.44</v>
      </c>
      <c r="H82" s="20"/>
      <c r="I82" s="20"/>
      <c r="J82" s="20"/>
    </row>
    <row r="83" spans="1:10" x14ac:dyDescent="0.3">
      <c r="A83" s="20" t="s">
        <v>2726</v>
      </c>
      <c r="B83" s="20" t="s">
        <v>253</v>
      </c>
      <c r="C83" s="20" t="s">
        <v>244</v>
      </c>
      <c r="D83" s="20">
        <v>4</v>
      </c>
      <c r="E83" s="20">
        <v>1</v>
      </c>
      <c r="F83" s="20" t="s">
        <v>3116</v>
      </c>
      <c r="G83" s="20">
        <v>-0.42</v>
      </c>
      <c r="H83" s="20"/>
      <c r="I83" s="20"/>
      <c r="J83" s="20"/>
    </row>
    <row r="84" spans="1:10" x14ac:dyDescent="0.3">
      <c r="A84" s="20" t="s">
        <v>2728</v>
      </c>
      <c r="B84" s="20" t="s">
        <v>51</v>
      </c>
      <c r="C84" s="20" t="s">
        <v>53</v>
      </c>
      <c r="D84" s="20">
        <v>5</v>
      </c>
      <c r="E84" s="20">
        <v>1</v>
      </c>
      <c r="F84" s="20" t="s">
        <v>3116</v>
      </c>
      <c r="G84" s="20">
        <v>-0.54</v>
      </c>
      <c r="H84" s="20"/>
      <c r="I84" s="20"/>
      <c r="J84" s="20"/>
    </row>
    <row r="85" spans="1:10" x14ac:dyDescent="0.3">
      <c r="A85" s="20" t="s">
        <v>2730</v>
      </c>
      <c r="B85" s="20" t="s">
        <v>399</v>
      </c>
      <c r="C85" s="20" t="s">
        <v>398</v>
      </c>
      <c r="D85" s="20">
        <v>1</v>
      </c>
      <c r="E85" s="20">
        <v>1</v>
      </c>
      <c r="F85" s="20" t="s">
        <v>3116</v>
      </c>
      <c r="G85" s="20">
        <v>-1.55</v>
      </c>
      <c r="H85" s="20"/>
      <c r="I85" s="20"/>
      <c r="J85" s="20"/>
    </row>
    <row r="86" spans="1:10" x14ac:dyDescent="0.3">
      <c r="A86" s="20" t="s">
        <v>2731</v>
      </c>
      <c r="B86" s="20" t="s">
        <v>171</v>
      </c>
      <c r="C86" s="20" t="s">
        <v>168</v>
      </c>
      <c r="D86" s="20">
        <v>4</v>
      </c>
      <c r="E86" s="20">
        <v>1</v>
      </c>
      <c r="F86" s="20" t="s">
        <v>3123</v>
      </c>
      <c r="G86" s="20">
        <v>0.3</v>
      </c>
      <c r="H86" s="20"/>
      <c r="I86" s="20"/>
      <c r="J86" s="20"/>
    </row>
    <row r="87" spans="1:10" x14ac:dyDescent="0.3">
      <c r="A87" s="20" t="s">
        <v>2731</v>
      </c>
      <c r="B87" s="20" t="s">
        <v>845</v>
      </c>
      <c r="C87" s="20" t="s">
        <v>837</v>
      </c>
      <c r="D87" s="20">
        <v>4</v>
      </c>
      <c r="E87" s="20">
        <v>1</v>
      </c>
      <c r="F87" s="20" t="s">
        <v>3123</v>
      </c>
      <c r="G87" s="20">
        <v>0.3</v>
      </c>
      <c r="H87" s="20"/>
      <c r="I87" s="20"/>
      <c r="J87" s="20"/>
    </row>
    <row r="88" spans="1:10" x14ac:dyDescent="0.3">
      <c r="A88" s="20" t="s">
        <v>2733</v>
      </c>
      <c r="B88" s="20" t="s">
        <v>126</v>
      </c>
      <c r="C88" s="20" t="s">
        <v>128</v>
      </c>
      <c r="D88" s="20">
        <v>5</v>
      </c>
      <c r="E88" s="20">
        <v>1</v>
      </c>
      <c r="F88" s="20" t="s">
        <v>3123</v>
      </c>
      <c r="G88" s="20">
        <v>0.6</v>
      </c>
      <c r="H88" s="20"/>
      <c r="I88" s="20"/>
      <c r="J88" s="20"/>
    </row>
    <row r="89" spans="1:10" x14ac:dyDescent="0.3">
      <c r="A89" s="20" t="s">
        <v>2733</v>
      </c>
      <c r="B89" s="20" t="s">
        <v>145</v>
      </c>
      <c r="C89" s="20" t="s">
        <v>147</v>
      </c>
      <c r="D89" s="20">
        <v>5</v>
      </c>
      <c r="E89" s="20">
        <v>1</v>
      </c>
      <c r="F89" s="20" t="s">
        <v>3123</v>
      </c>
      <c r="G89" s="20">
        <v>0.6</v>
      </c>
      <c r="H89" s="20"/>
      <c r="I89" s="20"/>
      <c r="J89" s="20"/>
    </row>
    <row r="90" spans="1:10" x14ac:dyDescent="0.3">
      <c r="A90" s="20" t="s">
        <v>2736</v>
      </c>
      <c r="B90" s="20" t="s">
        <v>472</v>
      </c>
      <c r="C90" s="20" t="s">
        <v>467</v>
      </c>
      <c r="D90" s="20">
        <v>5</v>
      </c>
      <c r="E90" s="20">
        <v>2</v>
      </c>
      <c r="F90" s="20" t="s">
        <v>3116</v>
      </c>
      <c r="G90" s="20">
        <v>-0.43</v>
      </c>
      <c r="H90" s="20"/>
      <c r="I90" s="20"/>
      <c r="J90" s="20"/>
    </row>
    <row r="91" spans="1:10" x14ac:dyDescent="0.3">
      <c r="A91" s="20" t="s">
        <v>2736</v>
      </c>
      <c r="B91" s="20" t="s">
        <v>583</v>
      </c>
      <c r="C91" s="20" t="s">
        <v>582</v>
      </c>
      <c r="D91" s="20">
        <v>5</v>
      </c>
      <c r="E91" s="20">
        <v>2</v>
      </c>
      <c r="F91" s="20" t="s">
        <v>3116</v>
      </c>
      <c r="G91" s="20">
        <v>-0.43</v>
      </c>
      <c r="H91" s="20"/>
      <c r="I91" s="20"/>
      <c r="J91" s="20"/>
    </row>
    <row r="92" spans="1:10" x14ac:dyDescent="0.3">
      <c r="A92" s="20" t="s">
        <v>2737</v>
      </c>
      <c r="B92" s="20" t="s">
        <v>54</v>
      </c>
      <c r="C92" s="20" t="s">
        <v>56</v>
      </c>
      <c r="D92" s="20">
        <v>2</v>
      </c>
      <c r="E92" s="20">
        <v>1</v>
      </c>
      <c r="F92" s="20" t="s">
        <v>3116</v>
      </c>
      <c r="G92" s="20">
        <v>-1.42</v>
      </c>
      <c r="H92" s="20"/>
      <c r="I92" s="20"/>
      <c r="J92" s="20"/>
    </row>
    <row r="93" spans="1:10" x14ac:dyDescent="0.3">
      <c r="A93" s="20" t="s">
        <v>2737</v>
      </c>
      <c r="B93" s="20" t="s">
        <v>694</v>
      </c>
      <c r="C93" s="20" t="s">
        <v>670</v>
      </c>
      <c r="D93" s="20">
        <v>2</v>
      </c>
      <c r="E93" s="20">
        <v>1</v>
      </c>
      <c r="F93" s="20" t="s">
        <v>3116</v>
      </c>
      <c r="G93" s="20">
        <v>-1.42</v>
      </c>
      <c r="H93" s="20"/>
      <c r="I93" s="20"/>
      <c r="J93" s="20"/>
    </row>
    <row r="94" spans="1:10" x14ac:dyDescent="0.3">
      <c r="A94" s="20" t="s">
        <v>2742</v>
      </c>
      <c r="B94" s="20" t="s">
        <v>92</v>
      </c>
      <c r="C94" s="20" t="s">
        <v>89</v>
      </c>
      <c r="D94" s="20">
        <v>5</v>
      </c>
      <c r="E94" s="20">
        <v>1</v>
      </c>
      <c r="F94" s="20" t="s">
        <v>3123</v>
      </c>
      <c r="G94" s="20">
        <v>0.32</v>
      </c>
      <c r="H94" s="20"/>
      <c r="I94" s="20"/>
      <c r="J94" s="20"/>
    </row>
    <row r="95" spans="1:10" x14ac:dyDescent="0.3">
      <c r="A95" s="20" t="s">
        <v>2742</v>
      </c>
      <c r="B95" s="20" t="s">
        <v>853</v>
      </c>
      <c r="C95" s="20" t="s">
        <v>837</v>
      </c>
      <c r="D95" s="20">
        <v>5</v>
      </c>
      <c r="E95" s="20">
        <v>1</v>
      </c>
      <c r="F95" s="20" t="s">
        <v>3123</v>
      </c>
      <c r="G95" s="20">
        <v>0.32</v>
      </c>
      <c r="H95" s="20"/>
      <c r="I95" s="20"/>
      <c r="J95" s="20"/>
    </row>
    <row r="96" spans="1:10" x14ac:dyDescent="0.3">
      <c r="A96" s="20" t="s">
        <v>2745</v>
      </c>
      <c r="B96" s="20" t="s">
        <v>233</v>
      </c>
      <c r="C96" s="20" t="s">
        <v>230</v>
      </c>
      <c r="D96" s="20">
        <v>3</v>
      </c>
      <c r="E96" s="20">
        <v>1</v>
      </c>
      <c r="F96" s="20" t="s">
        <v>3116</v>
      </c>
      <c r="G96" s="20">
        <v>-0.36</v>
      </c>
      <c r="H96" s="20"/>
      <c r="I96" s="20"/>
      <c r="J96" s="20"/>
    </row>
    <row r="97" spans="1:10" x14ac:dyDescent="0.3">
      <c r="A97" s="20" t="s">
        <v>2745</v>
      </c>
      <c r="B97" s="20" t="s">
        <v>327</v>
      </c>
      <c r="C97" s="20" t="s">
        <v>326</v>
      </c>
      <c r="D97" s="20">
        <v>3</v>
      </c>
      <c r="E97" s="20">
        <v>1</v>
      </c>
      <c r="F97" s="20" t="s">
        <v>3116</v>
      </c>
      <c r="G97" s="20">
        <v>-0.36</v>
      </c>
      <c r="H97" s="20"/>
      <c r="I97" s="20"/>
      <c r="J97" s="20"/>
    </row>
    <row r="98" spans="1:10" x14ac:dyDescent="0.3">
      <c r="A98" s="20" t="s">
        <v>2746</v>
      </c>
      <c r="B98" s="20" t="s">
        <v>103</v>
      </c>
      <c r="C98" s="20" t="s">
        <v>100</v>
      </c>
      <c r="D98" s="20">
        <v>5</v>
      </c>
      <c r="E98" s="20">
        <v>1</v>
      </c>
      <c r="F98" s="20" t="s">
        <v>3123</v>
      </c>
      <c r="G98" s="20">
        <v>0.49</v>
      </c>
      <c r="H98" s="20"/>
      <c r="I98" s="20"/>
      <c r="J98" s="20"/>
    </row>
    <row r="99" spans="1:10" x14ac:dyDescent="0.3">
      <c r="A99" s="20" t="s">
        <v>2746</v>
      </c>
      <c r="B99" s="20" t="s">
        <v>963</v>
      </c>
      <c r="C99" s="20" t="s">
        <v>957</v>
      </c>
      <c r="D99" s="20">
        <v>5</v>
      </c>
      <c r="E99" s="20">
        <v>2</v>
      </c>
      <c r="F99" s="20" t="s">
        <v>3123</v>
      </c>
      <c r="G99" s="20">
        <v>0.49</v>
      </c>
      <c r="H99" s="20"/>
      <c r="I99" s="20"/>
      <c r="J99" s="20"/>
    </row>
    <row r="100" spans="1:10" x14ac:dyDescent="0.3">
      <c r="A100" s="20" t="s">
        <v>2749</v>
      </c>
      <c r="B100" s="20" t="s">
        <v>64</v>
      </c>
      <c r="C100" s="20" t="s">
        <v>66</v>
      </c>
      <c r="D100" s="20">
        <v>5</v>
      </c>
      <c r="E100" s="20">
        <v>2</v>
      </c>
      <c r="F100" s="20" t="s">
        <v>3116</v>
      </c>
      <c r="G100" s="20">
        <v>-0.47</v>
      </c>
      <c r="H100" s="20"/>
      <c r="I100" s="20"/>
      <c r="J100" s="20"/>
    </row>
    <row r="101" spans="1:10" x14ac:dyDescent="0.3">
      <c r="A101" s="20" t="s">
        <v>2749</v>
      </c>
      <c r="B101" s="20" t="s">
        <v>114</v>
      </c>
      <c r="C101" s="20" t="s">
        <v>111</v>
      </c>
      <c r="D101" s="20">
        <v>5</v>
      </c>
      <c r="E101" s="20">
        <v>3</v>
      </c>
      <c r="F101" s="20" t="s">
        <v>3116</v>
      </c>
      <c r="G101" s="20">
        <v>-0.47</v>
      </c>
      <c r="H101" s="20"/>
      <c r="I101" s="20"/>
      <c r="J101" s="20"/>
    </row>
    <row r="102" spans="1:10" x14ac:dyDescent="0.3">
      <c r="A102" s="20" t="s">
        <v>2750</v>
      </c>
      <c r="B102" s="20" t="s">
        <v>441</v>
      </c>
      <c r="C102" s="20" t="s">
        <v>434</v>
      </c>
      <c r="D102" s="20">
        <v>5</v>
      </c>
      <c r="E102" s="20">
        <v>1</v>
      </c>
      <c r="F102" s="20" t="s">
        <v>3123</v>
      </c>
      <c r="G102" s="20">
        <v>0.44</v>
      </c>
      <c r="H102" s="20"/>
      <c r="I102" s="20"/>
      <c r="J102" s="20"/>
    </row>
    <row r="103" spans="1:10" x14ac:dyDescent="0.3">
      <c r="A103" s="20" t="s">
        <v>2751</v>
      </c>
      <c r="B103" s="20" t="s">
        <v>47</v>
      </c>
      <c r="C103" s="20" t="s">
        <v>50</v>
      </c>
      <c r="D103" s="20">
        <v>5</v>
      </c>
      <c r="E103" s="20">
        <v>1</v>
      </c>
      <c r="F103" s="20" t="s">
        <v>3116</v>
      </c>
      <c r="G103" s="20">
        <v>-0.63</v>
      </c>
      <c r="H103" s="20"/>
      <c r="I103" s="20"/>
      <c r="J103" s="20"/>
    </row>
    <row r="104" spans="1:10" x14ac:dyDescent="0.3">
      <c r="A104" s="20" t="s">
        <v>2753</v>
      </c>
      <c r="B104" s="20" t="s">
        <v>428</v>
      </c>
      <c r="C104" s="20" t="s">
        <v>427</v>
      </c>
      <c r="D104" s="20">
        <v>1</v>
      </c>
      <c r="E104" s="20">
        <v>1</v>
      </c>
      <c r="F104" s="20" t="s">
        <v>3116</v>
      </c>
      <c r="G104" s="20">
        <v>-2.36</v>
      </c>
      <c r="H104" s="20"/>
      <c r="I104" s="20"/>
      <c r="J104" s="20"/>
    </row>
    <row r="105" spans="1:10" x14ac:dyDescent="0.3">
      <c r="A105" s="20" t="s">
        <v>2755</v>
      </c>
      <c r="B105" s="20" t="s">
        <v>889</v>
      </c>
      <c r="C105" s="20" t="s">
        <v>862</v>
      </c>
      <c r="D105" s="20">
        <v>5</v>
      </c>
      <c r="E105" s="20">
        <v>1</v>
      </c>
      <c r="F105" s="20" t="s">
        <v>3123</v>
      </c>
      <c r="G105" s="20">
        <v>0.5</v>
      </c>
      <c r="H105" s="20"/>
      <c r="I105" s="20"/>
      <c r="J105" s="20"/>
    </row>
    <row r="106" spans="1:10" x14ac:dyDescent="0.3">
      <c r="A106" s="20" t="s">
        <v>2755</v>
      </c>
      <c r="B106" s="20" t="s">
        <v>960</v>
      </c>
      <c r="C106" s="20" t="s">
        <v>957</v>
      </c>
      <c r="D106" s="20">
        <v>5</v>
      </c>
      <c r="E106" s="20">
        <v>1</v>
      </c>
      <c r="F106" s="20" t="s">
        <v>3123</v>
      </c>
      <c r="G106" s="20">
        <v>0.5</v>
      </c>
      <c r="H106" s="20"/>
      <c r="I106" s="20"/>
      <c r="J106" s="20"/>
    </row>
    <row r="107" spans="1:10" x14ac:dyDescent="0.3">
      <c r="A107" s="20" t="s">
        <v>2761</v>
      </c>
      <c r="B107" s="20" t="s">
        <v>887</v>
      </c>
      <c r="C107" s="20" t="s">
        <v>862</v>
      </c>
      <c r="D107" s="20">
        <v>2</v>
      </c>
      <c r="E107" s="20">
        <v>1</v>
      </c>
      <c r="F107" s="20" t="s">
        <v>3116</v>
      </c>
      <c r="G107" s="20">
        <v>-2.5099999999999998</v>
      </c>
      <c r="H107" s="20"/>
      <c r="I107" s="20"/>
      <c r="J107" s="20"/>
    </row>
    <row r="108" spans="1:10" x14ac:dyDescent="0.3">
      <c r="A108" s="20" t="s">
        <v>2763</v>
      </c>
      <c r="B108" s="20" t="s">
        <v>497</v>
      </c>
      <c r="C108" s="20" t="s">
        <v>494</v>
      </c>
      <c r="D108" s="20">
        <v>5</v>
      </c>
      <c r="E108" s="20">
        <v>1</v>
      </c>
      <c r="F108" s="20" t="s">
        <v>3116</v>
      </c>
      <c r="G108" s="20">
        <v>-0.44</v>
      </c>
      <c r="H108" s="20"/>
      <c r="I108" s="20"/>
      <c r="J108" s="20"/>
    </row>
    <row r="109" spans="1:10" x14ac:dyDescent="0.3">
      <c r="A109" s="20" t="s">
        <v>2763</v>
      </c>
      <c r="B109" s="20" t="s">
        <v>535</v>
      </c>
      <c r="C109" s="20" t="s">
        <v>534</v>
      </c>
      <c r="D109" s="20">
        <v>5</v>
      </c>
      <c r="E109" s="20">
        <v>1</v>
      </c>
      <c r="F109" s="20" t="s">
        <v>3116</v>
      </c>
      <c r="G109" s="20">
        <v>-0.44</v>
      </c>
      <c r="H109" s="20"/>
      <c r="I109" s="20"/>
      <c r="J109" s="20"/>
    </row>
    <row r="110" spans="1:10" x14ac:dyDescent="0.3">
      <c r="A110" s="20" t="s">
        <v>2764</v>
      </c>
      <c r="B110" s="20" t="s">
        <v>57</v>
      </c>
      <c r="C110" s="20" t="s">
        <v>59</v>
      </c>
      <c r="D110" s="20">
        <v>1</v>
      </c>
      <c r="E110" s="20">
        <v>1</v>
      </c>
      <c r="F110" s="20" t="s">
        <v>3116</v>
      </c>
      <c r="G110" s="20">
        <v>-1.44</v>
      </c>
      <c r="H110" s="20"/>
      <c r="I110" s="20"/>
      <c r="J110" s="20"/>
    </row>
    <row r="111" spans="1:10" x14ac:dyDescent="0.3">
      <c r="A111" s="20" t="s">
        <v>2764</v>
      </c>
      <c r="B111" s="20" t="s">
        <v>961</v>
      </c>
      <c r="C111" s="20" t="s">
        <v>957</v>
      </c>
      <c r="D111" s="20">
        <v>1</v>
      </c>
      <c r="E111" s="20">
        <v>2</v>
      </c>
      <c r="F111" s="20" t="s">
        <v>3116</v>
      </c>
      <c r="G111" s="20">
        <v>-1.44</v>
      </c>
      <c r="H111" s="20"/>
      <c r="I111" s="20"/>
      <c r="J111" s="20"/>
    </row>
    <row r="112" spans="1:10" x14ac:dyDescent="0.3">
      <c r="A112" s="20" t="s">
        <v>2766</v>
      </c>
      <c r="B112" s="20" t="s">
        <v>933</v>
      </c>
      <c r="C112" s="20" t="s">
        <v>898</v>
      </c>
      <c r="D112" s="20">
        <v>2</v>
      </c>
      <c r="E112" s="20">
        <v>1</v>
      </c>
      <c r="F112" s="20" t="s">
        <v>3116</v>
      </c>
      <c r="G112" s="20">
        <v>-2.35</v>
      </c>
      <c r="H112" s="20"/>
      <c r="I112" s="20"/>
      <c r="J112" s="20"/>
    </row>
    <row r="113" spans="1:10" x14ac:dyDescent="0.3">
      <c r="A113" s="20" t="s">
        <v>2767</v>
      </c>
      <c r="B113" s="20" t="s">
        <v>503</v>
      </c>
      <c r="C113" s="20" t="s">
        <v>494</v>
      </c>
      <c r="D113" s="20">
        <v>4</v>
      </c>
      <c r="E113" s="20">
        <v>2</v>
      </c>
      <c r="F113" s="20" t="s">
        <v>3116</v>
      </c>
      <c r="G113" s="20">
        <v>-0.72</v>
      </c>
      <c r="H113" s="20"/>
      <c r="I113" s="20"/>
      <c r="J113" s="20"/>
    </row>
    <row r="114" spans="1:10" x14ac:dyDescent="0.3">
      <c r="A114" s="20" t="s">
        <v>2767</v>
      </c>
      <c r="B114" s="20" t="s">
        <v>858</v>
      </c>
      <c r="C114" s="20" t="s">
        <v>837</v>
      </c>
      <c r="D114" s="20">
        <v>4</v>
      </c>
      <c r="E114" s="20">
        <v>1</v>
      </c>
      <c r="F114" s="20" t="s">
        <v>3116</v>
      </c>
      <c r="G114" s="20">
        <v>-0.72</v>
      </c>
      <c r="H114" s="20"/>
      <c r="I114" s="20"/>
      <c r="J114" s="20"/>
    </row>
    <row r="115" spans="1:10" x14ac:dyDescent="0.3">
      <c r="A115" s="20" t="s">
        <v>2771</v>
      </c>
      <c r="B115" s="20" t="s">
        <v>490</v>
      </c>
      <c r="C115" s="20" t="s">
        <v>487</v>
      </c>
      <c r="D115" s="20">
        <v>4</v>
      </c>
      <c r="E115" s="20">
        <v>1</v>
      </c>
      <c r="F115" s="20" t="s">
        <v>3116</v>
      </c>
      <c r="G115" s="20">
        <v>-0.42</v>
      </c>
      <c r="H115" s="20"/>
      <c r="I115" s="20"/>
      <c r="J115" s="20"/>
    </row>
    <row r="116" spans="1:10" x14ac:dyDescent="0.3">
      <c r="A116" s="20" t="s">
        <v>2772</v>
      </c>
      <c r="B116" s="20" t="s">
        <v>720</v>
      </c>
      <c r="C116" s="20" t="s">
        <v>697</v>
      </c>
      <c r="D116" s="20">
        <v>5</v>
      </c>
      <c r="E116" s="20">
        <v>1</v>
      </c>
      <c r="F116" s="20" t="s">
        <v>3123</v>
      </c>
      <c r="G116" s="20">
        <v>0.26</v>
      </c>
      <c r="H116" s="20"/>
      <c r="I116" s="20"/>
      <c r="J116" s="20"/>
    </row>
    <row r="117" spans="1:10" x14ac:dyDescent="0.3">
      <c r="A117" s="20" t="s">
        <v>2772</v>
      </c>
      <c r="B117" s="20" t="s">
        <v>849</v>
      </c>
      <c r="C117" s="20" t="s">
        <v>837</v>
      </c>
      <c r="D117" s="20">
        <v>5</v>
      </c>
      <c r="E117" s="20">
        <v>1</v>
      </c>
      <c r="F117" s="20" t="s">
        <v>3123</v>
      </c>
      <c r="G117" s="20">
        <v>0.26</v>
      </c>
      <c r="H117" s="20"/>
      <c r="I117" s="20"/>
      <c r="J117" s="20"/>
    </row>
    <row r="118" spans="1:10" x14ac:dyDescent="0.3">
      <c r="A118" s="20" t="s">
        <v>2772</v>
      </c>
      <c r="B118" s="20" t="s">
        <v>887</v>
      </c>
      <c r="C118" s="20" t="s">
        <v>862</v>
      </c>
      <c r="D118" s="20">
        <v>5</v>
      </c>
      <c r="E118" s="20">
        <v>1</v>
      </c>
      <c r="F118" s="20" t="s">
        <v>3123</v>
      </c>
      <c r="G118" s="20">
        <v>0.26</v>
      </c>
      <c r="H118" s="20"/>
      <c r="I118" s="20"/>
      <c r="J118" s="20"/>
    </row>
    <row r="119" spans="1:10" x14ac:dyDescent="0.3">
      <c r="A119" s="20" t="s">
        <v>2774</v>
      </c>
      <c r="B119" s="20" t="s">
        <v>185</v>
      </c>
      <c r="C119" s="20" t="s">
        <v>180</v>
      </c>
      <c r="D119" s="20">
        <v>5</v>
      </c>
      <c r="E119" s="20">
        <v>2</v>
      </c>
      <c r="F119" s="20" t="s">
        <v>3116</v>
      </c>
      <c r="G119" s="20">
        <v>-0.59</v>
      </c>
      <c r="H119" s="20"/>
      <c r="I119" s="20"/>
      <c r="J119" s="20"/>
    </row>
    <row r="120" spans="1:10" x14ac:dyDescent="0.3">
      <c r="A120" s="20" t="s">
        <v>2774</v>
      </c>
      <c r="B120" s="20" t="s">
        <v>388</v>
      </c>
      <c r="C120" s="20" t="s">
        <v>375</v>
      </c>
      <c r="D120" s="20">
        <v>5</v>
      </c>
      <c r="E120" s="20">
        <v>1</v>
      </c>
      <c r="F120" s="20" t="s">
        <v>3116</v>
      </c>
      <c r="G120" s="20">
        <v>-0.59</v>
      </c>
      <c r="H120" s="20"/>
      <c r="I120" s="20"/>
      <c r="J120" s="20"/>
    </row>
    <row r="121" spans="1:10" x14ac:dyDescent="0.3">
      <c r="A121" s="20" t="s">
        <v>2775</v>
      </c>
      <c r="B121" s="20" t="s">
        <v>222</v>
      </c>
      <c r="C121" s="20" t="s">
        <v>221</v>
      </c>
      <c r="D121" s="20">
        <v>5</v>
      </c>
      <c r="E121" s="20">
        <v>1</v>
      </c>
      <c r="F121" s="20" t="s">
        <v>3116</v>
      </c>
      <c r="G121" s="20">
        <v>-0.61</v>
      </c>
      <c r="H121" s="20"/>
      <c r="I121" s="20"/>
      <c r="J121" s="20"/>
    </row>
    <row r="122" spans="1:10" x14ac:dyDescent="0.3">
      <c r="A122" s="20" t="s">
        <v>2775</v>
      </c>
      <c r="B122" s="20" t="s">
        <v>630</v>
      </c>
      <c r="C122" s="20" t="s">
        <v>627</v>
      </c>
      <c r="D122" s="20">
        <v>5</v>
      </c>
      <c r="E122" s="20">
        <v>2</v>
      </c>
      <c r="F122" s="20" t="s">
        <v>3116</v>
      </c>
      <c r="G122" s="20">
        <v>-0.61</v>
      </c>
      <c r="H122" s="20"/>
      <c r="I122" s="20"/>
      <c r="J122" s="20"/>
    </row>
    <row r="123" spans="1:10" x14ac:dyDescent="0.3">
      <c r="A123" s="20" t="s">
        <v>2777</v>
      </c>
      <c r="B123" s="20" t="s">
        <v>519</v>
      </c>
      <c r="C123" s="20" t="s">
        <v>514</v>
      </c>
      <c r="D123" s="20">
        <v>2</v>
      </c>
      <c r="E123" s="20">
        <v>2</v>
      </c>
      <c r="F123" s="20" t="s">
        <v>3116</v>
      </c>
      <c r="G123" s="20">
        <v>-5.53</v>
      </c>
      <c r="H123" s="20"/>
      <c r="I123" s="20"/>
      <c r="J123" s="20"/>
    </row>
    <row r="124" spans="1:10" x14ac:dyDescent="0.3">
      <c r="A124" s="20" t="s">
        <v>2782</v>
      </c>
      <c r="B124" s="20" t="s">
        <v>83</v>
      </c>
      <c r="C124" s="20" t="s">
        <v>82</v>
      </c>
      <c r="D124" s="20">
        <v>5</v>
      </c>
      <c r="E124" s="20">
        <v>1</v>
      </c>
      <c r="F124" s="20" t="s">
        <v>3123</v>
      </c>
      <c r="G124" s="20">
        <v>0.49</v>
      </c>
      <c r="H124" s="20"/>
      <c r="I124" s="20"/>
      <c r="J124" s="20"/>
    </row>
    <row r="125" spans="1:10" x14ac:dyDescent="0.3">
      <c r="A125" s="20" t="s">
        <v>2782</v>
      </c>
      <c r="B125" s="20" t="s">
        <v>961</v>
      </c>
      <c r="C125" s="20" t="s">
        <v>957</v>
      </c>
      <c r="D125" s="20">
        <v>5</v>
      </c>
      <c r="E125" s="20">
        <v>1</v>
      </c>
      <c r="F125" s="20" t="s">
        <v>3123</v>
      </c>
      <c r="G125" s="20">
        <v>0.49</v>
      </c>
      <c r="H125" s="20"/>
      <c r="I125" s="20"/>
      <c r="J125" s="20"/>
    </row>
    <row r="126" spans="1:10" x14ac:dyDescent="0.3">
      <c r="A126" s="20" t="s">
        <v>2787</v>
      </c>
      <c r="B126" s="20" t="s">
        <v>47</v>
      </c>
      <c r="C126" s="20" t="s">
        <v>50</v>
      </c>
      <c r="D126" s="20">
        <v>5</v>
      </c>
      <c r="E126" s="20">
        <v>1</v>
      </c>
      <c r="F126" s="20" t="s">
        <v>3116</v>
      </c>
      <c r="G126" s="20">
        <v>-0.65</v>
      </c>
      <c r="H126" s="20"/>
      <c r="I126" s="20"/>
      <c r="J126" s="20"/>
    </row>
    <row r="127" spans="1:10" x14ac:dyDescent="0.3">
      <c r="A127" s="20" t="s">
        <v>2787</v>
      </c>
      <c r="B127" s="20" t="s">
        <v>415</v>
      </c>
      <c r="C127" s="20" t="s">
        <v>412</v>
      </c>
      <c r="D127" s="20">
        <v>5</v>
      </c>
      <c r="E127" s="20">
        <v>1</v>
      </c>
      <c r="F127" s="20" t="s">
        <v>3116</v>
      </c>
      <c r="G127" s="20">
        <v>-0.65</v>
      </c>
      <c r="H127" s="20"/>
      <c r="I127" s="20"/>
      <c r="J127" s="20"/>
    </row>
    <row r="128" spans="1:10" x14ac:dyDescent="0.3">
      <c r="A128" s="20" t="s">
        <v>2787</v>
      </c>
      <c r="B128" s="20" t="s">
        <v>788</v>
      </c>
      <c r="C128" s="20" t="s">
        <v>787</v>
      </c>
      <c r="D128" s="20">
        <v>5</v>
      </c>
      <c r="E128" s="20">
        <v>1</v>
      </c>
      <c r="F128" s="20" t="s">
        <v>3116</v>
      </c>
      <c r="G128" s="20">
        <v>-0.65</v>
      </c>
      <c r="H128" s="20"/>
      <c r="I128" s="20"/>
      <c r="J128" s="20"/>
    </row>
    <row r="129" spans="1:10" x14ac:dyDescent="0.3">
      <c r="A129" s="20" t="s">
        <v>2787</v>
      </c>
      <c r="B129" s="20" t="s">
        <v>923</v>
      </c>
      <c r="C129" s="20" t="s">
        <v>898</v>
      </c>
      <c r="D129" s="20">
        <v>5</v>
      </c>
      <c r="E129" s="20">
        <v>1</v>
      </c>
      <c r="F129" s="20" t="s">
        <v>3116</v>
      </c>
      <c r="G129" s="20">
        <v>-0.65</v>
      </c>
      <c r="H129" s="20"/>
      <c r="I129" s="20"/>
      <c r="J129" s="20"/>
    </row>
    <row r="130" spans="1:10" x14ac:dyDescent="0.3">
      <c r="A130" s="20" t="s">
        <v>2789</v>
      </c>
      <c r="B130" s="20" t="s">
        <v>887</v>
      </c>
      <c r="C130" s="20" t="s">
        <v>862</v>
      </c>
      <c r="D130" s="20">
        <v>5</v>
      </c>
      <c r="E130" s="20">
        <v>1</v>
      </c>
      <c r="F130" s="20" t="s">
        <v>3123</v>
      </c>
      <c r="G130" s="20">
        <v>0.26</v>
      </c>
      <c r="H130" s="20"/>
      <c r="I130" s="20"/>
      <c r="J130" s="20"/>
    </row>
    <row r="131" spans="1:10" x14ac:dyDescent="0.3">
      <c r="A131" s="20" t="s">
        <v>2792</v>
      </c>
      <c r="B131" s="20" t="s">
        <v>324</v>
      </c>
      <c r="C131" s="20" t="s">
        <v>326</v>
      </c>
      <c r="D131" s="20">
        <v>4</v>
      </c>
      <c r="E131" s="20">
        <v>2</v>
      </c>
      <c r="F131" s="20" t="s">
        <v>3123</v>
      </c>
      <c r="G131" s="20">
        <v>0.43</v>
      </c>
      <c r="H131" s="20"/>
      <c r="I131" s="20"/>
      <c r="J131" s="20"/>
    </row>
    <row r="132" spans="1:10" x14ac:dyDescent="0.3">
      <c r="A132" s="20" t="s">
        <v>2793</v>
      </c>
      <c r="B132" s="20" t="s">
        <v>961</v>
      </c>
      <c r="C132" s="20" t="s">
        <v>957</v>
      </c>
      <c r="D132" s="20">
        <v>3</v>
      </c>
      <c r="E132" s="20">
        <v>1</v>
      </c>
      <c r="F132" s="20" t="s">
        <v>3116</v>
      </c>
      <c r="G132" s="20">
        <v>-1.69</v>
      </c>
      <c r="H132" s="20"/>
      <c r="I132" s="20"/>
      <c r="J132" s="20"/>
    </row>
    <row r="133" spans="1:10" x14ac:dyDescent="0.3">
      <c r="A133" s="20" t="s">
        <v>2797</v>
      </c>
      <c r="B133" s="20" t="s">
        <v>501</v>
      </c>
      <c r="C133" s="20" t="s">
        <v>494</v>
      </c>
      <c r="D133" s="20">
        <v>4</v>
      </c>
      <c r="E133" s="20">
        <v>1</v>
      </c>
      <c r="F133" s="20" t="s">
        <v>3123</v>
      </c>
      <c r="G133" s="20">
        <v>0.26</v>
      </c>
      <c r="H133" s="20"/>
      <c r="I133" s="20"/>
      <c r="J133" s="20"/>
    </row>
    <row r="134" spans="1:10" x14ac:dyDescent="0.3">
      <c r="A134" s="20" t="s">
        <v>2806</v>
      </c>
      <c r="B134" s="20" t="s">
        <v>83</v>
      </c>
      <c r="C134" s="20" t="s">
        <v>82</v>
      </c>
      <c r="D134" s="20">
        <v>5</v>
      </c>
      <c r="E134" s="20">
        <v>1</v>
      </c>
      <c r="F134" s="20" t="s">
        <v>3116</v>
      </c>
      <c r="G134" s="20">
        <v>-0.5</v>
      </c>
      <c r="H134" s="20"/>
      <c r="I134" s="20"/>
      <c r="J134" s="20"/>
    </row>
    <row r="135" spans="1:10" x14ac:dyDescent="0.3">
      <c r="A135" s="20" t="s">
        <v>2806</v>
      </c>
      <c r="B135" s="20" t="s">
        <v>351</v>
      </c>
      <c r="C135" s="20" t="s">
        <v>350</v>
      </c>
      <c r="D135" s="20">
        <v>5</v>
      </c>
      <c r="E135" s="20">
        <v>1</v>
      </c>
      <c r="F135" s="20" t="s">
        <v>3116</v>
      </c>
      <c r="G135" s="20">
        <v>-0.5</v>
      </c>
      <c r="H135" s="20"/>
      <c r="I135" s="20"/>
      <c r="J135" s="20"/>
    </row>
    <row r="136" spans="1:10" x14ac:dyDescent="0.3">
      <c r="A136" s="20" t="s">
        <v>2809</v>
      </c>
      <c r="B136" s="20" t="s">
        <v>120</v>
      </c>
      <c r="C136" s="20" t="s">
        <v>122</v>
      </c>
      <c r="D136" s="20">
        <v>5</v>
      </c>
      <c r="E136" s="20">
        <v>1</v>
      </c>
      <c r="F136" s="20" t="s">
        <v>3123</v>
      </c>
      <c r="G136" s="20">
        <v>0.46</v>
      </c>
      <c r="H136" s="20"/>
      <c r="I136" s="20"/>
      <c r="J136" s="20"/>
    </row>
    <row r="137" spans="1:10" x14ac:dyDescent="0.3">
      <c r="A137" s="20" t="s">
        <v>2809</v>
      </c>
      <c r="B137" s="20" t="s">
        <v>273</v>
      </c>
      <c r="C137" s="20" t="s">
        <v>268</v>
      </c>
      <c r="D137" s="20">
        <v>5</v>
      </c>
      <c r="E137" s="20">
        <v>1</v>
      </c>
      <c r="F137" s="20" t="s">
        <v>3123</v>
      </c>
      <c r="G137" s="20">
        <v>0.46</v>
      </c>
      <c r="H137" s="20"/>
      <c r="I137" s="20"/>
      <c r="J137" s="20"/>
    </row>
    <row r="138" spans="1:10" x14ac:dyDescent="0.3">
      <c r="A138" s="20" t="s">
        <v>2809</v>
      </c>
      <c r="B138" s="20" t="s">
        <v>552</v>
      </c>
      <c r="C138" s="20" t="s">
        <v>554</v>
      </c>
      <c r="D138" s="20">
        <v>5</v>
      </c>
      <c r="E138" s="20">
        <v>1</v>
      </c>
      <c r="F138" s="20" t="s">
        <v>3123</v>
      </c>
      <c r="G138" s="20">
        <v>0.46</v>
      </c>
      <c r="H138" s="20"/>
      <c r="I138" s="20"/>
      <c r="J138" s="20"/>
    </row>
    <row r="139" spans="1:10" x14ac:dyDescent="0.3">
      <c r="A139" s="20" t="s">
        <v>2810</v>
      </c>
      <c r="B139" s="20" t="s">
        <v>548</v>
      </c>
      <c r="C139" s="20" t="s">
        <v>221</v>
      </c>
      <c r="D139" s="20">
        <v>5</v>
      </c>
      <c r="E139" s="20">
        <v>1</v>
      </c>
      <c r="F139" s="20" t="s">
        <v>3116</v>
      </c>
      <c r="G139" s="20">
        <v>-0.47</v>
      </c>
      <c r="H139" s="20"/>
      <c r="I139" s="20"/>
      <c r="J139" s="20"/>
    </row>
    <row r="140" spans="1:10" x14ac:dyDescent="0.3">
      <c r="A140" s="20" t="s">
        <v>2812</v>
      </c>
      <c r="B140" s="20" t="s">
        <v>293</v>
      </c>
      <c r="C140" s="20" t="s">
        <v>288</v>
      </c>
      <c r="D140" s="20">
        <v>4</v>
      </c>
      <c r="E140" s="20">
        <v>1</v>
      </c>
      <c r="F140" s="20" t="s">
        <v>3123</v>
      </c>
      <c r="G140" s="20">
        <v>0.56999999999999995</v>
      </c>
      <c r="H140" s="20"/>
      <c r="I140" s="20"/>
      <c r="J140" s="20"/>
    </row>
    <row r="141" spans="1:10" x14ac:dyDescent="0.3">
      <c r="A141" s="20" t="s">
        <v>2812</v>
      </c>
      <c r="B141" s="20" t="s">
        <v>718</v>
      </c>
      <c r="C141" s="20" t="s">
        <v>697</v>
      </c>
      <c r="D141" s="20">
        <v>4</v>
      </c>
      <c r="E141" s="20">
        <v>1</v>
      </c>
      <c r="F141" s="20" t="s">
        <v>3123</v>
      </c>
      <c r="G141" s="20">
        <v>0.56999999999999995</v>
      </c>
      <c r="H141" s="20"/>
      <c r="I141" s="20"/>
      <c r="J141" s="20"/>
    </row>
    <row r="142" spans="1:10" x14ac:dyDescent="0.3">
      <c r="A142" s="20" t="s">
        <v>2813</v>
      </c>
      <c r="B142" s="20" t="s">
        <v>931</v>
      </c>
      <c r="C142" s="20" t="s">
        <v>898</v>
      </c>
      <c r="D142" s="20">
        <v>2</v>
      </c>
      <c r="E142" s="20">
        <v>1</v>
      </c>
      <c r="F142" s="20" t="s">
        <v>3116</v>
      </c>
      <c r="G142" s="20">
        <v>-1.63</v>
      </c>
      <c r="H142" s="20"/>
      <c r="I142" s="20"/>
      <c r="J142" s="20"/>
    </row>
    <row r="143" spans="1:10" x14ac:dyDescent="0.3">
      <c r="A143" s="20" t="s">
        <v>2816</v>
      </c>
      <c r="B143" s="20" t="s">
        <v>92</v>
      </c>
      <c r="C143" s="20" t="s">
        <v>89</v>
      </c>
      <c r="D143" s="20">
        <v>1</v>
      </c>
      <c r="E143" s="20">
        <v>1</v>
      </c>
      <c r="F143" s="20" t="s">
        <v>3116</v>
      </c>
      <c r="G143" s="20">
        <v>-1.73</v>
      </c>
      <c r="H143" s="20"/>
      <c r="I143" s="20"/>
      <c r="J143" s="20"/>
    </row>
    <row r="144" spans="1:10" x14ac:dyDescent="0.3">
      <c r="A144" s="20" t="s">
        <v>2818</v>
      </c>
      <c r="B144" s="20" t="s">
        <v>355</v>
      </c>
      <c r="C144" s="20" t="s">
        <v>350</v>
      </c>
      <c r="D144" s="20">
        <v>3</v>
      </c>
      <c r="E144" s="20">
        <v>1</v>
      </c>
      <c r="F144" s="20" t="s">
        <v>3116</v>
      </c>
      <c r="G144" s="20">
        <v>-1.69</v>
      </c>
      <c r="H144" s="20"/>
      <c r="I144" s="20"/>
      <c r="J144" s="20"/>
    </row>
    <row r="145" spans="1:10" x14ac:dyDescent="0.3">
      <c r="A145" s="20" t="s">
        <v>2821</v>
      </c>
      <c r="B145" s="20" t="s">
        <v>136</v>
      </c>
      <c r="C145" s="20" t="s">
        <v>135</v>
      </c>
      <c r="D145" s="20">
        <v>2</v>
      </c>
      <c r="E145" s="20">
        <v>1</v>
      </c>
      <c r="F145" s="20" t="s">
        <v>3116</v>
      </c>
      <c r="G145" s="20">
        <v>-1.65</v>
      </c>
      <c r="H145" s="20"/>
      <c r="I145" s="20"/>
      <c r="J145" s="20"/>
    </row>
    <row r="146" spans="1:10" x14ac:dyDescent="0.3">
      <c r="A146" s="20" t="s">
        <v>2822</v>
      </c>
      <c r="B146" s="20" t="s">
        <v>495</v>
      </c>
      <c r="C146" s="20" t="s">
        <v>494</v>
      </c>
      <c r="D146" s="20">
        <v>4</v>
      </c>
      <c r="E146" s="20">
        <v>1</v>
      </c>
      <c r="F146" s="20" t="s">
        <v>3116</v>
      </c>
      <c r="G146" s="20">
        <v>-2.64</v>
      </c>
      <c r="H146" s="20"/>
      <c r="I146" s="20"/>
      <c r="J146" s="20"/>
    </row>
    <row r="147" spans="1:10" x14ac:dyDescent="0.3">
      <c r="A147" s="20" t="s">
        <v>2824</v>
      </c>
      <c r="B147" s="20" t="s">
        <v>156</v>
      </c>
      <c r="C147" s="20" t="s">
        <v>153</v>
      </c>
      <c r="D147" s="20">
        <v>4</v>
      </c>
      <c r="E147" s="20">
        <v>1</v>
      </c>
      <c r="F147" s="20" t="s">
        <v>3116</v>
      </c>
      <c r="G147" s="20">
        <v>-0.49</v>
      </c>
      <c r="H147" s="20"/>
      <c r="I147" s="20"/>
      <c r="J147" s="20"/>
    </row>
    <row r="148" spans="1:10" x14ac:dyDescent="0.3">
      <c r="A148" s="20" t="s">
        <v>2826</v>
      </c>
      <c r="B148" s="20" t="s">
        <v>368</v>
      </c>
      <c r="C148" s="20" t="s">
        <v>367</v>
      </c>
      <c r="D148" s="20">
        <v>4</v>
      </c>
      <c r="E148" s="20">
        <v>1</v>
      </c>
      <c r="F148" s="20" t="s">
        <v>3123</v>
      </c>
      <c r="G148" s="20">
        <v>0.62</v>
      </c>
      <c r="H148" s="20"/>
      <c r="I148" s="20"/>
      <c r="J148" s="20"/>
    </row>
    <row r="149" spans="1:10" x14ac:dyDescent="0.3">
      <c r="A149" s="20" t="s">
        <v>2828</v>
      </c>
      <c r="B149" s="20" t="s">
        <v>871</v>
      </c>
      <c r="C149" s="20" t="s">
        <v>862</v>
      </c>
      <c r="D149" s="20">
        <v>3</v>
      </c>
      <c r="E149" s="20">
        <v>2</v>
      </c>
      <c r="F149" s="20" t="s">
        <v>3116</v>
      </c>
      <c r="G149" s="20">
        <v>-1.49</v>
      </c>
      <c r="H149" s="20"/>
      <c r="I149" s="20"/>
      <c r="J149" s="20"/>
    </row>
    <row r="150" spans="1:10" x14ac:dyDescent="0.3">
      <c r="A150" s="20" t="s">
        <v>2833</v>
      </c>
      <c r="B150" s="20" t="s">
        <v>187</v>
      </c>
      <c r="C150" s="20" t="s">
        <v>180</v>
      </c>
      <c r="D150" s="20">
        <v>4</v>
      </c>
      <c r="E150" s="20">
        <v>1</v>
      </c>
      <c r="F150" s="20" t="s">
        <v>3116</v>
      </c>
      <c r="G150" s="20">
        <v>-0.69</v>
      </c>
      <c r="H150" s="20"/>
      <c r="I150" s="20"/>
      <c r="J150" s="20"/>
    </row>
    <row r="151" spans="1:10" x14ac:dyDescent="0.3">
      <c r="A151" s="20" t="s">
        <v>2833</v>
      </c>
      <c r="B151" s="20" t="s">
        <v>497</v>
      </c>
      <c r="C151" s="20" t="s">
        <v>494</v>
      </c>
      <c r="D151" s="20">
        <v>4</v>
      </c>
      <c r="E151" s="20">
        <v>1</v>
      </c>
      <c r="F151" s="20" t="s">
        <v>3116</v>
      </c>
      <c r="G151" s="20">
        <v>-0.69</v>
      </c>
      <c r="H151" s="20"/>
      <c r="I151" s="20"/>
      <c r="J151" s="20"/>
    </row>
    <row r="152" spans="1:10" x14ac:dyDescent="0.3">
      <c r="A152" s="20" t="s">
        <v>2834</v>
      </c>
      <c r="B152" s="20" t="s">
        <v>891</v>
      </c>
      <c r="C152" s="20" t="s">
        <v>862</v>
      </c>
      <c r="D152" s="20">
        <v>5</v>
      </c>
      <c r="E152" s="20">
        <v>1</v>
      </c>
      <c r="F152" s="20" t="s">
        <v>3116</v>
      </c>
      <c r="G152" s="20">
        <v>-0.74</v>
      </c>
      <c r="H152" s="20"/>
      <c r="I152" s="20"/>
      <c r="J152" s="20"/>
    </row>
    <row r="153" spans="1:10" x14ac:dyDescent="0.3">
      <c r="A153" s="20" t="s">
        <v>2837</v>
      </c>
      <c r="B153" s="20" t="s">
        <v>103</v>
      </c>
      <c r="C153" s="20" t="s">
        <v>100</v>
      </c>
      <c r="D153" s="20">
        <v>5</v>
      </c>
      <c r="E153" s="20">
        <v>1</v>
      </c>
      <c r="F153" s="20" t="s">
        <v>3116</v>
      </c>
      <c r="G153" s="20">
        <v>-0.69</v>
      </c>
      <c r="H153" s="20"/>
      <c r="I153" s="20"/>
      <c r="J153" s="20"/>
    </row>
    <row r="154" spans="1:10" x14ac:dyDescent="0.3">
      <c r="A154" s="20" t="s">
        <v>2837</v>
      </c>
      <c r="B154" s="20" t="s">
        <v>300</v>
      </c>
      <c r="C154" s="20" t="s">
        <v>299</v>
      </c>
      <c r="D154" s="20">
        <v>5</v>
      </c>
      <c r="E154" s="20">
        <v>1</v>
      </c>
      <c r="F154" s="20" t="s">
        <v>3116</v>
      </c>
      <c r="G154" s="20">
        <v>-0.69</v>
      </c>
      <c r="H154" s="20"/>
      <c r="I154" s="20"/>
      <c r="J154" s="20"/>
    </row>
    <row r="155" spans="1:10" x14ac:dyDescent="0.3">
      <c r="A155" s="20" t="s">
        <v>2837</v>
      </c>
      <c r="B155" s="20" t="s">
        <v>799</v>
      </c>
      <c r="C155" s="20" t="s">
        <v>133</v>
      </c>
      <c r="D155" s="20">
        <v>5</v>
      </c>
      <c r="E155" s="20">
        <v>1</v>
      </c>
      <c r="F155" s="20" t="s">
        <v>3116</v>
      </c>
      <c r="G155" s="20">
        <v>-0.69</v>
      </c>
      <c r="H155" s="20"/>
      <c r="I155" s="20"/>
      <c r="J155" s="20"/>
    </row>
    <row r="156" spans="1:10" x14ac:dyDescent="0.3">
      <c r="A156" s="20" t="s">
        <v>2839</v>
      </c>
      <c r="B156" s="20" t="s">
        <v>101</v>
      </c>
      <c r="C156" s="20" t="s">
        <v>100</v>
      </c>
      <c r="D156" s="20">
        <v>4</v>
      </c>
      <c r="E156" s="20">
        <v>1</v>
      </c>
      <c r="F156" s="20" t="s">
        <v>3116</v>
      </c>
      <c r="G156" s="20">
        <v>-0.35</v>
      </c>
      <c r="H156" s="20"/>
      <c r="I156" s="20"/>
      <c r="J156" s="20"/>
    </row>
    <row r="157" spans="1:10" x14ac:dyDescent="0.3">
      <c r="A157" s="20" t="s">
        <v>2840</v>
      </c>
      <c r="B157" s="20" t="s">
        <v>407</v>
      </c>
      <c r="C157" s="20" t="s">
        <v>409</v>
      </c>
      <c r="D157" s="20">
        <v>2</v>
      </c>
      <c r="E157" s="20">
        <v>1</v>
      </c>
      <c r="F157" s="20" t="s">
        <v>3116</v>
      </c>
      <c r="G157" s="20">
        <v>-1.71</v>
      </c>
      <c r="H157" s="20"/>
      <c r="I157" s="20"/>
      <c r="J157" s="20"/>
    </row>
    <row r="158" spans="1:10" x14ac:dyDescent="0.3">
      <c r="A158" s="20" t="s">
        <v>2840</v>
      </c>
      <c r="B158" s="20" t="s">
        <v>478</v>
      </c>
      <c r="C158" s="20" t="s">
        <v>467</v>
      </c>
      <c r="D158" s="20">
        <v>2</v>
      </c>
      <c r="E158" s="20">
        <v>1</v>
      </c>
      <c r="F158" s="20" t="s">
        <v>3116</v>
      </c>
      <c r="G158" s="20">
        <v>-1.71</v>
      </c>
      <c r="H158" s="20"/>
      <c r="I158" s="20"/>
      <c r="J158" s="20"/>
    </row>
    <row r="159" spans="1:10" x14ac:dyDescent="0.3">
      <c r="A159" s="20" t="s">
        <v>2841</v>
      </c>
      <c r="B159" s="20" t="s">
        <v>166</v>
      </c>
      <c r="C159" s="20" t="s">
        <v>168</v>
      </c>
      <c r="D159" s="20">
        <v>5</v>
      </c>
      <c r="E159" s="20">
        <v>1</v>
      </c>
      <c r="F159" s="20" t="s">
        <v>3123</v>
      </c>
      <c r="G159" s="20">
        <v>0.45</v>
      </c>
      <c r="H159" s="20"/>
      <c r="I159" s="20"/>
      <c r="J159" s="20"/>
    </row>
    <row r="160" spans="1:10" x14ac:dyDescent="0.3">
      <c r="A160" s="20" t="s">
        <v>2841</v>
      </c>
      <c r="B160" s="20" t="s">
        <v>468</v>
      </c>
      <c r="C160" s="20" t="s">
        <v>467</v>
      </c>
      <c r="D160" s="20">
        <v>5</v>
      </c>
      <c r="E160" s="20">
        <v>1</v>
      </c>
      <c r="F160" s="20" t="s">
        <v>3123</v>
      </c>
      <c r="G160" s="20">
        <v>0.45</v>
      </c>
      <c r="H160" s="20"/>
      <c r="I160" s="20"/>
      <c r="J160" s="20"/>
    </row>
    <row r="161" spans="1:10" x14ac:dyDescent="0.3">
      <c r="A161" s="20" t="s">
        <v>2841</v>
      </c>
      <c r="B161" s="20" t="s">
        <v>863</v>
      </c>
      <c r="C161" s="20" t="s">
        <v>862</v>
      </c>
      <c r="D161" s="20">
        <v>5</v>
      </c>
      <c r="E161" s="20">
        <v>1</v>
      </c>
      <c r="F161" s="20" t="s">
        <v>3123</v>
      </c>
      <c r="G161" s="20">
        <v>0.45</v>
      </c>
      <c r="H161" s="20"/>
      <c r="I161" s="20"/>
      <c r="J161" s="20"/>
    </row>
    <row r="162" spans="1:10" x14ac:dyDescent="0.3">
      <c r="A162" s="20" t="s">
        <v>2842</v>
      </c>
      <c r="B162" s="20" t="s">
        <v>123</v>
      </c>
      <c r="C162" s="20" t="s">
        <v>125</v>
      </c>
      <c r="D162" s="20">
        <v>4</v>
      </c>
      <c r="E162" s="20">
        <v>1</v>
      </c>
      <c r="F162" s="20" t="s">
        <v>3116</v>
      </c>
      <c r="G162" s="20">
        <v>-2.73</v>
      </c>
      <c r="H162" s="20"/>
      <c r="I162" s="20"/>
      <c r="J162" s="20"/>
    </row>
    <row r="163" spans="1:10" x14ac:dyDescent="0.3">
      <c r="A163" s="20" t="s">
        <v>2842</v>
      </c>
      <c r="B163" s="20" t="s">
        <v>214</v>
      </c>
      <c r="C163" s="20" t="s">
        <v>216</v>
      </c>
      <c r="D163" s="20">
        <v>4</v>
      </c>
      <c r="E163" s="20">
        <v>1</v>
      </c>
      <c r="F163" s="20" t="s">
        <v>3116</v>
      </c>
      <c r="G163" s="20">
        <v>-2.73</v>
      </c>
      <c r="H163" s="20"/>
      <c r="I163" s="20"/>
      <c r="J163" s="20"/>
    </row>
    <row r="164" spans="1:10" x14ac:dyDescent="0.3">
      <c r="A164" s="20" t="s">
        <v>2842</v>
      </c>
      <c r="B164" s="20" t="s">
        <v>616</v>
      </c>
      <c r="C164" s="20" t="s">
        <v>615</v>
      </c>
      <c r="D164" s="20">
        <v>4</v>
      </c>
      <c r="E164" s="20">
        <v>1</v>
      </c>
      <c r="F164" s="20" t="s">
        <v>3116</v>
      </c>
      <c r="G164" s="20">
        <v>-2.73</v>
      </c>
      <c r="H164" s="20"/>
      <c r="I164" s="20"/>
      <c r="J164" s="20"/>
    </row>
    <row r="165" spans="1:10" x14ac:dyDescent="0.3">
      <c r="A165" s="20" t="s">
        <v>2842</v>
      </c>
      <c r="B165" s="20" t="s">
        <v>704</v>
      </c>
      <c r="C165" s="20" t="s">
        <v>697</v>
      </c>
      <c r="D165" s="20">
        <v>4</v>
      </c>
      <c r="E165" s="20">
        <v>1</v>
      </c>
      <c r="F165" s="20" t="s">
        <v>3116</v>
      </c>
      <c r="G165" s="20">
        <v>-2.73</v>
      </c>
      <c r="H165" s="20"/>
      <c r="I165" s="20"/>
      <c r="J165" s="20"/>
    </row>
    <row r="166" spans="1:10" x14ac:dyDescent="0.3">
      <c r="A166" s="20" t="s">
        <v>2843</v>
      </c>
      <c r="B166" s="20" t="s">
        <v>138</v>
      </c>
      <c r="C166" s="20" t="s">
        <v>135</v>
      </c>
      <c r="D166" s="20">
        <v>5</v>
      </c>
      <c r="E166" s="20">
        <v>3</v>
      </c>
      <c r="F166" s="20" t="s">
        <v>3116</v>
      </c>
      <c r="G166" s="20">
        <v>-0.64</v>
      </c>
      <c r="H166" s="20"/>
      <c r="I166" s="20"/>
      <c r="J166" s="20"/>
    </row>
    <row r="167" spans="1:10" x14ac:dyDescent="0.3">
      <c r="A167" s="20" t="s">
        <v>2843</v>
      </c>
      <c r="B167" s="20" t="s">
        <v>855</v>
      </c>
      <c r="C167" s="20" t="s">
        <v>837</v>
      </c>
      <c r="D167" s="20">
        <v>5</v>
      </c>
      <c r="E167" s="20">
        <v>1</v>
      </c>
      <c r="F167" s="20" t="s">
        <v>3116</v>
      </c>
      <c r="G167" s="20">
        <v>-0.64</v>
      </c>
      <c r="H167" s="20"/>
      <c r="I167" s="20"/>
      <c r="J167" s="20"/>
    </row>
    <row r="168" spans="1:10" x14ac:dyDescent="0.3">
      <c r="A168" s="20" t="s">
        <v>2844</v>
      </c>
      <c r="B168" s="20" t="s">
        <v>454</v>
      </c>
      <c r="C168" s="20" t="s">
        <v>456</v>
      </c>
      <c r="D168" s="20">
        <v>5</v>
      </c>
      <c r="E168" s="20">
        <v>1</v>
      </c>
      <c r="F168" s="20" t="s">
        <v>3123</v>
      </c>
      <c r="G168" s="20">
        <v>0.53</v>
      </c>
      <c r="H168" s="20"/>
      <c r="I168" s="20"/>
      <c r="J168" s="20"/>
    </row>
    <row r="169" spans="1:10" x14ac:dyDescent="0.3">
      <c r="A169" s="20" t="s">
        <v>2844</v>
      </c>
      <c r="B169" s="20" t="s">
        <v>526</v>
      </c>
      <c r="C169" s="20" t="s">
        <v>525</v>
      </c>
      <c r="D169" s="20">
        <v>5</v>
      </c>
      <c r="E169" s="20">
        <v>1</v>
      </c>
      <c r="F169" s="20" t="s">
        <v>3123</v>
      </c>
      <c r="G169" s="20">
        <v>0.53</v>
      </c>
      <c r="H169" s="20"/>
      <c r="I169" s="20"/>
      <c r="J169" s="20"/>
    </row>
    <row r="170" spans="1:10" x14ac:dyDescent="0.3">
      <c r="A170" s="20" t="s">
        <v>2845</v>
      </c>
      <c r="B170" s="20" t="s">
        <v>116</v>
      </c>
      <c r="C170" s="20" t="s">
        <v>111</v>
      </c>
      <c r="D170" s="20">
        <v>5</v>
      </c>
      <c r="E170" s="20">
        <v>1</v>
      </c>
      <c r="F170" s="20" t="s">
        <v>3116</v>
      </c>
      <c r="G170" s="20">
        <v>-0.59</v>
      </c>
      <c r="H170" s="20"/>
      <c r="I170" s="20"/>
      <c r="J170" s="20"/>
    </row>
    <row r="171" spans="1:10" x14ac:dyDescent="0.3">
      <c r="A171" s="20" t="s">
        <v>2845</v>
      </c>
      <c r="B171" s="20" t="s">
        <v>282</v>
      </c>
      <c r="C171" s="20" t="s">
        <v>281</v>
      </c>
      <c r="D171" s="20">
        <v>5</v>
      </c>
      <c r="E171" s="20">
        <v>1</v>
      </c>
      <c r="F171" s="20" t="s">
        <v>3116</v>
      </c>
      <c r="G171" s="20">
        <v>-0.59</v>
      </c>
      <c r="H171" s="20"/>
      <c r="I171" s="20"/>
      <c r="J171" s="20"/>
    </row>
    <row r="172" spans="1:10" x14ac:dyDescent="0.3">
      <c r="A172" s="20" t="s">
        <v>2845</v>
      </c>
      <c r="B172" s="20" t="s">
        <v>815</v>
      </c>
      <c r="C172" s="20" t="s">
        <v>787</v>
      </c>
      <c r="D172" s="20">
        <v>5</v>
      </c>
      <c r="E172" s="20">
        <v>1</v>
      </c>
      <c r="F172" s="20" t="s">
        <v>3116</v>
      </c>
      <c r="G172" s="20">
        <v>-0.59</v>
      </c>
      <c r="H172" s="20"/>
      <c r="I172" s="20"/>
      <c r="J172" s="20"/>
    </row>
    <row r="173" spans="1:10" x14ac:dyDescent="0.3">
      <c r="A173" s="20" t="s">
        <v>2848</v>
      </c>
      <c r="B173" s="20" t="s">
        <v>838</v>
      </c>
      <c r="C173" s="20" t="s">
        <v>837</v>
      </c>
      <c r="D173" s="20">
        <v>5</v>
      </c>
      <c r="E173" s="20">
        <v>1</v>
      </c>
      <c r="F173" s="20" t="s">
        <v>3116</v>
      </c>
      <c r="G173" s="20">
        <v>-0.65</v>
      </c>
      <c r="H173" s="20"/>
      <c r="I173" s="20"/>
      <c r="J173" s="20"/>
    </row>
    <row r="174" spans="1:10" x14ac:dyDescent="0.3">
      <c r="A174" s="20" t="s">
        <v>2851</v>
      </c>
      <c r="B174" s="20" t="s">
        <v>212</v>
      </c>
      <c r="C174" s="20" t="s">
        <v>200</v>
      </c>
      <c r="D174" s="20">
        <v>2</v>
      </c>
      <c r="E174" s="20">
        <v>2</v>
      </c>
      <c r="F174" s="20" t="s">
        <v>3116</v>
      </c>
      <c r="G174" s="20">
        <v>-1.62</v>
      </c>
      <c r="H174" s="20"/>
      <c r="I174" s="20"/>
      <c r="J174" s="20"/>
    </row>
    <row r="175" spans="1:10" x14ac:dyDescent="0.3">
      <c r="A175" s="20" t="s">
        <v>2851</v>
      </c>
      <c r="B175" s="20" t="s">
        <v>351</v>
      </c>
      <c r="C175" s="20" t="s">
        <v>350</v>
      </c>
      <c r="D175" s="20">
        <v>2</v>
      </c>
      <c r="E175" s="20">
        <v>1</v>
      </c>
      <c r="F175" s="20" t="s">
        <v>3116</v>
      </c>
      <c r="G175" s="20">
        <v>-1.62</v>
      </c>
      <c r="H175" s="20"/>
      <c r="I175" s="20"/>
      <c r="J175" s="20"/>
    </row>
    <row r="176" spans="1:10" x14ac:dyDescent="0.3">
      <c r="A176" s="20" t="s">
        <v>2855</v>
      </c>
      <c r="B176" s="20" t="s">
        <v>136</v>
      </c>
      <c r="C176" s="20" t="s">
        <v>135</v>
      </c>
      <c r="D176" s="20">
        <v>2</v>
      </c>
      <c r="E176" s="20">
        <v>1</v>
      </c>
      <c r="F176" s="20" t="s">
        <v>3116</v>
      </c>
      <c r="G176" s="20">
        <v>-2.36</v>
      </c>
      <c r="H176" s="20"/>
      <c r="I176" s="20"/>
      <c r="J176" s="20"/>
    </row>
    <row r="177" spans="1:10" x14ac:dyDescent="0.3">
      <c r="A177" s="20" t="s">
        <v>2856</v>
      </c>
      <c r="B177" s="20" t="s">
        <v>598</v>
      </c>
      <c r="C177" s="20" t="s">
        <v>600</v>
      </c>
      <c r="D177" s="20">
        <v>4</v>
      </c>
      <c r="E177" s="20">
        <v>1</v>
      </c>
      <c r="F177" s="20" t="s">
        <v>3116</v>
      </c>
      <c r="G177" s="20">
        <v>-0.63</v>
      </c>
      <c r="H177" s="20"/>
      <c r="I177" s="20"/>
      <c r="J177" s="20"/>
    </row>
    <row r="178" spans="1:10" x14ac:dyDescent="0.3">
      <c r="A178" s="20" t="s">
        <v>2856</v>
      </c>
      <c r="B178" s="20" t="s">
        <v>740</v>
      </c>
      <c r="C178" s="20" t="s">
        <v>133</v>
      </c>
      <c r="D178" s="20">
        <v>4</v>
      </c>
      <c r="E178" s="20">
        <v>1</v>
      </c>
      <c r="F178" s="20" t="s">
        <v>3116</v>
      </c>
      <c r="G178" s="20">
        <v>-0.63</v>
      </c>
      <c r="H178" s="20"/>
      <c r="I178" s="20"/>
      <c r="J178" s="20"/>
    </row>
    <row r="179" spans="1:10" x14ac:dyDescent="0.3">
      <c r="A179" s="20" t="s">
        <v>2859</v>
      </c>
      <c r="B179" s="20" t="s">
        <v>797</v>
      </c>
      <c r="C179" s="20" t="s">
        <v>133</v>
      </c>
      <c r="D179" s="20">
        <v>4</v>
      </c>
      <c r="E179" s="20">
        <v>1</v>
      </c>
      <c r="F179" s="20" t="s">
        <v>3116</v>
      </c>
      <c r="G179" s="20">
        <v>-0.39</v>
      </c>
      <c r="H179" s="20"/>
      <c r="I179" s="20"/>
      <c r="J179" s="20"/>
    </row>
    <row r="180" spans="1:10" x14ac:dyDescent="0.3">
      <c r="A180" s="20" t="s">
        <v>2860</v>
      </c>
      <c r="B180" s="20" t="s">
        <v>134</v>
      </c>
      <c r="C180" s="20" t="s">
        <v>135</v>
      </c>
      <c r="D180" s="20">
        <v>4</v>
      </c>
      <c r="E180" s="20">
        <v>1</v>
      </c>
      <c r="F180" s="20" t="s">
        <v>3123</v>
      </c>
      <c r="G180" s="20">
        <v>0.35</v>
      </c>
      <c r="H180" s="20"/>
      <c r="I180" s="20"/>
      <c r="J180" s="20"/>
    </row>
    <row r="181" spans="1:10" x14ac:dyDescent="0.3">
      <c r="A181" s="20" t="s">
        <v>2860</v>
      </c>
      <c r="B181" s="20" t="s">
        <v>317</v>
      </c>
      <c r="C181" s="20" t="s">
        <v>310</v>
      </c>
      <c r="D181" s="20">
        <v>4</v>
      </c>
      <c r="E181" s="20">
        <v>1</v>
      </c>
      <c r="F181" s="20" t="s">
        <v>3123</v>
      </c>
      <c r="G181" s="20">
        <v>0.35</v>
      </c>
      <c r="H181" s="20"/>
      <c r="I181" s="20"/>
      <c r="J181" s="20"/>
    </row>
    <row r="182" spans="1:10" x14ac:dyDescent="0.3">
      <c r="A182" s="20" t="s">
        <v>2861</v>
      </c>
      <c r="B182" s="20" t="s">
        <v>698</v>
      </c>
      <c r="C182" s="20" t="s">
        <v>697</v>
      </c>
      <c r="D182" s="20">
        <v>5</v>
      </c>
      <c r="E182" s="20">
        <v>1</v>
      </c>
      <c r="F182" s="20" t="s">
        <v>3123</v>
      </c>
      <c r="G182" s="20">
        <v>0.59</v>
      </c>
      <c r="H182" s="20"/>
      <c r="I182" s="20"/>
      <c r="J182" s="20"/>
    </row>
    <row r="183" spans="1:10" x14ac:dyDescent="0.3">
      <c r="A183" s="20" t="s">
        <v>2861</v>
      </c>
      <c r="B183" s="20" t="s">
        <v>831</v>
      </c>
      <c r="C183" s="20" t="s">
        <v>787</v>
      </c>
      <c r="D183" s="20">
        <v>5</v>
      </c>
      <c r="E183" s="20">
        <v>1</v>
      </c>
      <c r="F183" s="20" t="s">
        <v>3123</v>
      </c>
      <c r="G183" s="20">
        <v>0.59</v>
      </c>
      <c r="H183" s="20"/>
      <c r="I183" s="20"/>
      <c r="J183" s="20"/>
    </row>
    <row r="184" spans="1:10" x14ac:dyDescent="0.3">
      <c r="A184" s="20" t="s">
        <v>2862</v>
      </c>
      <c r="B184" s="20" t="s">
        <v>608</v>
      </c>
      <c r="C184" s="20" t="s">
        <v>607</v>
      </c>
      <c r="D184" s="20">
        <v>5</v>
      </c>
      <c r="E184" s="20">
        <v>1</v>
      </c>
      <c r="F184" s="20" t="s">
        <v>3116</v>
      </c>
      <c r="G184" s="20">
        <v>-0.52</v>
      </c>
      <c r="H184" s="20"/>
      <c r="I184" s="20"/>
      <c r="J184" s="20"/>
    </row>
    <row r="185" spans="1:10" x14ac:dyDescent="0.3">
      <c r="A185" s="20" t="s">
        <v>2868</v>
      </c>
      <c r="B185" s="20" t="s">
        <v>251</v>
      </c>
      <c r="C185" s="20" t="s">
        <v>244</v>
      </c>
      <c r="D185" s="20">
        <v>5</v>
      </c>
      <c r="E185" s="20">
        <v>1</v>
      </c>
      <c r="F185" s="20" t="s">
        <v>3116</v>
      </c>
      <c r="G185" s="20">
        <v>-0.37</v>
      </c>
      <c r="H185" s="20"/>
      <c r="I185" s="20"/>
      <c r="J185" s="20"/>
    </row>
    <row r="186" spans="1:10" x14ac:dyDescent="0.3">
      <c r="A186" s="20" t="s">
        <v>2869</v>
      </c>
      <c r="B186" s="20" t="s">
        <v>206</v>
      </c>
      <c r="C186" s="20" t="s">
        <v>200</v>
      </c>
      <c r="D186" s="20">
        <v>3</v>
      </c>
      <c r="E186" s="20">
        <v>1</v>
      </c>
      <c r="F186" s="20" t="s">
        <v>3116</v>
      </c>
      <c r="G186" s="20">
        <v>-2.5</v>
      </c>
      <c r="H186" s="20"/>
      <c r="I186" s="20"/>
      <c r="J186" s="20"/>
    </row>
    <row r="187" spans="1:10" x14ac:dyDescent="0.3">
      <c r="A187" s="20" t="s">
        <v>2872</v>
      </c>
      <c r="B187" s="20" t="s">
        <v>173</v>
      </c>
      <c r="C187" s="20" t="s">
        <v>168</v>
      </c>
      <c r="D187" s="20">
        <v>5</v>
      </c>
      <c r="E187" s="20">
        <v>1</v>
      </c>
      <c r="F187" s="20" t="s">
        <v>3116</v>
      </c>
      <c r="G187" s="20">
        <v>-0.49</v>
      </c>
      <c r="H187" s="20"/>
      <c r="I187" s="20"/>
      <c r="J187" s="20"/>
    </row>
    <row r="188" spans="1:10" x14ac:dyDescent="0.3">
      <c r="A188" s="20" t="s">
        <v>2872</v>
      </c>
      <c r="B188" s="20" t="s">
        <v>208</v>
      </c>
      <c r="C188" s="20" t="s">
        <v>200</v>
      </c>
      <c r="D188" s="20">
        <v>5</v>
      </c>
      <c r="E188" s="20">
        <v>1</v>
      </c>
      <c r="F188" s="20" t="s">
        <v>3116</v>
      </c>
      <c r="G188" s="20">
        <v>-0.49</v>
      </c>
      <c r="H188" s="20"/>
      <c r="I188" s="20"/>
      <c r="J188" s="20"/>
    </row>
    <row r="189" spans="1:10" x14ac:dyDescent="0.3">
      <c r="A189" s="20" t="s">
        <v>2875</v>
      </c>
      <c r="B189" s="20" t="s">
        <v>202</v>
      </c>
      <c r="C189" s="20" t="s">
        <v>200</v>
      </c>
      <c r="D189" s="20">
        <v>5</v>
      </c>
      <c r="E189" s="20">
        <v>1</v>
      </c>
      <c r="F189" s="20" t="s">
        <v>3123</v>
      </c>
      <c r="G189" s="20">
        <v>0.35</v>
      </c>
      <c r="H189" s="20"/>
      <c r="I189" s="20"/>
      <c r="J189" s="20"/>
    </row>
    <row r="190" spans="1:10" x14ac:dyDescent="0.3">
      <c r="A190" s="20" t="s">
        <v>2875</v>
      </c>
      <c r="B190" s="20" t="s">
        <v>311</v>
      </c>
      <c r="C190" s="20" t="s">
        <v>310</v>
      </c>
      <c r="D190" s="20">
        <v>5</v>
      </c>
      <c r="E190" s="20">
        <v>1</v>
      </c>
      <c r="F190" s="20" t="s">
        <v>3123</v>
      </c>
      <c r="G190" s="20">
        <v>0.35</v>
      </c>
      <c r="H190" s="20"/>
      <c r="I190" s="20"/>
      <c r="J190" s="20"/>
    </row>
    <row r="191" spans="1:10" x14ac:dyDescent="0.3">
      <c r="A191" s="20" t="s">
        <v>2878</v>
      </c>
      <c r="B191" s="20" t="s">
        <v>465</v>
      </c>
      <c r="C191" s="20" t="s">
        <v>467</v>
      </c>
      <c r="D191" s="20">
        <v>1</v>
      </c>
      <c r="E191" s="20">
        <v>1</v>
      </c>
      <c r="F191" s="20" t="s">
        <v>3116</v>
      </c>
      <c r="G191" s="20">
        <v>-1.44</v>
      </c>
      <c r="H191" s="20"/>
      <c r="I191" s="20"/>
      <c r="J191" s="20"/>
    </row>
    <row r="192" spans="1:10" x14ac:dyDescent="0.3">
      <c r="A192" s="20" t="s">
        <v>2878</v>
      </c>
      <c r="B192" s="20" t="s">
        <v>953</v>
      </c>
      <c r="C192" s="20" t="s">
        <v>898</v>
      </c>
      <c r="D192" s="20">
        <v>1</v>
      </c>
      <c r="E192" s="20">
        <v>1</v>
      </c>
      <c r="F192" s="20" t="s">
        <v>3116</v>
      </c>
      <c r="G192" s="20">
        <v>-1.44</v>
      </c>
      <c r="H192" s="20"/>
      <c r="I192" s="20"/>
      <c r="J192" s="20"/>
    </row>
    <row r="193" spans="1:10" x14ac:dyDescent="0.3">
      <c r="A193" s="20" t="s">
        <v>2879</v>
      </c>
      <c r="B193" s="20" t="s">
        <v>879</v>
      </c>
      <c r="C193" s="20" t="s">
        <v>862</v>
      </c>
      <c r="D193" s="20">
        <v>4</v>
      </c>
      <c r="E193" s="20">
        <v>1</v>
      </c>
      <c r="F193" s="20" t="s">
        <v>3116</v>
      </c>
      <c r="G193" s="20">
        <v>-0.46</v>
      </c>
      <c r="H193" s="20"/>
      <c r="I193" s="20"/>
      <c r="J193" s="20"/>
    </row>
    <row r="194" spans="1:10" x14ac:dyDescent="0.3">
      <c r="A194" s="20" t="s">
        <v>2880</v>
      </c>
      <c r="B194" s="20" t="s">
        <v>189</v>
      </c>
      <c r="C194" s="20" t="s">
        <v>191</v>
      </c>
      <c r="D194" s="20">
        <v>3</v>
      </c>
      <c r="E194" s="20">
        <v>1</v>
      </c>
      <c r="F194" s="20" t="s">
        <v>3116</v>
      </c>
      <c r="G194" s="20">
        <v>-1.41</v>
      </c>
      <c r="H194" s="20"/>
      <c r="I194" s="20"/>
      <c r="J194" s="20"/>
    </row>
    <row r="195" spans="1:10" x14ac:dyDescent="0.3">
      <c r="A195" s="20" t="s">
        <v>2881</v>
      </c>
      <c r="B195" s="20" t="s">
        <v>439</v>
      </c>
      <c r="C195" s="20" t="s">
        <v>434</v>
      </c>
      <c r="D195" s="20">
        <v>2</v>
      </c>
      <c r="E195" s="20">
        <v>1</v>
      </c>
      <c r="F195" s="20" t="s">
        <v>3116</v>
      </c>
      <c r="G195" s="20">
        <v>-3.61</v>
      </c>
      <c r="H195" s="20"/>
      <c r="I195" s="20"/>
      <c r="J195" s="20"/>
    </row>
    <row r="196" spans="1:10" x14ac:dyDescent="0.3">
      <c r="A196" s="20" t="s">
        <v>2882</v>
      </c>
      <c r="B196" s="20" t="s">
        <v>60</v>
      </c>
      <c r="C196" s="20" t="s">
        <v>59</v>
      </c>
      <c r="D196" s="20">
        <v>5</v>
      </c>
      <c r="E196" s="20">
        <v>1</v>
      </c>
      <c r="F196" s="20" t="s">
        <v>3123</v>
      </c>
      <c r="G196" s="20">
        <v>0.27</v>
      </c>
      <c r="H196" s="20"/>
      <c r="I196" s="20"/>
      <c r="J196" s="20"/>
    </row>
    <row r="197" spans="1:10" x14ac:dyDescent="0.3">
      <c r="A197" s="20" t="s">
        <v>2882</v>
      </c>
      <c r="B197" s="20" t="s">
        <v>472</v>
      </c>
      <c r="C197" s="20" t="s">
        <v>467</v>
      </c>
      <c r="D197" s="20">
        <v>5</v>
      </c>
      <c r="E197" s="20">
        <v>1</v>
      </c>
      <c r="F197" s="20" t="s">
        <v>3123</v>
      </c>
      <c r="G197" s="20">
        <v>0.27</v>
      </c>
      <c r="H197" s="20"/>
      <c r="I197" s="20"/>
      <c r="J197" s="20"/>
    </row>
    <row r="198" spans="1:10" x14ac:dyDescent="0.3">
      <c r="A198" s="20" t="s">
        <v>2883</v>
      </c>
      <c r="B198" s="20" t="s">
        <v>834</v>
      </c>
      <c r="C198" s="20" t="s">
        <v>787</v>
      </c>
      <c r="D198" s="20">
        <v>4</v>
      </c>
      <c r="E198" s="20">
        <v>1</v>
      </c>
      <c r="F198" s="20" t="s">
        <v>3116</v>
      </c>
      <c r="G198" s="20">
        <v>-0.48</v>
      </c>
      <c r="H198" s="20"/>
      <c r="I198" s="20"/>
      <c r="J198" s="20"/>
    </row>
    <row r="199" spans="1:10" x14ac:dyDescent="0.3">
      <c r="A199" s="20" t="s">
        <v>2884</v>
      </c>
      <c r="B199" s="20" t="s">
        <v>269</v>
      </c>
      <c r="C199" s="20" t="s">
        <v>268</v>
      </c>
      <c r="D199" s="20">
        <v>5</v>
      </c>
      <c r="E199" s="20">
        <v>1</v>
      </c>
      <c r="F199" s="20" t="s">
        <v>3124</v>
      </c>
      <c r="G199" s="20">
        <v>1.25</v>
      </c>
      <c r="H199" s="20"/>
      <c r="I199" s="20"/>
      <c r="J199" s="20"/>
    </row>
    <row r="200" spans="1:10" x14ac:dyDescent="0.3">
      <c r="A200" s="20" t="s">
        <v>2884</v>
      </c>
      <c r="B200" s="20" t="s">
        <v>311</v>
      </c>
      <c r="C200" s="20" t="s">
        <v>310</v>
      </c>
      <c r="D200" s="20">
        <v>5</v>
      </c>
      <c r="E200" s="20">
        <v>1</v>
      </c>
      <c r="F200" s="20" t="s">
        <v>3124</v>
      </c>
      <c r="G200" s="20">
        <v>1.25</v>
      </c>
      <c r="H200" s="20"/>
      <c r="I200" s="20"/>
      <c r="J200" s="20"/>
    </row>
    <row r="201" spans="1:10" x14ac:dyDescent="0.3">
      <c r="A201" s="20" t="s">
        <v>2884</v>
      </c>
      <c r="B201" s="20" t="s">
        <v>851</v>
      </c>
      <c r="C201" s="20" t="s">
        <v>837</v>
      </c>
      <c r="D201" s="20">
        <v>5</v>
      </c>
      <c r="E201" s="20">
        <v>1</v>
      </c>
      <c r="F201" s="20" t="s">
        <v>3124</v>
      </c>
      <c r="G201" s="20">
        <v>1.25</v>
      </c>
      <c r="H201" s="20"/>
      <c r="I201" s="20"/>
      <c r="J201" s="20"/>
    </row>
    <row r="202" spans="1:10" x14ac:dyDescent="0.3">
      <c r="A202" s="20" t="s">
        <v>2885</v>
      </c>
      <c r="B202" s="20" t="s">
        <v>324</v>
      </c>
      <c r="C202" s="20" t="s">
        <v>326</v>
      </c>
      <c r="D202" s="20">
        <v>5</v>
      </c>
      <c r="E202" s="20">
        <v>1</v>
      </c>
      <c r="F202" s="20" t="s">
        <v>3123</v>
      </c>
      <c r="G202" s="20">
        <v>0.63</v>
      </c>
      <c r="H202" s="20"/>
      <c r="I202" s="20"/>
      <c r="J202" s="20"/>
    </row>
    <row r="203" spans="1:10" x14ac:dyDescent="0.3">
      <c r="A203" s="20" t="s">
        <v>2885</v>
      </c>
      <c r="B203" s="20" t="s">
        <v>413</v>
      </c>
      <c r="C203" s="20" t="s">
        <v>412</v>
      </c>
      <c r="D203" s="20">
        <v>5</v>
      </c>
      <c r="E203" s="20">
        <v>1</v>
      </c>
      <c r="F203" s="20" t="s">
        <v>3123</v>
      </c>
      <c r="G203" s="20">
        <v>0.63</v>
      </c>
      <c r="H203" s="20"/>
      <c r="I203" s="20"/>
      <c r="J203" s="20"/>
    </row>
    <row r="204" spans="1:10" x14ac:dyDescent="0.3">
      <c r="A204" s="20" t="s">
        <v>2886</v>
      </c>
      <c r="B204" s="20" t="s">
        <v>530</v>
      </c>
      <c r="C204" s="20" t="s">
        <v>525</v>
      </c>
      <c r="D204" s="20">
        <v>4</v>
      </c>
      <c r="E204" s="20">
        <v>1</v>
      </c>
      <c r="F204" s="20" t="s">
        <v>3116</v>
      </c>
      <c r="G204" s="20">
        <v>-0.39</v>
      </c>
      <c r="H204" s="20"/>
      <c r="I204" s="20"/>
      <c r="J204" s="20"/>
    </row>
    <row r="205" spans="1:10" x14ac:dyDescent="0.3">
      <c r="A205" s="20" t="s">
        <v>2893</v>
      </c>
      <c r="B205" s="20" t="s">
        <v>219</v>
      </c>
      <c r="C205" s="20" t="s">
        <v>221</v>
      </c>
      <c r="D205" s="20">
        <v>4</v>
      </c>
      <c r="E205" s="20">
        <v>1</v>
      </c>
      <c r="F205" s="20" t="s">
        <v>3116</v>
      </c>
      <c r="G205" s="20">
        <v>-0.59</v>
      </c>
      <c r="H205" s="20"/>
      <c r="I205" s="20"/>
      <c r="J205" s="20"/>
    </row>
    <row r="206" spans="1:10" x14ac:dyDescent="0.3">
      <c r="A206" s="20" t="s">
        <v>2897</v>
      </c>
      <c r="B206" s="20" t="s">
        <v>5</v>
      </c>
      <c r="C206" s="20" t="s">
        <v>8</v>
      </c>
      <c r="D206" s="20">
        <v>4</v>
      </c>
      <c r="E206" s="20">
        <v>1</v>
      </c>
      <c r="F206" s="20" t="s">
        <v>3116</v>
      </c>
      <c r="G206" s="20">
        <v>-0.6</v>
      </c>
      <c r="H206" s="20"/>
      <c r="I206" s="20"/>
      <c r="J206" s="20"/>
    </row>
    <row r="207" spans="1:10" x14ac:dyDescent="0.3">
      <c r="A207" s="20" t="s">
        <v>2897</v>
      </c>
      <c r="B207" s="20" t="s">
        <v>306</v>
      </c>
      <c r="C207" s="20" t="s">
        <v>299</v>
      </c>
      <c r="D207" s="20">
        <v>4</v>
      </c>
      <c r="E207" s="20">
        <v>1</v>
      </c>
      <c r="F207" s="20" t="s">
        <v>3116</v>
      </c>
      <c r="G207" s="20">
        <v>-0.6</v>
      </c>
      <c r="H207" s="20"/>
      <c r="I207" s="20"/>
      <c r="J207" s="20"/>
    </row>
    <row r="208" spans="1:10" x14ac:dyDescent="0.3">
      <c r="A208" s="20" t="s">
        <v>2898</v>
      </c>
      <c r="B208" s="20" t="s">
        <v>532</v>
      </c>
      <c r="C208" s="20" t="s">
        <v>534</v>
      </c>
      <c r="D208" s="20">
        <v>4</v>
      </c>
      <c r="E208" s="20">
        <v>1</v>
      </c>
      <c r="F208" s="20" t="s">
        <v>3116</v>
      </c>
      <c r="G208" s="20">
        <v>-0.54</v>
      </c>
      <c r="H208" s="20"/>
      <c r="I208" s="20"/>
      <c r="J208" s="20"/>
    </row>
    <row r="209" spans="1:10" x14ac:dyDescent="0.3">
      <c r="A209" s="20" t="s">
        <v>2898</v>
      </c>
      <c r="B209" s="20" t="s">
        <v>734</v>
      </c>
      <c r="C209" s="20" t="s">
        <v>697</v>
      </c>
      <c r="D209" s="20">
        <v>4</v>
      </c>
      <c r="E209" s="20">
        <v>1</v>
      </c>
      <c r="F209" s="20" t="s">
        <v>3116</v>
      </c>
      <c r="G209" s="20">
        <v>-0.54</v>
      </c>
      <c r="H209" s="20"/>
      <c r="I209" s="20"/>
      <c r="J209" s="20"/>
    </row>
    <row r="210" spans="1:10" x14ac:dyDescent="0.3">
      <c r="A210" s="20" t="s">
        <v>2898</v>
      </c>
      <c r="B210" s="20" t="s">
        <v>760</v>
      </c>
      <c r="C210" s="20" t="s">
        <v>340</v>
      </c>
      <c r="D210" s="20">
        <v>4</v>
      </c>
      <c r="E210" s="20">
        <v>1</v>
      </c>
      <c r="F210" s="20" t="s">
        <v>3116</v>
      </c>
      <c r="G210" s="20">
        <v>-0.54</v>
      </c>
      <c r="H210" s="20"/>
      <c r="I210" s="20"/>
      <c r="J210" s="20"/>
    </row>
    <row r="211" spans="1:10" x14ac:dyDescent="0.3">
      <c r="A211" s="20" t="s">
        <v>2900</v>
      </c>
      <c r="B211" s="20" t="s">
        <v>42</v>
      </c>
      <c r="C211" s="20" t="s">
        <v>44</v>
      </c>
      <c r="D211" s="20">
        <v>2</v>
      </c>
      <c r="E211" s="20">
        <v>2</v>
      </c>
      <c r="F211" s="20" t="s">
        <v>3116</v>
      </c>
      <c r="G211" s="20">
        <v>-2.4900000000000002</v>
      </c>
      <c r="H211" s="20"/>
      <c r="I211" s="20"/>
      <c r="J211" s="20"/>
    </row>
    <row r="212" spans="1:10" x14ac:dyDescent="0.3">
      <c r="A212" s="20" t="s">
        <v>2902</v>
      </c>
      <c r="B212" s="20" t="s">
        <v>598</v>
      </c>
      <c r="C212" s="20" t="s">
        <v>600</v>
      </c>
      <c r="D212" s="20">
        <v>5</v>
      </c>
      <c r="E212" s="20">
        <v>1</v>
      </c>
      <c r="F212" s="20" t="s">
        <v>3116</v>
      </c>
      <c r="G212" s="20">
        <v>-0.36</v>
      </c>
      <c r="H212" s="20"/>
      <c r="I212" s="20"/>
      <c r="J212" s="20"/>
    </row>
    <row r="213" spans="1:10" x14ac:dyDescent="0.3">
      <c r="A213" s="20" t="s">
        <v>2902</v>
      </c>
      <c r="B213" s="20" t="s">
        <v>832</v>
      </c>
      <c r="C213" s="20" t="s">
        <v>787</v>
      </c>
      <c r="D213" s="20">
        <v>5</v>
      </c>
      <c r="E213" s="20">
        <v>2</v>
      </c>
      <c r="F213" s="20" t="s">
        <v>3116</v>
      </c>
      <c r="G213" s="20">
        <v>-0.36</v>
      </c>
      <c r="H213" s="20"/>
      <c r="I213" s="20"/>
      <c r="J213" s="20"/>
    </row>
    <row r="214" spans="1:10" x14ac:dyDescent="0.3">
      <c r="A214" s="20" t="s">
        <v>2902</v>
      </c>
      <c r="B214" s="20" t="s">
        <v>871</v>
      </c>
      <c r="C214" s="20" t="s">
        <v>862</v>
      </c>
      <c r="D214" s="20">
        <v>5</v>
      </c>
      <c r="E214" s="20">
        <v>1</v>
      </c>
      <c r="F214" s="20" t="s">
        <v>3116</v>
      </c>
      <c r="G214" s="20">
        <v>-0.36</v>
      </c>
      <c r="H214" s="20"/>
      <c r="I214" s="20"/>
      <c r="J214" s="20"/>
    </row>
    <row r="215" spans="1:10" x14ac:dyDescent="0.3">
      <c r="A215" s="20" t="s">
        <v>2928</v>
      </c>
      <c r="B215" s="20" t="s">
        <v>322</v>
      </c>
      <c r="C215" s="20" t="s">
        <v>321</v>
      </c>
      <c r="D215" s="20">
        <v>3</v>
      </c>
      <c r="E215" s="20">
        <v>6</v>
      </c>
      <c r="F215" s="20" t="s">
        <v>3116</v>
      </c>
      <c r="G215" s="20">
        <v>-2.7</v>
      </c>
      <c r="H215" s="20"/>
      <c r="I215" s="20"/>
      <c r="J215" s="20"/>
    </row>
    <row r="216" spans="1:10" x14ac:dyDescent="0.3">
      <c r="A216" s="20" t="s">
        <v>2937</v>
      </c>
      <c r="B216" s="20" t="s">
        <v>269</v>
      </c>
      <c r="C216" s="20" t="s">
        <v>268</v>
      </c>
      <c r="D216" s="20">
        <v>2</v>
      </c>
      <c r="E216" s="20">
        <v>1</v>
      </c>
      <c r="F216" s="20" t="s">
        <v>3116</v>
      </c>
      <c r="G216" s="20">
        <v>-2.41</v>
      </c>
      <c r="H216" s="20"/>
      <c r="I216" s="20"/>
      <c r="J216" s="20"/>
    </row>
    <row r="217" spans="1:10" x14ac:dyDescent="0.3">
      <c r="A217" s="20" t="s">
        <v>2937</v>
      </c>
      <c r="B217" s="20" t="s">
        <v>682</v>
      </c>
      <c r="C217" s="20" t="s">
        <v>122</v>
      </c>
      <c r="D217" s="20">
        <v>2</v>
      </c>
      <c r="E217" s="20">
        <v>1</v>
      </c>
      <c r="F217" s="20" t="s">
        <v>3116</v>
      </c>
      <c r="G217" s="20">
        <v>-2.41</v>
      </c>
      <c r="H217" s="20"/>
      <c r="I217" s="20"/>
      <c r="J217" s="20"/>
    </row>
    <row r="218" spans="1:10" x14ac:dyDescent="0.3">
      <c r="A218" s="20" t="s">
        <v>2937</v>
      </c>
      <c r="B218" s="20" t="s">
        <v>989</v>
      </c>
      <c r="C218" s="20" t="s">
        <v>982</v>
      </c>
      <c r="D218" s="20">
        <v>2</v>
      </c>
      <c r="E218" s="20">
        <v>1</v>
      </c>
      <c r="F218" s="20" t="s">
        <v>3116</v>
      </c>
      <c r="G218" s="20">
        <v>-2.41</v>
      </c>
      <c r="H218" s="20"/>
      <c r="I218" s="20"/>
      <c r="J218" s="20"/>
    </row>
    <row r="219" spans="1:10" x14ac:dyDescent="0.3">
      <c r="A219" s="20" t="s">
        <v>2913</v>
      </c>
      <c r="B219" s="20" t="s">
        <v>51</v>
      </c>
      <c r="C219" s="20" t="s">
        <v>53</v>
      </c>
      <c r="D219" s="20">
        <v>5</v>
      </c>
      <c r="E219" s="20">
        <v>1</v>
      </c>
      <c r="F219" s="20" t="s">
        <v>3123</v>
      </c>
      <c r="G219" s="20">
        <v>0.38</v>
      </c>
      <c r="H219" s="20"/>
      <c r="I219" s="20"/>
      <c r="J219" s="20"/>
    </row>
    <row r="220" spans="1:10" x14ac:dyDescent="0.3">
      <c r="A220" s="20" t="s">
        <v>2931</v>
      </c>
      <c r="B220" s="20" t="s">
        <v>98</v>
      </c>
      <c r="C220" s="20" t="s">
        <v>100</v>
      </c>
      <c r="D220" s="20">
        <v>5</v>
      </c>
      <c r="E220" s="20">
        <v>1</v>
      </c>
      <c r="F220" s="20" t="s">
        <v>3116</v>
      </c>
      <c r="G220" s="20">
        <v>-0.39</v>
      </c>
      <c r="H220" s="20"/>
      <c r="I220" s="20"/>
      <c r="J220" s="20"/>
    </row>
    <row r="221" spans="1:10" x14ac:dyDescent="0.3">
      <c r="A221" s="20" t="s">
        <v>2915</v>
      </c>
      <c r="B221" s="20" t="s">
        <v>126</v>
      </c>
      <c r="C221" s="20" t="s">
        <v>128</v>
      </c>
      <c r="D221" s="20">
        <v>4</v>
      </c>
      <c r="E221" s="20">
        <v>1</v>
      </c>
      <c r="F221" s="20" t="s">
        <v>3116</v>
      </c>
      <c r="G221" s="20">
        <v>-0.65</v>
      </c>
      <c r="H221" s="20"/>
      <c r="I221" s="20"/>
      <c r="J221" s="20"/>
    </row>
    <row r="222" spans="1:10" x14ac:dyDescent="0.3">
      <c r="A222" s="20" t="s">
        <v>2915</v>
      </c>
      <c r="B222" s="20" t="s">
        <v>226</v>
      </c>
      <c r="C222" s="20" t="s">
        <v>221</v>
      </c>
      <c r="D222" s="20">
        <v>4</v>
      </c>
      <c r="E222" s="20">
        <v>1</v>
      </c>
      <c r="F222" s="20" t="s">
        <v>3116</v>
      </c>
      <c r="G222" s="20">
        <v>-0.65</v>
      </c>
      <c r="H222" s="20"/>
      <c r="I222" s="20"/>
      <c r="J222" s="20"/>
    </row>
    <row r="223" spans="1:10" x14ac:dyDescent="0.3">
      <c r="A223" s="20" t="s">
        <v>2915</v>
      </c>
      <c r="B223" s="20" t="s">
        <v>614</v>
      </c>
      <c r="C223" s="20" t="s">
        <v>615</v>
      </c>
      <c r="D223" s="20">
        <v>4</v>
      </c>
      <c r="E223" s="20">
        <v>2</v>
      </c>
      <c r="F223" s="20" t="s">
        <v>3116</v>
      </c>
      <c r="G223" s="20">
        <v>-0.65</v>
      </c>
      <c r="H223" s="20"/>
      <c r="I223" s="20"/>
      <c r="J223" s="20"/>
    </row>
    <row r="224" spans="1:10" x14ac:dyDescent="0.3">
      <c r="A224" s="20" t="s">
        <v>2916</v>
      </c>
      <c r="B224" s="20" t="s">
        <v>273</v>
      </c>
      <c r="C224" s="20" t="s">
        <v>268</v>
      </c>
      <c r="D224" s="20">
        <v>4</v>
      </c>
      <c r="E224" s="20">
        <v>1</v>
      </c>
      <c r="F224" s="20" t="s">
        <v>3116</v>
      </c>
      <c r="G224" s="20">
        <v>-0.47</v>
      </c>
      <c r="H224" s="20"/>
      <c r="I224" s="20"/>
      <c r="J224" s="20"/>
    </row>
    <row r="225" spans="1:10" x14ac:dyDescent="0.3">
      <c r="A225" s="20" t="s">
        <v>2916</v>
      </c>
      <c r="B225" s="20" t="s">
        <v>445</v>
      </c>
      <c r="C225" s="20" t="s">
        <v>434</v>
      </c>
      <c r="D225" s="20">
        <v>4</v>
      </c>
      <c r="E225" s="20">
        <v>1</v>
      </c>
      <c r="F225" s="20" t="s">
        <v>3116</v>
      </c>
      <c r="G225" s="20">
        <v>-0.47</v>
      </c>
      <c r="H225" s="20"/>
      <c r="I225" s="20"/>
      <c r="J225" s="20"/>
    </row>
    <row r="226" spans="1:10" x14ac:dyDescent="0.3">
      <c r="A226" s="20" t="s">
        <v>2918</v>
      </c>
      <c r="B226" s="20" t="s">
        <v>634</v>
      </c>
      <c r="C226" s="20" t="s">
        <v>627</v>
      </c>
      <c r="D226" s="20">
        <v>5</v>
      </c>
      <c r="E226" s="20">
        <v>1</v>
      </c>
      <c r="F226" s="20" t="s">
        <v>3123</v>
      </c>
      <c r="G226" s="20">
        <v>0.26</v>
      </c>
      <c r="H226" s="20"/>
      <c r="I226" s="20"/>
      <c r="J226" s="20"/>
    </row>
    <row r="227" spans="1:10" x14ac:dyDescent="0.3">
      <c r="A227" s="20" t="s">
        <v>2918</v>
      </c>
      <c r="B227" s="20" t="s">
        <v>698</v>
      </c>
      <c r="C227" s="20" t="s">
        <v>697</v>
      </c>
      <c r="D227" s="20">
        <v>5</v>
      </c>
      <c r="E227" s="20">
        <v>1</v>
      </c>
      <c r="F227" s="20" t="s">
        <v>3123</v>
      </c>
      <c r="G227" s="20">
        <v>0.26</v>
      </c>
      <c r="H227" s="20"/>
      <c r="I227" s="20"/>
      <c r="J227" s="20"/>
    </row>
    <row r="228" spans="1:10" x14ac:dyDescent="0.3">
      <c r="A228" s="20" t="s">
        <v>2921</v>
      </c>
      <c r="B228" s="20" t="s">
        <v>555</v>
      </c>
      <c r="C228" s="20" t="s">
        <v>554</v>
      </c>
      <c r="D228" s="20">
        <v>2</v>
      </c>
      <c r="E228" s="20">
        <v>1</v>
      </c>
      <c r="F228" s="20" t="s">
        <v>3116</v>
      </c>
      <c r="G228" s="20">
        <v>-1.41</v>
      </c>
      <c r="H228" s="20"/>
      <c r="I228" s="20"/>
      <c r="J228" s="20"/>
    </row>
    <row r="229" spans="1:10" x14ac:dyDescent="0.3">
      <c r="A229" s="20" t="s">
        <v>2925</v>
      </c>
      <c r="B229" s="20" t="s">
        <v>720</v>
      </c>
      <c r="C229" s="20" t="s">
        <v>697</v>
      </c>
      <c r="D229" s="20">
        <v>4</v>
      </c>
      <c r="E229" s="20">
        <v>2</v>
      </c>
      <c r="F229" s="20" t="s">
        <v>3116</v>
      </c>
      <c r="G229" s="20">
        <v>-2.57</v>
      </c>
      <c r="H229" s="20"/>
      <c r="I229" s="20"/>
      <c r="J229" s="20"/>
    </row>
    <row r="230" spans="1:10" x14ac:dyDescent="0.3">
      <c r="A230" s="20" t="s">
        <v>2925</v>
      </c>
      <c r="B230" s="20" t="s">
        <v>813</v>
      </c>
      <c r="C230" s="20" t="s">
        <v>787</v>
      </c>
      <c r="D230" s="20">
        <v>4</v>
      </c>
      <c r="E230" s="20">
        <v>2</v>
      </c>
      <c r="F230" s="20" t="s">
        <v>3116</v>
      </c>
      <c r="G230" s="20">
        <v>-2.57</v>
      </c>
      <c r="H230" s="20"/>
      <c r="I230" s="20"/>
      <c r="J230" s="20"/>
    </row>
    <row r="231" spans="1:10" x14ac:dyDescent="0.3">
      <c r="A231" s="20" t="s">
        <v>2925</v>
      </c>
      <c r="B231" s="20" t="s">
        <v>849</v>
      </c>
      <c r="C231" s="20" t="s">
        <v>837</v>
      </c>
      <c r="D231" s="20">
        <v>4</v>
      </c>
      <c r="E231" s="20">
        <v>1</v>
      </c>
      <c r="F231" s="20" t="s">
        <v>3116</v>
      </c>
      <c r="G231" s="20">
        <v>-2.57</v>
      </c>
      <c r="H231" s="20"/>
      <c r="I231" s="20"/>
      <c r="J231" s="20"/>
    </row>
    <row r="232" spans="1:10" x14ac:dyDescent="0.3">
      <c r="A232" s="20" t="s">
        <v>2939</v>
      </c>
      <c r="B232" s="20" t="s">
        <v>829</v>
      </c>
      <c r="C232" s="20" t="s">
        <v>133</v>
      </c>
      <c r="D232" s="20">
        <v>5</v>
      </c>
      <c r="E232" s="20">
        <v>1</v>
      </c>
      <c r="F232" s="20" t="s">
        <v>3123</v>
      </c>
      <c r="G232" s="20">
        <v>0.27</v>
      </c>
      <c r="H232" s="20"/>
      <c r="I232" s="20"/>
      <c r="J232" s="20"/>
    </row>
    <row r="233" spans="1:10" x14ac:dyDescent="0.3">
      <c r="A233" s="20" t="s">
        <v>2941</v>
      </c>
      <c r="B233" s="20" t="s">
        <v>860</v>
      </c>
      <c r="C233" s="20" t="s">
        <v>862</v>
      </c>
      <c r="D233" s="20">
        <v>5</v>
      </c>
      <c r="E233" s="20">
        <v>1</v>
      </c>
      <c r="F233" s="20" t="s">
        <v>3116</v>
      </c>
      <c r="G233" s="20">
        <v>-0.35</v>
      </c>
      <c r="H233" s="20"/>
      <c r="I233" s="20"/>
      <c r="J233" s="20"/>
    </row>
    <row r="234" spans="1:10" x14ac:dyDescent="0.3">
      <c r="A234" s="20" t="s">
        <v>2941</v>
      </c>
      <c r="B234" s="20" t="s">
        <v>958</v>
      </c>
      <c r="C234" s="20" t="s">
        <v>957</v>
      </c>
      <c r="D234" s="20">
        <v>5</v>
      </c>
      <c r="E234" s="20">
        <v>1</v>
      </c>
      <c r="F234" s="20" t="s">
        <v>3116</v>
      </c>
      <c r="G234" s="20">
        <v>-0.35</v>
      </c>
      <c r="H234" s="20"/>
      <c r="I234" s="20"/>
      <c r="J234" s="20"/>
    </row>
    <row r="235" spans="1:10" x14ac:dyDescent="0.3">
      <c r="A235" s="20" t="s">
        <v>2942</v>
      </c>
      <c r="B235" s="20" t="s">
        <v>931</v>
      </c>
      <c r="C235" s="20" t="s">
        <v>898</v>
      </c>
      <c r="D235" s="20">
        <v>4</v>
      </c>
      <c r="E235" s="20">
        <v>1</v>
      </c>
      <c r="F235" s="20" t="s">
        <v>3123</v>
      </c>
      <c r="G235" s="20">
        <v>0.3</v>
      </c>
      <c r="H235" s="20"/>
      <c r="I235" s="20"/>
      <c r="J235" s="20"/>
    </row>
    <row r="236" spans="1:10" x14ac:dyDescent="0.3">
      <c r="A236" s="20" t="s">
        <v>2944</v>
      </c>
      <c r="B236" s="20" t="s">
        <v>893</v>
      </c>
      <c r="C236" s="20" t="s">
        <v>862</v>
      </c>
      <c r="D236" s="20">
        <v>5</v>
      </c>
      <c r="E236" s="20">
        <v>1</v>
      </c>
      <c r="F236" s="20" t="s">
        <v>3116</v>
      </c>
      <c r="G236" s="20">
        <v>-0.45</v>
      </c>
      <c r="H236" s="20"/>
      <c r="I236" s="20"/>
      <c r="J236" s="20"/>
    </row>
    <row r="237" spans="1:10" x14ac:dyDescent="0.3">
      <c r="A237" s="20" t="s">
        <v>2949</v>
      </c>
      <c r="B237" s="20" t="s">
        <v>512</v>
      </c>
      <c r="C237" s="20" t="s">
        <v>514</v>
      </c>
      <c r="D237" s="20">
        <v>5</v>
      </c>
      <c r="E237" s="20">
        <v>1</v>
      </c>
      <c r="F237" s="20" t="s">
        <v>3116</v>
      </c>
      <c r="G237" s="20">
        <v>-0.6</v>
      </c>
      <c r="H237" s="20"/>
      <c r="I237" s="20"/>
      <c r="J237" s="20"/>
    </row>
    <row r="238" spans="1:10" x14ac:dyDescent="0.3">
      <c r="A238" s="20" t="s">
        <v>2953</v>
      </c>
      <c r="B238" s="20" t="s">
        <v>57</v>
      </c>
      <c r="C238" s="20" t="s">
        <v>59</v>
      </c>
      <c r="D238" s="20">
        <v>3</v>
      </c>
      <c r="E238" s="20">
        <v>1</v>
      </c>
      <c r="F238" s="20" t="s">
        <v>3116</v>
      </c>
      <c r="G238" s="20">
        <v>-1.57</v>
      </c>
      <c r="H238" s="20"/>
      <c r="I238" s="20"/>
      <c r="J238" s="20"/>
    </row>
    <row r="239" spans="1:10" x14ac:dyDescent="0.3">
      <c r="A239" s="20" t="s">
        <v>2953</v>
      </c>
      <c r="B239" s="20" t="s">
        <v>441</v>
      </c>
      <c r="C239" s="20" t="s">
        <v>434</v>
      </c>
      <c r="D239" s="20">
        <v>3</v>
      </c>
      <c r="E239" s="20">
        <v>1</v>
      </c>
      <c r="F239" s="20" t="s">
        <v>3116</v>
      </c>
      <c r="G239" s="20">
        <v>-1.57</v>
      </c>
      <c r="H239" s="20"/>
      <c r="I239" s="20"/>
      <c r="J239" s="20"/>
    </row>
    <row r="240" spans="1:10" x14ac:dyDescent="0.3">
      <c r="A240" s="20" t="s">
        <v>2957</v>
      </c>
      <c r="B240" s="20" t="s">
        <v>187</v>
      </c>
      <c r="C240" s="20" t="s">
        <v>180</v>
      </c>
      <c r="D240" s="20">
        <v>2</v>
      </c>
      <c r="E240" s="20">
        <v>1</v>
      </c>
      <c r="F240" s="20" t="s">
        <v>3116</v>
      </c>
      <c r="G240" s="20">
        <v>-2.54</v>
      </c>
      <c r="H240" s="20"/>
      <c r="I240" s="20"/>
      <c r="J240" s="20"/>
    </row>
    <row r="241" spans="1:10" x14ac:dyDescent="0.3">
      <c r="A241" s="20" t="s">
        <v>2957</v>
      </c>
      <c r="B241" s="20" t="s">
        <v>598</v>
      </c>
      <c r="C241" s="20" t="s">
        <v>600</v>
      </c>
      <c r="D241" s="20">
        <v>2</v>
      </c>
      <c r="E241" s="20">
        <v>2</v>
      </c>
      <c r="F241" s="20" t="s">
        <v>3116</v>
      </c>
      <c r="G241" s="20">
        <v>-2.54</v>
      </c>
      <c r="H241" s="20"/>
      <c r="I241" s="20"/>
      <c r="J241" s="20"/>
    </row>
    <row r="242" spans="1:10" x14ac:dyDescent="0.3">
      <c r="A242" s="20" t="s">
        <v>2957</v>
      </c>
      <c r="B242" s="20" t="s">
        <v>726</v>
      </c>
      <c r="C242" s="20" t="s">
        <v>697</v>
      </c>
      <c r="D242" s="20">
        <v>2</v>
      </c>
      <c r="E242" s="20">
        <v>1</v>
      </c>
      <c r="F242" s="20" t="s">
        <v>3116</v>
      </c>
      <c r="G242" s="20">
        <v>-2.54</v>
      </c>
      <c r="H242" s="20"/>
      <c r="I242" s="20"/>
      <c r="J242" s="20"/>
    </row>
    <row r="243" spans="1:10" x14ac:dyDescent="0.3">
      <c r="A243" s="20" t="s">
        <v>2960</v>
      </c>
      <c r="B243" s="20" t="s">
        <v>378</v>
      </c>
      <c r="C243" s="20" t="s">
        <v>310</v>
      </c>
      <c r="D243" s="20">
        <v>1</v>
      </c>
      <c r="E243" s="20">
        <v>1</v>
      </c>
      <c r="F243" s="20" t="s">
        <v>3116</v>
      </c>
      <c r="G243" s="20">
        <v>-2.44</v>
      </c>
      <c r="H243" s="20"/>
      <c r="I243" s="20"/>
      <c r="J243" s="20"/>
    </row>
    <row r="244" spans="1:10" x14ac:dyDescent="0.3">
      <c r="A244" s="20" t="s">
        <v>2960</v>
      </c>
      <c r="B244" s="20" t="s">
        <v>501</v>
      </c>
      <c r="C244" s="20" t="s">
        <v>494</v>
      </c>
      <c r="D244" s="20">
        <v>1</v>
      </c>
      <c r="E244" s="20">
        <v>1</v>
      </c>
      <c r="F244" s="20" t="s">
        <v>3116</v>
      </c>
      <c r="G244" s="20">
        <v>-2.44</v>
      </c>
      <c r="H244" s="20"/>
      <c r="I244" s="20"/>
      <c r="J244" s="20"/>
    </row>
    <row r="245" spans="1:10" x14ac:dyDescent="0.3">
      <c r="A245" s="20" t="s">
        <v>2960</v>
      </c>
      <c r="B245" s="20" t="s">
        <v>885</v>
      </c>
      <c r="C245" s="20" t="s">
        <v>862</v>
      </c>
      <c r="D245" s="20">
        <v>1</v>
      </c>
      <c r="E245" s="20">
        <v>1</v>
      </c>
      <c r="F245" s="20" t="s">
        <v>3116</v>
      </c>
      <c r="G245" s="20">
        <v>-2.44</v>
      </c>
      <c r="H245" s="20"/>
      <c r="I245" s="20"/>
      <c r="J245" s="20"/>
    </row>
    <row r="246" spans="1:10" x14ac:dyDescent="0.3">
      <c r="A246" s="20" t="s">
        <v>2963</v>
      </c>
      <c r="B246" s="20" t="s">
        <v>51</v>
      </c>
      <c r="C246" s="20" t="s">
        <v>53</v>
      </c>
      <c r="D246" s="20">
        <v>3</v>
      </c>
      <c r="E246" s="20">
        <v>1</v>
      </c>
      <c r="F246" s="20" t="s">
        <v>3116</v>
      </c>
      <c r="G246" s="20">
        <v>-1.46</v>
      </c>
      <c r="H246" s="20"/>
      <c r="I246" s="20"/>
      <c r="J246" s="20"/>
    </row>
    <row r="247" spans="1:10" x14ac:dyDescent="0.3">
      <c r="A247" s="20" t="s">
        <v>2963</v>
      </c>
      <c r="B247" s="20" t="s">
        <v>103</v>
      </c>
      <c r="C247" s="20" t="s">
        <v>100</v>
      </c>
      <c r="D247" s="20">
        <v>3</v>
      </c>
      <c r="E247" s="20">
        <v>1</v>
      </c>
      <c r="F247" s="20" t="s">
        <v>3116</v>
      </c>
      <c r="G247" s="20">
        <v>-1.46</v>
      </c>
      <c r="H247" s="20"/>
      <c r="I247" s="20"/>
      <c r="J247" s="20"/>
    </row>
    <row r="248" spans="1:10" x14ac:dyDescent="0.3">
      <c r="A248" s="20" t="s">
        <v>2963</v>
      </c>
      <c r="B248" s="20" t="s">
        <v>470</v>
      </c>
      <c r="C248" s="20" t="s">
        <v>467</v>
      </c>
      <c r="D248" s="20">
        <v>3</v>
      </c>
      <c r="E248" s="20">
        <v>1</v>
      </c>
      <c r="F248" s="20" t="s">
        <v>3116</v>
      </c>
      <c r="G248" s="20">
        <v>-1.46</v>
      </c>
      <c r="H248" s="20"/>
      <c r="I248" s="20"/>
      <c r="J248" s="20"/>
    </row>
    <row r="249" spans="1:10" x14ac:dyDescent="0.3">
      <c r="A249" s="20" t="s">
        <v>2966</v>
      </c>
      <c r="B249" s="20" t="s">
        <v>233</v>
      </c>
      <c r="C249" s="20" t="s">
        <v>230</v>
      </c>
      <c r="D249" s="20">
        <v>5</v>
      </c>
      <c r="E249" s="20">
        <v>1</v>
      </c>
      <c r="F249" s="20" t="s">
        <v>3116</v>
      </c>
      <c r="G249" s="20">
        <v>-0.46</v>
      </c>
      <c r="H249" s="20"/>
      <c r="I249" s="20"/>
      <c r="J249" s="20"/>
    </row>
    <row r="250" spans="1:10" x14ac:dyDescent="0.3">
      <c r="A250" s="20" t="s">
        <v>2966</v>
      </c>
      <c r="B250" s="20" t="s">
        <v>889</v>
      </c>
      <c r="C250" s="20" t="s">
        <v>862</v>
      </c>
      <c r="D250" s="20">
        <v>5</v>
      </c>
      <c r="E250" s="20">
        <v>1</v>
      </c>
      <c r="F250" s="20" t="s">
        <v>3116</v>
      </c>
      <c r="G250" s="20">
        <v>-0.46</v>
      </c>
      <c r="H250" s="20"/>
      <c r="I250" s="20"/>
      <c r="J250" s="20"/>
    </row>
    <row r="251" spans="1:10" x14ac:dyDescent="0.3">
      <c r="A251" s="20" t="s">
        <v>2968</v>
      </c>
      <c r="B251" s="20" t="s">
        <v>233</v>
      </c>
      <c r="C251" s="20" t="s">
        <v>230</v>
      </c>
      <c r="D251" s="20">
        <v>5</v>
      </c>
      <c r="E251" s="20">
        <v>1</v>
      </c>
      <c r="F251" s="20" t="s">
        <v>3123</v>
      </c>
      <c r="G251" s="20">
        <v>0.31</v>
      </c>
      <c r="H251" s="20"/>
      <c r="I251" s="20"/>
      <c r="J251" s="20"/>
    </row>
    <row r="252" spans="1:10" x14ac:dyDescent="0.3">
      <c r="A252" s="20" t="s">
        <v>2968</v>
      </c>
      <c r="B252" s="20" t="s">
        <v>311</v>
      </c>
      <c r="C252" s="20" t="s">
        <v>310</v>
      </c>
      <c r="D252" s="20">
        <v>5</v>
      </c>
      <c r="E252" s="20">
        <v>2</v>
      </c>
      <c r="F252" s="20" t="s">
        <v>3123</v>
      </c>
      <c r="G252" s="20">
        <v>0.31</v>
      </c>
      <c r="H252" s="20"/>
      <c r="I252" s="20"/>
      <c r="J252" s="20"/>
    </row>
    <row r="253" spans="1:10" x14ac:dyDescent="0.3">
      <c r="A253" s="20" t="s">
        <v>2968</v>
      </c>
      <c r="B253" s="20" t="s">
        <v>675</v>
      </c>
      <c r="C253" s="20" t="s">
        <v>670</v>
      </c>
      <c r="D253" s="20">
        <v>5</v>
      </c>
      <c r="E253" s="20">
        <v>2</v>
      </c>
      <c r="F253" s="20" t="s">
        <v>3123</v>
      </c>
      <c r="G253" s="20">
        <v>0.31</v>
      </c>
      <c r="H253" s="20"/>
      <c r="I253" s="20"/>
      <c r="J253" s="20"/>
    </row>
    <row r="254" spans="1:10" x14ac:dyDescent="0.3">
      <c r="A254" s="20" t="s">
        <v>2970</v>
      </c>
      <c r="B254" s="20" t="s">
        <v>608</v>
      </c>
      <c r="C254" s="20" t="s">
        <v>607</v>
      </c>
      <c r="D254" s="20">
        <v>5</v>
      </c>
      <c r="E254" s="20">
        <v>1</v>
      </c>
      <c r="F254" s="20" t="s">
        <v>3116</v>
      </c>
      <c r="G254" s="20">
        <v>-0.59</v>
      </c>
      <c r="H254" s="20"/>
      <c r="I254" s="20"/>
      <c r="J254" s="20"/>
    </row>
    <row r="255" spans="1:10" x14ac:dyDescent="0.3">
      <c r="A255" s="20" t="s">
        <v>2975</v>
      </c>
      <c r="B255" s="20" t="s">
        <v>64</v>
      </c>
      <c r="C255" s="20" t="s">
        <v>66</v>
      </c>
      <c r="D255" s="20">
        <v>4</v>
      </c>
      <c r="E255" s="20">
        <v>1</v>
      </c>
      <c r="F255" s="20" t="s">
        <v>3116</v>
      </c>
      <c r="G255" s="20">
        <v>-0.63</v>
      </c>
      <c r="H255" s="20"/>
      <c r="I255" s="20"/>
      <c r="J255" s="20"/>
    </row>
    <row r="256" spans="1:10" x14ac:dyDescent="0.3">
      <c r="A256" s="20" t="s">
        <v>2975</v>
      </c>
      <c r="B256" s="20" t="s">
        <v>913</v>
      </c>
      <c r="C256" s="20" t="s">
        <v>310</v>
      </c>
      <c r="D256" s="20">
        <v>4</v>
      </c>
      <c r="E256" s="20">
        <v>1</v>
      </c>
      <c r="F256" s="20" t="s">
        <v>3116</v>
      </c>
      <c r="G256" s="20">
        <v>-0.63</v>
      </c>
      <c r="H256" s="20"/>
      <c r="I256" s="20"/>
      <c r="J256" s="20"/>
    </row>
    <row r="257" spans="1:10" x14ac:dyDescent="0.3">
      <c r="A257" s="20" t="s">
        <v>2975</v>
      </c>
      <c r="B257" s="20" t="s">
        <v>939</v>
      </c>
      <c r="C257" s="20" t="s">
        <v>898</v>
      </c>
      <c r="D257" s="20">
        <v>4</v>
      </c>
      <c r="E257" s="20">
        <v>1</v>
      </c>
      <c r="F257" s="20" t="s">
        <v>3116</v>
      </c>
      <c r="G257" s="20">
        <v>-0.63</v>
      </c>
      <c r="H257" s="20"/>
      <c r="I257" s="20"/>
      <c r="J257" s="20"/>
    </row>
    <row r="258" spans="1:10" x14ac:dyDescent="0.3">
      <c r="A258" s="20" t="s">
        <v>2979</v>
      </c>
      <c r="B258" s="20" t="s">
        <v>550</v>
      </c>
      <c r="C258" s="20" t="s">
        <v>221</v>
      </c>
      <c r="D258" s="20">
        <v>5</v>
      </c>
      <c r="E258" s="20">
        <v>1</v>
      </c>
      <c r="F258" s="20" t="s">
        <v>3116</v>
      </c>
      <c r="G258" s="20">
        <v>-0.75</v>
      </c>
      <c r="H258" s="20"/>
      <c r="I258" s="20"/>
      <c r="J258" s="20"/>
    </row>
    <row r="259" spans="1:10" x14ac:dyDescent="0.3">
      <c r="A259" s="20" t="s">
        <v>2986</v>
      </c>
      <c r="B259" s="20" t="s">
        <v>889</v>
      </c>
      <c r="C259" s="20" t="s">
        <v>862</v>
      </c>
      <c r="D259" s="20">
        <v>5</v>
      </c>
      <c r="E259" s="20">
        <v>1</v>
      </c>
      <c r="F259" s="20" t="s">
        <v>3116</v>
      </c>
      <c r="G259" s="20">
        <v>-0.6</v>
      </c>
      <c r="H259" s="20"/>
      <c r="I259" s="20"/>
      <c r="J259" s="20"/>
    </row>
    <row r="260" spans="1:10" x14ac:dyDescent="0.3">
      <c r="A260" s="20" t="s">
        <v>2986</v>
      </c>
      <c r="B260" s="20" t="s">
        <v>951</v>
      </c>
      <c r="C260" s="20" t="s">
        <v>898</v>
      </c>
      <c r="D260" s="20">
        <v>5</v>
      </c>
      <c r="E260" s="20">
        <v>1</v>
      </c>
      <c r="F260" s="20" t="s">
        <v>3116</v>
      </c>
      <c r="G260" s="20">
        <v>-0.6</v>
      </c>
      <c r="H260" s="20"/>
      <c r="I260" s="20"/>
      <c r="J260" s="20"/>
    </row>
    <row r="261" spans="1:10" x14ac:dyDescent="0.3">
      <c r="A261" s="20" t="s">
        <v>2987</v>
      </c>
      <c r="B261" s="20" t="s">
        <v>114</v>
      </c>
      <c r="C261" s="20" t="s">
        <v>111</v>
      </c>
      <c r="D261" s="20">
        <v>5</v>
      </c>
      <c r="E261" s="20">
        <v>1</v>
      </c>
      <c r="F261" s="20" t="s">
        <v>3116</v>
      </c>
      <c r="G261" s="20">
        <v>-0.48</v>
      </c>
      <c r="H261" s="20"/>
      <c r="I261" s="20"/>
      <c r="J261" s="20"/>
    </row>
    <row r="262" spans="1:10" x14ac:dyDescent="0.3">
      <c r="A262" s="20" t="s">
        <v>2989</v>
      </c>
      <c r="B262" s="20" t="s">
        <v>69</v>
      </c>
      <c r="C262" s="20" t="s">
        <v>71</v>
      </c>
      <c r="D262" s="20">
        <v>3</v>
      </c>
      <c r="E262" s="20">
        <v>2</v>
      </c>
      <c r="F262" s="20" t="s">
        <v>3116</v>
      </c>
      <c r="G262" s="20">
        <v>-2.63</v>
      </c>
      <c r="H262" s="20"/>
      <c r="I262" s="20"/>
      <c r="J262" s="20"/>
    </row>
    <row r="263" spans="1:10" x14ac:dyDescent="0.3">
      <c r="A263" s="20" t="s">
        <v>2989</v>
      </c>
      <c r="B263" s="20" t="s">
        <v>470</v>
      </c>
      <c r="C263" s="20" t="s">
        <v>467</v>
      </c>
      <c r="D263" s="20">
        <v>3</v>
      </c>
      <c r="E263" s="20">
        <v>1</v>
      </c>
      <c r="F263" s="20" t="s">
        <v>3116</v>
      </c>
      <c r="G263" s="20">
        <v>-2.63</v>
      </c>
      <c r="H263" s="20"/>
      <c r="I263" s="20"/>
      <c r="J263" s="20"/>
    </row>
    <row r="264" spans="1:10" x14ac:dyDescent="0.3">
      <c r="A264" s="20" t="s">
        <v>2989</v>
      </c>
      <c r="B264" s="20" t="s">
        <v>519</v>
      </c>
      <c r="C264" s="20" t="s">
        <v>514</v>
      </c>
      <c r="D264" s="20">
        <v>3</v>
      </c>
      <c r="E264" s="20">
        <v>1</v>
      </c>
      <c r="F264" s="20" t="s">
        <v>3116</v>
      </c>
      <c r="G264" s="20">
        <v>-2.63</v>
      </c>
      <c r="H264" s="20"/>
      <c r="I264" s="20"/>
      <c r="J264" s="20"/>
    </row>
    <row r="265" spans="1:10" x14ac:dyDescent="0.3">
      <c r="A265" s="20" t="s">
        <v>2989</v>
      </c>
      <c r="B265" s="20" t="s">
        <v>889</v>
      </c>
      <c r="C265" s="20" t="s">
        <v>862</v>
      </c>
      <c r="D265" s="20">
        <v>3</v>
      </c>
      <c r="E265" s="20">
        <v>1</v>
      </c>
      <c r="F265" s="20" t="s">
        <v>3116</v>
      </c>
      <c r="G265" s="20">
        <v>-2.63</v>
      </c>
      <c r="H265" s="20"/>
      <c r="I265" s="20"/>
      <c r="J265" s="20"/>
    </row>
    <row r="266" spans="1:10" x14ac:dyDescent="0.3">
      <c r="A266" s="20" t="s">
        <v>2990</v>
      </c>
      <c r="B266" s="20" t="s">
        <v>903</v>
      </c>
      <c r="C266" s="20" t="s">
        <v>898</v>
      </c>
      <c r="D266" s="20">
        <v>5</v>
      </c>
      <c r="E266" s="20">
        <v>1</v>
      </c>
      <c r="F266" s="20" t="s">
        <v>3116</v>
      </c>
      <c r="G266" s="20">
        <v>-1.48</v>
      </c>
      <c r="H266" s="20"/>
      <c r="I266" s="20"/>
      <c r="J266" s="20"/>
    </row>
    <row r="267" spans="1:10" x14ac:dyDescent="0.3">
      <c r="A267" s="20" t="s">
        <v>2996</v>
      </c>
      <c r="B267" s="20" t="s">
        <v>73</v>
      </c>
      <c r="C267" s="20" t="s">
        <v>71</v>
      </c>
      <c r="D267" s="20">
        <v>1</v>
      </c>
      <c r="E267" s="20">
        <v>2</v>
      </c>
      <c r="F267" s="20" t="s">
        <v>3116</v>
      </c>
      <c r="G267" s="20">
        <v>-1.59</v>
      </c>
      <c r="H267" s="20"/>
      <c r="I267" s="20"/>
      <c r="J267" s="20"/>
    </row>
    <row r="268" spans="1:10" x14ac:dyDescent="0.3">
      <c r="A268" s="20" t="s">
        <v>2996</v>
      </c>
      <c r="B268" s="20" t="s">
        <v>963</v>
      </c>
      <c r="C268" s="20" t="s">
        <v>957</v>
      </c>
      <c r="D268" s="20">
        <v>1</v>
      </c>
      <c r="E268" s="20">
        <v>1</v>
      </c>
      <c r="F268" s="20" t="s">
        <v>3116</v>
      </c>
      <c r="G268" s="20">
        <v>-1.59</v>
      </c>
      <c r="H268" s="20"/>
      <c r="I268" s="20"/>
      <c r="J268" s="20"/>
    </row>
    <row r="269" spans="1:10" x14ac:dyDescent="0.3">
      <c r="A269" s="20" t="s">
        <v>2997</v>
      </c>
      <c r="B269" s="20" t="s">
        <v>202</v>
      </c>
      <c r="C269" s="20" t="s">
        <v>200</v>
      </c>
      <c r="D269" s="20">
        <v>2</v>
      </c>
      <c r="E269" s="20">
        <v>1</v>
      </c>
      <c r="F269" s="20" t="s">
        <v>3116</v>
      </c>
      <c r="G269" s="20">
        <v>-1.5</v>
      </c>
      <c r="H269" s="20"/>
      <c r="I269" s="20"/>
      <c r="J269" s="20"/>
    </row>
    <row r="270" spans="1:10" x14ac:dyDescent="0.3">
      <c r="A270" s="20" t="s">
        <v>2997</v>
      </c>
      <c r="B270" s="20" t="s">
        <v>682</v>
      </c>
      <c r="C270" s="20" t="s">
        <v>122</v>
      </c>
      <c r="D270" s="20">
        <v>2</v>
      </c>
      <c r="E270" s="20">
        <v>1</v>
      </c>
      <c r="F270" s="20" t="s">
        <v>3116</v>
      </c>
      <c r="G270" s="20">
        <v>-1.5</v>
      </c>
      <c r="H270" s="20"/>
      <c r="I270" s="20"/>
      <c r="J270" s="20"/>
    </row>
    <row r="271" spans="1:10" x14ac:dyDescent="0.3">
      <c r="A271" s="20" t="s">
        <v>3000</v>
      </c>
      <c r="B271" s="20" t="s">
        <v>501</v>
      </c>
      <c r="C271" s="20" t="s">
        <v>494</v>
      </c>
      <c r="D271" s="20">
        <v>4</v>
      </c>
      <c r="E271" s="20">
        <v>1</v>
      </c>
      <c r="F271" s="20" t="s">
        <v>3116</v>
      </c>
      <c r="G271" s="20">
        <v>-0.34</v>
      </c>
      <c r="H271" s="20"/>
      <c r="I271" s="20"/>
      <c r="J271" s="20"/>
    </row>
    <row r="272" spans="1:10" x14ac:dyDescent="0.3">
      <c r="A272" s="20" t="s">
        <v>3000</v>
      </c>
      <c r="B272" s="20" t="s">
        <v>777</v>
      </c>
      <c r="C272" s="20" t="s">
        <v>607</v>
      </c>
      <c r="D272" s="20">
        <v>4</v>
      </c>
      <c r="E272" s="20">
        <v>1</v>
      </c>
      <c r="F272" s="20" t="s">
        <v>3116</v>
      </c>
      <c r="G272" s="20">
        <v>-0.34</v>
      </c>
      <c r="H272" s="20"/>
      <c r="I272" s="20"/>
      <c r="J272" s="20"/>
    </row>
    <row r="273" spans="1:10" x14ac:dyDescent="0.3">
      <c r="A273" s="20" t="s">
        <v>3000</v>
      </c>
      <c r="B273" s="20" t="s">
        <v>889</v>
      </c>
      <c r="C273" s="20" t="s">
        <v>862</v>
      </c>
      <c r="D273" s="20">
        <v>4</v>
      </c>
      <c r="E273" s="20">
        <v>2</v>
      </c>
      <c r="F273" s="20" t="s">
        <v>3116</v>
      </c>
      <c r="G273" s="20">
        <v>-0.34</v>
      </c>
      <c r="H273" s="20"/>
      <c r="I273" s="20"/>
      <c r="J273" s="20"/>
    </row>
    <row r="274" spans="1:10" x14ac:dyDescent="0.3">
      <c r="A274" s="20" t="s">
        <v>3002</v>
      </c>
      <c r="B274" s="20" t="s">
        <v>370</v>
      </c>
      <c r="C274" s="20" t="s">
        <v>372</v>
      </c>
      <c r="D274" s="20">
        <v>5</v>
      </c>
      <c r="E274" s="20">
        <v>1</v>
      </c>
      <c r="F274" s="20" t="s">
        <v>3123</v>
      </c>
      <c r="G274" s="20">
        <v>0.25</v>
      </c>
      <c r="H274" s="20"/>
      <c r="I274" s="20"/>
      <c r="J274" s="20"/>
    </row>
    <row r="275" spans="1:10" x14ac:dyDescent="0.3">
      <c r="A275" s="20" t="s">
        <v>3002</v>
      </c>
      <c r="B275" s="20" t="s">
        <v>963</v>
      </c>
      <c r="C275" s="20" t="s">
        <v>957</v>
      </c>
      <c r="D275" s="20">
        <v>5</v>
      </c>
      <c r="E275" s="20">
        <v>2</v>
      </c>
      <c r="F275" s="20" t="s">
        <v>3123</v>
      </c>
      <c r="G275" s="20">
        <v>0.25</v>
      </c>
      <c r="H275" s="20"/>
      <c r="I275" s="20"/>
      <c r="J275" s="20"/>
    </row>
    <row r="276" spans="1:10" x14ac:dyDescent="0.3">
      <c r="A276" s="20" t="s">
        <v>3005</v>
      </c>
      <c r="B276" s="20" t="s">
        <v>90</v>
      </c>
      <c r="C276" s="20" t="s">
        <v>89</v>
      </c>
      <c r="D276" s="20">
        <v>5</v>
      </c>
      <c r="E276" s="20">
        <v>1</v>
      </c>
      <c r="F276" s="20" t="s">
        <v>3116</v>
      </c>
      <c r="G276" s="20">
        <v>-0.62</v>
      </c>
      <c r="H276" s="20"/>
      <c r="I276" s="20"/>
      <c r="J276" s="20"/>
    </row>
    <row r="277" spans="1:10" x14ac:dyDescent="0.3">
      <c r="A277" s="20" t="s">
        <v>3007</v>
      </c>
      <c r="B277" s="20" t="s">
        <v>57</v>
      </c>
      <c r="C277" s="20" t="s">
        <v>59</v>
      </c>
      <c r="D277" s="20">
        <v>4</v>
      </c>
      <c r="E277" s="20">
        <v>1</v>
      </c>
      <c r="F277" s="20" t="s">
        <v>3116</v>
      </c>
      <c r="G277" s="20">
        <v>-0.54</v>
      </c>
      <c r="H277" s="20"/>
      <c r="I277" s="20"/>
      <c r="J277" s="20"/>
    </row>
    <row r="278" spans="1:10" x14ac:dyDescent="0.3">
      <c r="A278" s="20" t="s">
        <v>3009</v>
      </c>
      <c r="B278" s="20" t="s">
        <v>45</v>
      </c>
      <c r="C278" s="20" t="s">
        <v>46</v>
      </c>
      <c r="D278" s="20">
        <v>2</v>
      </c>
      <c r="E278" s="20">
        <v>2</v>
      </c>
      <c r="F278" s="20" t="s">
        <v>3116</v>
      </c>
      <c r="G278" s="20">
        <v>-4.55</v>
      </c>
      <c r="H278" s="20"/>
      <c r="I278" s="20"/>
      <c r="J278" s="20"/>
    </row>
    <row r="279" spans="1:10" x14ac:dyDescent="0.3">
      <c r="A279" s="20" t="s">
        <v>3009</v>
      </c>
      <c r="B279" s="20" t="s">
        <v>114</v>
      </c>
      <c r="C279" s="20" t="s">
        <v>111</v>
      </c>
      <c r="D279" s="20">
        <v>2</v>
      </c>
      <c r="E279" s="20">
        <v>1</v>
      </c>
      <c r="F279" s="20" t="s">
        <v>3116</v>
      </c>
      <c r="G279" s="20">
        <v>-4.55</v>
      </c>
      <c r="H279" s="20"/>
      <c r="I279" s="20"/>
      <c r="J279" s="20"/>
    </row>
    <row r="280" spans="1:10" x14ac:dyDescent="0.3">
      <c r="A280" s="20" t="s">
        <v>3009</v>
      </c>
      <c r="B280" s="20" t="s">
        <v>748</v>
      </c>
      <c r="C280" s="20" t="s">
        <v>750</v>
      </c>
      <c r="D280" s="20">
        <v>2</v>
      </c>
      <c r="E280" s="20">
        <v>1</v>
      </c>
      <c r="F280" s="20" t="s">
        <v>3116</v>
      </c>
      <c r="G280" s="20">
        <v>-4.55</v>
      </c>
      <c r="H280" s="20"/>
      <c r="I280" s="20"/>
      <c r="J280" s="20"/>
    </row>
    <row r="281" spans="1:10" x14ac:dyDescent="0.3">
      <c r="A281" s="20" t="s">
        <v>3010</v>
      </c>
      <c r="B281" s="20" t="s">
        <v>92</v>
      </c>
      <c r="C281" s="20" t="s">
        <v>89</v>
      </c>
      <c r="D281" s="20">
        <v>2</v>
      </c>
      <c r="E281" s="20">
        <v>2</v>
      </c>
      <c r="F281" s="20" t="s">
        <v>3116</v>
      </c>
      <c r="G281" s="20">
        <v>-7.48</v>
      </c>
      <c r="H281" s="20"/>
      <c r="I281" s="20"/>
      <c r="J281" s="20"/>
    </row>
    <row r="282" spans="1:10" x14ac:dyDescent="0.3">
      <c r="A282" s="20" t="s">
        <v>3010</v>
      </c>
      <c r="B282" s="20" t="s">
        <v>233</v>
      </c>
      <c r="C282" s="20" t="s">
        <v>230</v>
      </c>
      <c r="D282" s="20">
        <v>2</v>
      </c>
      <c r="E282" s="20">
        <v>1</v>
      </c>
      <c r="F282" s="20" t="s">
        <v>3116</v>
      </c>
      <c r="G282" s="20">
        <v>-7.48</v>
      </c>
      <c r="H282" s="20"/>
      <c r="I282" s="20"/>
      <c r="J282" s="20"/>
    </row>
    <row r="283" spans="1:10" x14ac:dyDescent="0.3">
      <c r="A283" s="20" t="s">
        <v>3010</v>
      </c>
      <c r="B283" s="20" t="s">
        <v>621</v>
      </c>
      <c r="C283" s="20" t="s">
        <v>623</v>
      </c>
      <c r="D283" s="20">
        <v>2</v>
      </c>
      <c r="E283" s="20">
        <v>1</v>
      </c>
      <c r="F283" s="20" t="s">
        <v>3116</v>
      </c>
      <c r="G283" s="20">
        <v>-7.48</v>
      </c>
      <c r="H283" s="20"/>
      <c r="I283" s="20"/>
      <c r="J283" s="20"/>
    </row>
    <row r="284" spans="1:10" x14ac:dyDescent="0.3">
      <c r="A284" s="20" t="s">
        <v>3012</v>
      </c>
      <c r="B284" s="20" t="s">
        <v>114</v>
      </c>
      <c r="C284" s="20" t="s">
        <v>111</v>
      </c>
      <c r="D284" s="20">
        <v>5</v>
      </c>
      <c r="E284" s="20">
        <v>1</v>
      </c>
      <c r="F284" s="20" t="s">
        <v>3123</v>
      </c>
      <c r="G284" s="20">
        <v>0.5</v>
      </c>
      <c r="H284" s="20"/>
      <c r="I284" s="20"/>
      <c r="J284" s="20"/>
    </row>
    <row r="285" spans="1:10" x14ac:dyDescent="0.3">
      <c r="A285" s="20" t="s">
        <v>3016</v>
      </c>
      <c r="B285" s="20" t="s">
        <v>603</v>
      </c>
      <c r="C285" s="20" t="s">
        <v>600</v>
      </c>
      <c r="D285" s="20">
        <v>2</v>
      </c>
      <c r="E285" s="20">
        <v>1</v>
      </c>
      <c r="F285" s="20" t="s">
        <v>3116</v>
      </c>
      <c r="G285" s="20">
        <v>-4.3600000000000003</v>
      </c>
      <c r="H285" s="20"/>
      <c r="I285" s="20"/>
      <c r="J285" s="20"/>
    </row>
    <row r="286" spans="1:10" x14ac:dyDescent="0.3">
      <c r="A286" s="20" t="s">
        <v>3018</v>
      </c>
      <c r="B286" s="20" t="s">
        <v>596</v>
      </c>
      <c r="C286" s="20" t="s">
        <v>587</v>
      </c>
      <c r="D286" s="20">
        <v>5</v>
      </c>
      <c r="E286" s="20">
        <v>1</v>
      </c>
      <c r="F286" s="20" t="s">
        <v>3116</v>
      </c>
      <c r="G286" s="20">
        <v>-0.41</v>
      </c>
      <c r="H286" s="20"/>
      <c r="I286" s="20"/>
      <c r="J286" s="20"/>
    </row>
    <row r="287" spans="1:10" x14ac:dyDescent="0.3">
      <c r="A287" s="20" t="s">
        <v>3018</v>
      </c>
      <c r="B287" s="20" t="s">
        <v>927</v>
      </c>
      <c r="C287" s="20" t="s">
        <v>898</v>
      </c>
      <c r="D287" s="20">
        <v>5</v>
      </c>
      <c r="E287" s="20">
        <v>1</v>
      </c>
      <c r="F287" s="20" t="s">
        <v>3116</v>
      </c>
      <c r="G287" s="20">
        <v>-0.41</v>
      </c>
      <c r="H287" s="20"/>
      <c r="I287" s="20"/>
      <c r="J287" s="20"/>
    </row>
    <row r="288" spans="1:10" x14ac:dyDescent="0.3">
      <c r="A288" s="20" t="s">
        <v>3018</v>
      </c>
      <c r="B288" s="20" t="s">
        <v>953</v>
      </c>
      <c r="C288" s="20" t="s">
        <v>898</v>
      </c>
      <c r="D288" s="20">
        <v>5</v>
      </c>
      <c r="E288" s="20">
        <v>1</v>
      </c>
      <c r="F288" s="20" t="s">
        <v>3116</v>
      </c>
      <c r="G288" s="20">
        <v>-0.41</v>
      </c>
      <c r="H288" s="20"/>
      <c r="I288" s="20"/>
      <c r="J288" s="20"/>
    </row>
    <row r="289" spans="1:10" x14ac:dyDescent="0.3">
      <c r="A289" s="20" t="s">
        <v>3019</v>
      </c>
      <c r="B289" s="20" t="s">
        <v>90</v>
      </c>
      <c r="C289" s="20" t="s">
        <v>89</v>
      </c>
      <c r="D289" s="20">
        <v>2</v>
      </c>
      <c r="E289" s="20">
        <v>1</v>
      </c>
      <c r="F289" s="20" t="s">
        <v>3116</v>
      </c>
      <c r="G289" s="20">
        <v>-5.68</v>
      </c>
      <c r="H289" s="20"/>
      <c r="I289" s="20"/>
      <c r="J289" s="20"/>
    </row>
    <row r="290" spans="1:10" x14ac:dyDescent="0.3">
      <c r="A290" s="20" t="s">
        <v>3019</v>
      </c>
      <c r="B290" s="20" t="s">
        <v>856</v>
      </c>
      <c r="C290" s="20" t="s">
        <v>837</v>
      </c>
      <c r="D290" s="20">
        <v>2</v>
      </c>
      <c r="E290" s="20">
        <v>2</v>
      </c>
      <c r="F290" s="20" t="s">
        <v>3116</v>
      </c>
      <c r="G290" s="20">
        <v>-5.68</v>
      </c>
      <c r="H290" s="20"/>
      <c r="I290" s="20"/>
      <c r="J290" s="20"/>
    </row>
    <row r="291" spans="1:10" x14ac:dyDescent="0.3">
      <c r="A291" s="20" t="s">
        <v>3019</v>
      </c>
      <c r="B291" s="20" t="s">
        <v>958</v>
      </c>
      <c r="C291" s="20" t="s">
        <v>957</v>
      </c>
      <c r="D291" s="20">
        <v>2</v>
      </c>
      <c r="E291" s="20">
        <v>1</v>
      </c>
      <c r="F291" s="20" t="s">
        <v>3116</v>
      </c>
      <c r="G291" s="20">
        <v>-5.68</v>
      </c>
      <c r="H291" s="20"/>
      <c r="I291" s="20"/>
      <c r="J291" s="20"/>
    </row>
    <row r="292" spans="1:10" x14ac:dyDescent="0.3">
      <c r="A292" s="20" t="s">
        <v>3021</v>
      </c>
      <c r="B292" s="20" t="s">
        <v>92</v>
      </c>
      <c r="C292" s="20" t="s">
        <v>89</v>
      </c>
      <c r="D292" s="20">
        <v>4</v>
      </c>
      <c r="E292" s="20">
        <v>1</v>
      </c>
      <c r="F292" s="20" t="s">
        <v>3116</v>
      </c>
      <c r="G292" s="20">
        <v>-0.56000000000000005</v>
      </c>
      <c r="H292" s="20"/>
      <c r="I292" s="20"/>
      <c r="J292" s="20"/>
    </row>
    <row r="293" spans="1:10" x14ac:dyDescent="0.3">
      <c r="A293" s="20" t="s">
        <v>3021</v>
      </c>
      <c r="B293" s="20" t="s">
        <v>889</v>
      </c>
      <c r="C293" s="20" t="s">
        <v>862</v>
      </c>
      <c r="D293" s="20">
        <v>4</v>
      </c>
      <c r="E293" s="20">
        <v>1</v>
      </c>
      <c r="F293" s="20" t="s">
        <v>3116</v>
      </c>
      <c r="G293" s="20">
        <v>-0.56000000000000005</v>
      </c>
      <c r="H293" s="20"/>
      <c r="I293" s="20"/>
      <c r="J293" s="20"/>
    </row>
    <row r="294" spans="1:10" x14ac:dyDescent="0.3">
      <c r="A294" s="20" t="s">
        <v>3023</v>
      </c>
      <c r="B294" s="20" t="s">
        <v>57</v>
      </c>
      <c r="C294" s="20" t="s">
        <v>59</v>
      </c>
      <c r="D294" s="20">
        <v>4</v>
      </c>
      <c r="E294" s="20">
        <v>1</v>
      </c>
      <c r="F294" s="20" t="s">
        <v>3116</v>
      </c>
      <c r="G294" s="20">
        <v>-0.39</v>
      </c>
      <c r="H294" s="20"/>
      <c r="I294" s="20"/>
      <c r="J294" s="20"/>
    </row>
    <row r="295" spans="1:10" x14ac:dyDescent="0.3">
      <c r="A295" s="20" t="s">
        <v>3023</v>
      </c>
      <c r="B295" s="20" t="s">
        <v>746</v>
      </c>
      <c r="C295" s="20" t="s">
        <v>697</v>
      </c>
      <c r="D295" s="20">
        <v>4</v>
      </c>
      <c r="E295" s="20">
        <v>1</v>
      </c>
      <c r="F295" s="20" t="s">
        <v>3116</v>
      </c>
      <c r="G295" s="20">
        <v>-0.39</v>
      </c>
      <c r="H295" s="20"/>
      <c r="I295" s="20"/>
      <c r="J295" s="20"/>
    </row>
    <row r="296" spans="1:10" x14ac:dyDescent="0.3">
      <c r="A296" s="20" t="s">
        <v>3025</v>
      </c>
      <c r="B296" s="20" t="s">
        <v>507</v>
      </c>
      <c r="C296" s="20" t="s">
        <v>494</v>
      </c>
      <c r="D296" s="20">
        <v>4</v>
      </c>
      <c r="E296" s="20">
        <v>1</v>
      </c>
      <c r="F296" s="20" t="s">
        <v>3123</v>
      </c>
      <c r="G296" s="20">
        <v>0.28999999999999998</v>
      </c>
      <c r="H296" s="20"/>
      <c r="I296" s="20"/>
      <c r="J296" s="20"/>
    </row>
    <row r="297" spans="1:10" x14ac:dyDescent="0.3">
      <c r="A297" s="20" t="s">
        <v>3025</v>
      </c>
      <c r="B297" s="20" t="s">
        <v>542</v>
      </c>
      <c r="C297" s="20" t="s">
        <v>539</v>
      </c>
      <c r="D297" s="20">
        <v>4</v>
      </c>
      <c r="E297" s="20">
        <v>1</v>
      </c>
      <c r="F297" s="20" t="s">
        <v>3123</v>
      </c>
      <c r="G297" s="20">
        <v>0.28999999999999998</v>
      </c>
      <c r="H297" s="20"/>
      <c r="I297" s="20"/>
      <c r="J297" s="20"/>
    </row>
    <row r="298" spans="1:10" x14ac:dyDescent="0.3">
      <c r="A298" s="20" t="s">
        <v>3026</v>
      </c>
      <c r="B298" s="20" t="s">
        <v>501</v>
      </c>
      <c r="C298" s="20" t="s">
        <v>494</v>
      </c>
      <c r="D298" s="20">
        <v>4</v>
      </c>
      <c r="E298" s="20">
        <v>2</v>
      </c>
      <c r="F298" s="20" t="s">
        <v>3116</v>
      </c>
      <c r="G298" s="20">
        <v>-0.74</v>
      </c>
      <c r="H298" s="20"/>
      <c r="I298" s="20"/>
      <c r="J298" s="20"/>
    </row>
    <row r="299" spans="1:10" x14ac:dyDescent="0.3">
      <c r="A299" s="20" t="s">
        <v>3026</v>
      </c>
      <c r="B299" s="20" t="s">
        <v>996</v>
      </c>
      <c r="C299" s="20" t="s">
        <v>310</v>
      </c>
      <c r="D299" s="20">
        <v>4</v>
      </c>
      <c r="E299" s="20">
        <v>1</v>
      </c>
      <c r="F299" s="20" t="s">
        <v>3116</v>
      </c>
      <c r="G299" s="20">
        <v>-0.74</v>
      </c>
      <c r="H299" s="20"/>
      <c r="I299" s="20"/>
      <c r="J299" s="20"/>
    </row>
    <row r="300" spans="1:10" x14ac:dyDescent="0.3">
      <c r="A300" s="20" t="s">
        <v>3027</v>
      </c>
      <c r="B300" s="20" t="s">
        <v>114</v>
      </c>
      <c r="C300" s="20" t="s">
        <v>111</v>
      </c>
      <c r="D300" s="20">
        <v>2</v>
      </c>
      <c r="E300" s="20">
        <v>1</v>
      </c>
      <c r="F300" s="20" t="s">
        <v>3116</v>
      </c>
      <c r="G300" s="20">
        <v>-4.4000000000000004</v>
      </c>
      <c r="H300" s="20"/>
      <c r="I300" s="20"/>
      <c r="J300" s="20"/>
    </row>
    <row r="301" spans="1:10" x14ac:dyDescent="0.3">
      <c r="A301" s="20" t="s">
        <v>3030</v>
      </c>
      <c r="B301" s="20" t="s">
        <v>907</v>
      </c>
      <c r="C301" s="20" t="s">
        <v>898</v>
      </c>
      <c r="D301" s="20">
        <v>2</v>
      </c>
      <c r="E301" s="20">
        <v>1</v>
      </c>
      <c r="F301" s="20" t="s">
        <v>3116</v>
      </c>
      <c r="G301" s="20">
        <v>-1.45</v>
      </c>
      <c r="H301" s="20"/>
      <c r="I301" s="20"/>
      <c r="J301" s="20"/>
    </row>
    <row r="302" spans="1:10" x14ac:dyDescent="0.3">
      <c r="A302" s="20" t="s">
        <v>3031</v>
      </c>
      <c r="B302" s="20" t="s">
        <v>887</v>
      </c>
      <c r="C302" s="20" t="s">
        <v>862</v>
      </c>
      <c r="D302" s="20">
        <v>3</v>
      </c>
      <c r="E302" s="20">
        <v>1</v>
      </c>
      <c r="F302" s="20" t="s">
        <v>3116</v>
      </c>
      <c r="G302" s="20">
        <v>-0.48</v>
      </c>
      <c r="H302" s="20"/>
      <c r="I302" s="20"/>
      <c r="J302" s="20"/>
    </row>
    <row r="303" spans="1:10" x14ac:dyDescent="0.3">
      <c r="A303" s="20" t="s">
        <v>3032</v>
      </c>
      <c r="B303" s="20" t="s">
        <v>171</v>
      </c>
      <c r="C303" s="20" t="s">
        <v>168</v>
      </c>
      <c r="D303" s="20">
        <v>2</v>
      </c>
      <c r="E303" s="20">
        <v>1</v>
      </c>
      <c r="F303" s="20" t="s">
        <v>3116</v>
      </c>
      <c r="G303" s="20">
        <v>-2.73</v>
      </c>
      <c r="H303" s="20"/>
      <c r="I303" s="20"/>
      <c r="J303" s="20"/>
    </row>
    <row r="304" spans="1:10" x14ac:dyDescent="0.3">
      <c r="A304" s="20" t="s">
        <v>3032</v>
      </c>
      <c r="B304" s="20" t="s">
        <v>843</v>
      </c>
      <c r="C304" s="20" t="s">
        <v>837</v>
      </c>
      <c r="D304" s="20">
        <v>2</v>
      </c>
      <c r="E304" s="20">
        <v>1</v>
      </c>
      <c r="F304" s="20" t="s">
        <v>3116</v>
      </c>
      <c r="G304" s="20">
        <v>-2.73</v>
      </c>
      <c r="H304" s="20"/>
      <c r="I304" s="20"/>
      <c r="J304" s="20"/>
    </row>
    <row r="305" spans="1:10" x14ac:dyDescent="0.3">
      <c r="A305" s="20" t="s">
        <v>3032</v>
      </c>
      <c r="B305" s="20" t="s">
        <v>889</v>
      </c>
      <c r="C305" s="20" t="s">
        <v>862</v>
      </c>
      <c r="D305" s="20">
        <v>2</v>
      </c>
      <c r="E305" s="20">
        <v>1</v>
      </c>
      <c r="F305" s="20" t="s">
        <v>3116</v>
      </c>
      <c r="G305" s="20">
        <v>-2.73</v>
      </c>
      <c r="H305" s="20"/>
      <c r="I305" s="20"/>
      <c r="J305" s="20"/>
    </row>
    <row r="306" spans="1:10" x14ac:dyDescent="0.3">
      <c r="A306" s="20" t="s">
        <v>3033</v>
      </c>
      <c r="B306" s="20" t="s">
        <v>889</v>
      </c>
      <c r="C306" s="20" t="s">
        <v>862</v>
      </c>
      <c r="D306" s="20">
        <v>5</v>
      </c>
      <c r="E306" s="20">
        <v>1</v>
      </c>
      <c r="F306" s="20" t="s">
        <v>3116</v>
      </c>
      <c r="G306" s="20">
        <v>-0.66</v>
      </c>
      <c r="H306" s="20"/>
      <c r="I306" s="20"/>
      <c r="J306" s="20"/>
    </row>
    <row r="307" spans="1:10" x14ac:dyDescent="0.3">
      <c r="A307" s="20" t="s">
        <v>3038</v>
      </c>
      <c r="B307" s="20" t="s">
        <v>57</v>
      </c>
      <c r="C307" s="20" t="s">
        <v>59</v>
      </c>
      <c r="D307" s="20">
        <v>4</v>
      </c>
      <c r="E307" s="20">
        <v>1</v>
      </c>
      <c r="F307" s="20" t="s">
        <v>3123</v>
      </c>
      <c r="G307" s="20">
        <v>0.55000000000000004</v>
      </c>
      <c r="H307" s="20"/>
      <c r="I307" s="20"/>
      <c r="J307" s="20"/>
    </row>
    <row r="308" spans="1:10" x14ac:dyDescent="0.3">
      <c r="A308" s="20" t="s">
        <v>3038</v>
      </c>
      <c r="B308" s="20" t="s">
        <v>917</v>
      </c>
      <c r="C308" s="20" t="s">
        <v>862</v>
      </c>
      <c r="D308" s="20">
        <v>4</v>
      </c>
      <c r="E308" s="20">
        <v>1</v>
      </c>
      <c r="F308" s="20" t="s">
        <v>3123</v>
      </c>
      <c r="G308" s="20">
        <v>0.55000000000000004</v>
      </c>
      <c r="H308" s="20"/>
      <c r="I308" s="20"/>
      <c r="J308" s="20"/>
    </row>
    <row r="309" spans="1:10" x14ac:dyDescent="0.3">
      <c r="A309" s="20" t="s">
        <v>3039</v>
      </c>
      <c r="B309" s="20" t="s">
        <v>415</v>
      </c>
      <c r="C309" s="20" t="s">
        <v>412</v>
      </c>
      <c r="D309" s="20">
        <v>5</v>
      </c>
      <c r="E309" s="20">
        <v>1</v>
      </c>
      <c r="F309" s="20" t="s">
        <v>3123</v>
      </c>
      <c r="G309" s="20">
        <v>0.66</v>
      </c>
      <c r="H309" s="20"/>
      <c r="I309" s="20"/>
      <c r="J309" s="20"/>
    </row>
    <row r="310" spans="1:10" x14ac:dyDescent="0.3">
      <c r="A310" s="20" t="s">
        <v>3041</v>
      </c>
      <c r="B310" s="20" t="s">
        <v>709</v>
      </c>
      <c r="C310" s="20" t="s">
        <v>697</v>
      </c>
      <c r="D310" s="20">
        <v>4</v>
      </c>
      <c r="E310" s="20">
        <v>1</v>
      </c>
      <c r="F310" s="20" t="s">
        <v>3116</v>
      </c>
      <c r="G310" s="20">
        <v>-0.62</v>
      </c>
      <c r="H310" s="20"/>
      <c r="I310" s="20"/>
      <c r="J310" s="20"/>
    </row>
    <row r="311" spans="1:10" x14ac:dyDescent="0.3">
      <c r="A311" s="20" t="s">
        <v>3041</v>
      </c>
      <c r="B311" s="20" t="s">
        <v>847</v>
      </c>
      <c r="C311" s="20" t="s">
        <v>837</v>
      </c>
      <c r="D311" s="20">
        <v>4</v>
      </c>
      <c r="E311" s="20">
        <v>1</v>
      </c>
      <c r="F311" s="20" t="s">
        <v>3116</v>
      </c>
      <c r="G311" s="20">
        <v>-0.62</v>
      </c>
      <c r="H311" s="20"/>
      <c r="I311" s="20"/>
      <c r="J311" s="20"/>
    </row>
    <row r="312" spans="1:10" x14ac:dyDescent="0.3">
      <c r="A312" s="20" t="s">
        <v>3042</v>
      </c>
      <c r="B312" s="20" t="s">
        <v>921</v>
      </c>
      <c r="C312" s="20" t="s">
        <v>898</v>
      </c>
      <c r="D312" s="20">
        <v>2</v>
      </c>
      <c r="E312" s="20">
        <v>1</v>
      </c>
      <c r="F312" s="20" t="s">
        <v>3116</v>
      </c>
      <c r="G312" s="20">
        <v>-3.7</v>
      </c>
      <c r="H312" s="20"/>
      <c r="I312" s="20"/>
      <c r="J312" s="20"/>
    </row>
    <row r="313" spans="1:10" x14ac:dyDescent="0.3">
      <c r="A313" s="20" t="s">
        <v>3044</v>
      </c>
      <c r="B313" s="20" t="s">
        <v>548</v>
      </c>
      <c r="C313" s="20" t="s">
        <v>221</v>
      </c>
      <c r="D313" s="20">
        <v>5</v>
      </c>
      <c r="E313" s="20">
        <v>1</v>
      </c>
      <c r="F313" s="20" t="s">
        <v>3116</v>
      </c>
      <c r="G313" s="20">
        <v>-0.39</v>
      </c>
      <c r="H313" s="20"/>
      <c r="I313" s="20"/>
      <c r="J313" s="20"/>
    </row>
    <row r="314" spans="1:10" x14ac:dyDescent="0.3">
      <c r="A314" s="20" t="s">
        <v>3044</v>
      </c>
      <c r="B314" s="20" t="s">
        <v>764</v>
      </c>
      <c r="C314" s="20" t="s">
        <v>340</v>
      </c>
      <c r="D314" s="20">
        <v>5</v>
      </c>
      <c r="E314" s="20">
        <v>1</v>
      </c>
      <c r="F314" s="20" t="s">
        <v>3116</v>
      </c>
      <c r="G314" s="20">
        <v>-0.39</v>
      </c>
      <c r="H314" s="20"/>
      <c r="I314" s="20"/>
      <c r="J314" s="20"/>
    </row>
    <row r="315" spans="1:10" x14ac:dyDescent="0.3">
      <c r="A315" s="20" t="s">
        <v>3046</v>
      </c>
      <c r="B315" s="20" t="s">
        <v>937</v>
      </c>
      <c r="C315" s="20" t="s">
        <v>898</v>
      </c>
      <c r="D315" s="20">
        <v>5</v>
      </c>
      <c r="E315" s="20">
        <v>1</v>
      </c>
      <c r="F315" s="20" t="s">
        <v>3123</v>
      </c>
      <c r="G315" s="20">
        <v>0.64</v>
      </c>
      <c r="H315" s="20"/>
      <c r="I315" s="20"/>
      <c r="J315" s="20"/>
    </row>
    <row r="316" spans="1:10" x14ac:dyDescent="0.3">
      <c r="A316" s="20" t="s">
        <v>3047</v>
      </c>
      <c r="B316" s="20" t="s">
        <v>114</v>
      </c>
      <c r="C316" s="20" t="s">
        <v>111</v>
      </c>
      <c r="D316" s="20">
        <v>4</v>
      </c>
      <c r="E316" s="20">
        <v>1</v>
      </c>
      <c r="F316" s="20" t="s">
        <v>3123</v>
      </c>
      <c r="G316" s="20">
        <v>0.56000000000000005</v>
      </c>
      <c r="H316" s="20"/>
      <c r="I316" s="20"/>
      <c r="J316" s="20"/>
    </row>
    <row r="317" spans="1:10" x14ac:dyDescent="0.3">
      <c r="A317" s="20" t="s">
        <v>3048</v>
      </c>
      <c r="B317" s="20" t="s">
        <v>57</v>
      </c>
      <c r="C317" s="20" t="s">
        <v>59</v>
      </c>
      <c r="D317" s="20">
        <v>5</v>
      </c>
      <c r="E317" s="20">
        <v>1</v>
      </c>
      <c r="F317" s="20" t="s">
        <v>3116</v>
      </c>
      <c r="G317" s="20">
        <v>-0.4</v>
      </c>
      <c r="H317" s="20"/>
      <c r="I317" s="20"/>
      <c r="J317" s="20"/>
    </row>
    <row r="318" spans="1:10" x14ac:dyDescent="0.3">
      <c r="A318" s="20" t="s">
        <v>3048</v>
      </c>
      <c r="B318" s="20" t="s">
        <v>881</v>
      </c>
      <c r="C318" s="20" t="s">
        <v>862</v>
      </c>
      <c r="D318" s="20">
        <v>5</v>
      </c>
      <c r="E318" s="20">
        <v>1</v>
      </c>
      <c r="F318" s="20" t="s">
        <v>3116</v>
      </c>
      <c r="G318" s="20">
        <v>-0.4</v>
      </c>
      <c r="H318" s="20"/>
      <c r="I318" s="20"/>
      <c r="J318" s="20"/>
    </row>
    <row r="319" spans="1:10" x14ac:dyDescent="0.3">
      <c r="A319" s="20" t="s">
        <v>3057</v>
      </c>
      <c r="B319" s="20" t="s">
        <v>970</v>
      </c>
      <c r="C319" s="20" t="s">
        <v>957</v>
      </c>
      <c r="D319" s="20">
        <v>4</v>
      </c>
      <c r="E319" s="20">
        <v>1</v>
      </c>
      <c r="F319" s="20" t="s">
        <v>3123</v>
      </c>
      <c r="G319" s="20">
        <v>0.63</v>
      </c>
      <c r="H319" s="20"/>
      <c r="I319" s="20"/>
      <c r="J319" s="20"/>
    </row>
    <row r="320" spans="1:10" x14ac:dyDescent="0.3">
      <c r="A320" s="20" t="s">
        <v>3058</v>
      </c>
      <c r="B320" s="20" t="s">
        <v>322</v>
      </c>
      <c r="C320" s="20" t="s">
        <v>321</v>
      </c>
      <c r="D320" s="20">
        <v>2</v>
      </c>
      <c r="E320" s="20">
        <v>1</v>
      </c>
      <c r="F320" s="20" t="s">
        <v>3116</v>
      </c>
      <c r="G320" s="20">
        <v>-5.43</v>
      </c>
      <c r="H320" s="20"/>
      <c r="I320" s="20"/>
      <c r="J320" s="20"/>
    </row>
    <row r="321" spans="1:10" x14ac:dyDescent="0.3">
      <c r="A321" s="20" t="s">
        <v>3059</v>
      </c>
      <c r="B321" s="20" t="s">
        <v>151</v>
      </c>
      <c r="C321" s="20" t="s">
        <v>153</v>
      </c>
      <c r="D321" s="20">
        <v>4</v>
      </c>
      <c r="E321" s="20">
        <v>1</v>
      </c>
      <c r="F321" s="20" t="s">
        <v>3123</v>
      </c>
      <c r="G321" s="20">
        <v>0.39</v>
      </c>
      <c r="H321" s="20"/>
      <c r="I321" s="20"/>
      <c r="J321" s="20"/>
    </row>
    <row r="322" spans="1:10" x14ac:dyDescent="0.3">
      <c r="A322" s="20" t="s">
        <v>3059</v>
      </c>
      <c r="B322" s="20" t="s">
        <v>443</v>
      </c>
      <c r="C322" s="20" t="s">
        <v>434</v>
      </c>
      <c r="D322" s="20">
        <v>4</v>
      </c>
      <c r="E322" s="20">
        <v>1</v>
      </c>
      <c r="F322" s="20" t="s">
        <v>3123</v>
      </c>
      <c r="G322" s="20">
        <v>0.39</v>
      </c>
      <c r="H322" s="20"/>
      <c r="I322" s="20"/>
      <c r="J322" s="20"/>
    </row>
    <row r="323" spans="1:10" x14ac:dyDescent="0.3">
      <c r="A323" s="20" t="s">
        <v>3059</v>
      </c>
      <c r="B323" s="20" t="s">
        <v>707</v>
      </c>
      <c r="C323" s="20" t="s">
        <v>697</v>
      </c>
      <c r="D323" s="20">
        <v>4</v>
      </c>
      <c r="E323" s="20">
        <v>2</v>
      </c>
      <c r="F323" s="20" t="s">
        <v>3123</v>
      </c>
      <c r="G323" s="20">
        <v>0.39</v>
      </c>
      <c r="H323" s="20"/>
      <c r="I323" s="20"/>
      <c r="J323" s="20"/>
    </row>
    <row r="324" spans="1:10" x14ac:dyDescent="0.3">
      <c r="A324" s="20" t="s">
        <v>3059</v>
      </c>
      <c r="B324" s="20" t="s">
        <v>823</v>
      </c>
      <c r="C324" s="20" t="s">
        <v>133</v>
      </c>
      <c r="D324" s="20">
        <v>4</v>
      </c>
      <c r="E324" s="20">
        <v>1</v>
      </c>
      <c r="F324" s="20" t="s">
        <v>3123</v>
      </c>
      <c r="G324" s="20">
        <v>0.39</v>
      </c>
      <c r="H324" s="20"/>
      <c r="I324" s="20"/>
      <c r="J324" s="20"/>
    </row>
    <row r="325" spans="1:10" x14ac:dyDescent="0.3">
      <c r="A325" s="20" t="s">
        <v>3062</v>
      </c>
      <c r="B325" s="20" t="s">
        <v>432</v>
      </c>
      <c r="C325" s="20" t="s">
        <v>434</v>
      </c>
      <c r="D325" s="20">
        <v>3</v>
      </c>
      <c r="E325" s="20">
        <v>1</v>
      </c>
      <c r="F325" s="20" t="s">
        <v>3116</v>
      </c>
      <c r="G325" s="20">
        <v>-2.72</v>
      </c>
      <c r="H325" s="20"/>
      <c r="I325" s="20"/>
      <c r="J325" s="20"/>
    </row>
    <row r="326" spans="1:10" x14ac:dyDescent="0.3">
      <c r="A326" s="20" t="s">
        <v>3064</v>
      </c>
      <c r="B326" s="20" t="s">
        <v>245</v>
      </c>
      <c r="C326" s="20" t="s">
        <v>244</v>
      </c>
      <c r="D326" s="20">
        <v>2</v>
      </c>
      <c r="E326" s="20">
        <v>1</v>
      </c>
      <c r="F326" s="20" t="s">
        <v>3116</v>
      </c>
      <c r="G326" s="20">
        <v>-1.49</v>
      </c>
      <c r="H326" s="20"/>
      <c r="I326" s="20"/>
      <c r="J326" s="20"/>
    </row>
    <row r="327" spans="1:10" x14ac:dyDescent="0.3">
      <c r="A327" s="20" t="s">
        <v>3064</v>
      </c>
      <c r="B327" s="20" t="s">
        <v>718</v>
      </c>
      <c r="C327" s="20" t="s">
        <v>697</v>
      </c>
      <c r="D327" s="20">
        <v>2</v>
      </c>
      <c r="E327" s="20">
        <v>1</v>
      </c>
      <c r="F327" s="20" t="s">
        <v>3116</v>
      </c>
      <c r="G327" s="20">
        <v>-1.49</v>
      </c>
      <c r="H327" s="20"/>
      <c r="I327" s="20"/>
      <c r="J327" s="20"/>
    </row>
    <row r="328" spans="1:10" x14ac:dyDescent="0.3">
      <c r="A328" s="20" t="s">
        <v>3066</v>
      </c>
      <c r="B328" s="20" t="s">
        <v>260</v>
      </c>
      <c r="C328" s="20" t="s">
        <v>257</v>
      </c>
      <c r="D328" s="20">
        <v>5</v>
      </c>
      <c r="E328" s="20">
        <v>1</v>
      </c>
      <c r="F328" s="20" t="s">
        <v>3123</v>
      </c>
      <c r="G328" s="20">
        <v>0.38</v>
      </c>
      <c r="H328" s="20"/>
      <c r="I328" s="20"/>
      <c r="J328" s="20"/>
    </row>
    <row r="329" spans="1:10" x14ac:dyDescent="0.3">
      <c r="A329" s="20" t="s">
        <v>3067</v>
      </c>
      <c r="B329" s="20" t="s">
        <v>840</v>
      </c>
      <c r="C329" s="20" t="s">
        <v>837</v>
      </c>
      <c r="D329" s="20">
        <v>5</v>
      </c>
      <c r="E329" s="20">
        <v>1</v>
      </c>
      <c r="F329" s="20" t="s">
        <v>3116</v>
      </c>
      <c r="G329" s="20">
        <v>-0.74</v>
      </c>
      <c r="H329" s="20"/>
      <c r="I329" s="20"/>
      <c r="J329" s="20"/>
    </row>
    <row r="330" spans="1:10" x14ac:dyDescent="0.3">
      <c r="A330" s="20" t="s">
        <v>3067</v>
      </c>
      <c r="B330" s="20" t="s">
        <v>993</v>
      </c>
      <c r="C330" s="20" t="s">
        <v>982</v>
      </c>
      <c r="D330" s="20">
        <v>5</v>
      </c>
      <c r="E330" s="20">
        <v>1</v>
      </c>
      <c r="F330" s="20" t="s">
        <v>3116</v>
      </c>
      <c r="G330" s="20">
        <v>-0.74</v>
      </c>
      <c r="H330" s="20"/>
      <c r="I330" s="20"/>
      <c r="J330" s="20"/>
    </row>
    <row r="331" spans="1:10" x14ac:dyDescent="0.3">
      <c r="A331" s="20" t="s">
        <v>3069</v>
      </c>
      <c r="B331" s="20" t="s">
        <v>710</v>
      </c>
      <c r="C331" s="20" t="s">
        <v>697</v>
      </c>
      <c r="D331" s="20">
        <v>5</v>
      </c>
      <c r="E331" s="20">
        <v>2</v>
      </c>
      <c r="F331" s="20" t="s">
        <v>3116</v>
      </c>
      <c r="G331" s="20">
        <v>-0.67</v>
      </c>
      <c r="H331" s="20"/>
      <c r="I331" s="20"/>
      <c r="J331" s="20"/>
    </row>
    <row r="332" spans="1:10" x14ac:dyDescent="0.3">
      <c r="A332" s="20" t="s">
        <v>3069</v>
      </c>
      <c r="B332" s="20" t="s">
        <v>813</v>
      </c>
      <c r="C332" s="20" t="s">
        <v>787</v>
      </c>
      <c r="D332" s="20">
        <v>5</v>
      </c>
      <c r="E332" s="20">
        <v>1</v>
      </c>
      <c r="F332" s="20" t="s">
        <v>3116</v>
      </c>
      <c r="G332" s="20">
        <v>-0.67</v>
      </c>
      <c r="H332" s="20"/>
      <c r="I332" s="20"/>
      <c r="J332" s="20"/>
    </row>
    <row r="333" spans="1:10" x14ac:dyDescent="0.3">
      <c r="A333" s="20" t="s">
        <v>3069</v>
      </c>
      <c r="B333" s="20" t="s">
        <v>937</v>
      </c>
      <c r="C333" s="20" t="s">
        <v>898</v>
      </c>
      <c r="D333" s="20">
        <v>5</v>
      </c>
      <c r="E333" s="20">
        <v>1</v>
      </c>
      <c r="F333" s="20" t="s">
        <v>3116</v>
      </c>
      <c r="G333" s="20">
        <v>-0.67</v>
      </c>
      <c r="H333" s="20"/>
      <c r="I333" s="20"/>
      <c r="J333" s="20"/>
    </row>
    <row r="334" spans="1:10" x14ac:dyDescent="0.3">
      <c r="A334" s="20" t="s">
        <v>3072</v>
      </c>
      <c r="B334" s="20" t="s">
        <v>766</v>
      </c>
      <c r="C334" s="20" t="s">
        <v>340</v>
      </c>
      <c r="D334" s="20">
        <v>5</v>
      </c>
      <c r="E334" s="20">
        <v>1</v>
      </c>
      <c r="F334" s="20" t="s">
        <v>3123</v>
      </c>
      <c r="G334" s="20">
        <v>0.55000000000000004</v>
      </c>
      <c r="H334" s="20"/>
      <c r="I334" s="20"/>
      <c r="J334" s="20"/>
    </row>
    <row r="335" spans="1:10" x14ac:dyDescent="0.3">
      <c r="A335" s="20" t="s">
        <v>3073</v>
      </c>
      <c r="B335" s="20" t="s">
        <v>61</v>
      </c>
      <c r="C335" s="20" t="s">
        <v>63</v>
      </c>
      <c r="D335" s="20">
        <v>5</v>
      </c>
      <c r="E335" s="20">
        <v>1</v>
      </c>
      <c r="F335" s="20" t="s">
        <v>3116</v>
      </c>
      <c r="G335" s="20">
        <v>-0.75</v>
      </c>
      <c r="H335" s="20"/>
      <c r="I335" s="20"/>
      <c r="J335" s="20"/>
    </row>
    <row r="336" spans="1:10" x14ac:dyDescent="0.3">
      <c r="A336" s="20" t="s">
        <v>3078</v>
      </c>
      <c r="B336" s="20" t="s">
        <v>73</v>
      </c>
      <c r="C336" s="20" t="s">
        <v>71</v>
      </c>
      <c r="D336" s="20">
        <v>5</v>
      </c>
      <c r="E336" s="20">
        <v>1</v>
      </c>
      <c r="F336" s="20" t="s">
        <v>3116</v>
      </c>
      <c r="G336" s="20">
        <v>-0.46</v>
      </c>
      <c r="H336" s="20"/>
      <c r="I336" s="20"/>
      <c r="J336" s="20"/>
    </row>
    <row r="337" spans="1:10" x14ac:dyDescent="0.3">
      <c r="A337" s="20" t="s">
        <v>3078</v>
      </c>
      <c r="B337" s="20" t="s">
        <v>658</v>
      </c>
      <c r="C337" s="20" t="s">
        <v>627</v>
      </c>
      <c r="D337" s="20">
        <v>5</v>
      </c>
      <c r="E337" s="20">
        <v>1</v>
      </c>
      <c r="F337" s="20" t="s">
        <v>3116</v>
      </c>
      <c r="G337" s="20">
        <v>-0.46</v>
      </c>
      <c r="H337" s="20"/>
      <c r="I337" s="20"/>
      <c r="J337" s="20"/>
    </row>
    <row r="338" spans="1:10" x14ac:dyDescent="0.3">
      <c r="A338" s="20" t="s">
        <v>3079</v>
      </c>
      <c r="B338" s="20" t="s">
        <v>658</v>
      </c>
      <c r="C338" s="20" t="s">
        <v>627</v>
      </c>
      <c r="D338" s="20">
        <v>5</v>
      </c>
      <c r="E338" s="20">
        <v>2</v>
      </c>
      <c r="F338" s="20" t="s">
        <v>3123</v>
      </c>
      <c r="G338" s="20">
        <v>0.41</v>
      </c>
      <c r="H338" s="20"/>
      <c r="I338" s="20"/>
      <c r="J338" s="20"/>
    </row>
    <row r="339" spans="1:10" x14ac:dyDescent="0.3">
      <c r="A339" s="20" t="s">
        <v>3080</v>
      </c>
      <c r="B339" s="20" t="s">
        <v>291</v>
      </c>
      <c r="C339" s="20" t="s">
        <v>288</v>
      </c>
      <c r="D339" s="20">
        <v>2</v>
      </c>
      <c r="E339" s="20">
        <v>1</v>
      </c>
      <c r="F339" s="20" t="s">
        <v>3116</v>
      </c>
      <c r="G339" s="20">
        <v>-1.57</v>
      </c>
      <c r="H339" s="20"/>
      <c r="I339" s="20"/>
      <c r="J339" s="20"/>
    </row>
    <row r="340" spans="1:10" x14ac:dyDescent="0.3">
      <c r="A340" s="20" t="s">
        <v>3083</v>
      </c>
      <c r="B340" s="20" t="s">
        <v>799</v>
      </c>
      <c r="C340" s="20" t="s">
        <v>133</v>
      </c>
      <c r="D340" s="20">
        <v>5</v>
      </c>
      <c r="E340" s="20">
        <v>1</v>
      </c>
      <c r="F340" s="20" t="s">
        <v>3123</v>
      </c>
      <c r="G340" s="20">
        <v>0.31</v>
      </c>
      <c r="H340" s="20"/>
      <c r="I340" s="20"/>
      <c r="J340" s="20"/>
    </row>
    <row r="341" spans="1:10" x14ac:dyDescent="0.3">
      <c r="A341" s="20" t="s">
        <v>3083</v>
      </c>
      <c r="B341" s="20" t="s">
        <v>869</v>
      </c>
      <c r="C341" s="20" t="s">
        <v>862</v>
      </c>
      <c r="D341" s="20">
        <v>5</v>
      </c>
      <c r="E341" s="20">
        <v>1</v>
      </c>
      <c r="F341" s="20" t="s">
        <v>3123</v>
      </c>
      <c r="G341" s="20">
        <v>0.31</v>
      </c>
      <c r="H341" s="20"/>
      <c r="I341" s="20"/>
      <c r="J341" s="20"/>
    </row>
    <row r="342" spans="1:10" x14ac:dyDescent="0.3">
      <c r="A342" s="20" t="s">
        <v>3086</v>
      </c>
      <c r="B342" s="20" t="s">
        <v>311</v>
      </c>
      <c r="C342" s="20" t="s">
        <v>310</v>
      </c>
      <c r="D342" s="20">
        <v>5</v>
      </c>
      <c r="E342" s="20">
        <v>2</v>
      </c>
      <c r="F342" s="20" t="s">
        <v>3116</v>
      </c>
      <c r="G342" s="20">
        <v>-0.49</v>
      </c>
      <c r="H342" s="20"/>
      <c r="I342" s="20"/>
      <c r="J342" s="20"/>
    </row>
    <row r="343" spans="1:10" x14ac:dyDescent="0.3">
      <c r="A343" s="20" t="s">
        <v>3086</v>
      </c>
      <c r="B343" s="20" t="s">
        <v>329</v>
      </c>
      <c r="C343" s="20" t="s">
        <v>326</v>
      </c>
      <c r="D343" s="20">
        <v>5</v>
      </c>
      <c r="E343" s="20">
        <v>1</v>
      </c>
      <c r="F343" s="20" t="s">
        <v>3116</v>
      </c>
      <c r="G343" s="20">
        <v>-0.49</v>
      </c>
      <c r="H343" s="20"/>
      <c r="I343" s="20"/>
      <c r="J343" s="20"/>
    </row>
    <row r="344" spans="1:10" x14ac:dyDescent="0.3">
      <c r="A344" s="20" t="s">
        <v>3086</v>
      </c>
      <c r="B344" s="20" t="s">
        <v>401</v>
      </c>
      <c r="C344" s="20" t="s">
        <v>398</v>
      </c>
      <c r="D344" s="20">
        <v>5</v>
      </c>
      <c r="E344" s="20">
        <v>1</v>
      </c>
      <c r="F344" s="20" t="s">
        <v>3116</v>
      </c>
      <c r="G344" s="20">
        <v>-0.49</v>
      </c>
      <c r="H344" s="20"/>
      <c r="I344" s="20"/>
      <c r="J344" s="20"/>
    </row>
    <row r="345" spans="1:10" x14ac:dyDescent="0.3">
      <c r="A345" s="20" t="s">
        <v>3086</v>
      </c>
      <c r="B345" s="20" t="s">
        <v>415</v>
      </c>
      <c r="C345" s="20" t="s">
        <v>412</v>
      </c>
      <c r="D345" s="20">
        <v>5</v>
      </c>
      <c r="E345" s="20">
        <v>1</v>
      </c>
      <c r="F345" s="20" t="s">
        <v>3116</v>
      </c>
      <c r="G345" s="20">
        <v>-0.49</v>
      </c>
      <c r="H345" s="20"/>
      <c r="I345" s="20"/>
      <c r="J345" s="20"/>
    </row>
    <row r="346" spans="1:10" x14ac:dyDescent="0.3">
      <c r="A346" s="20" t="s">
        <v>3086</v>
      </c>
      <c r="B346" s="20" t="s">
        <v>980</v>
      </c>
      <c r="C346" s="20" t="s">
        <v>982</v>
      </c>
      <c r="D346" s="20">
        <v>5</v>
      </c>
      <c r="E346" s="20">
        <v>1</v>
      </c>
      <c r="F346" s="20" t="s">
        <v>3116</v>
      </c>
      <c r="G346" s="20">
        <v>-0.49</v>
      </c>
      <c r="H346" s="20"/>
      <c r="I346" s="20"/>
      <c r="J346" s="20"/>
    </row>
    <row r="347" spans="1:10" x14ac:dyDescent="0.3">
      <c r="A347" s="20" t="s">
        <v>3087</v>
      </c>
      <c r="B347" s="20" t="s">
        <v>501</v>
      </c>
      <c r="C347" s="20" t="s">
        <v>494</v>
      </c>
      <c r="D347" s="20">
        <v>5</v>
      </c>
      <c r="E347" s="20">
        <v>1</v>
      </c>
      <c r="F347" s="20" t="s">
        <v>3123</v>
      </c>
      <c r="G347" s="20">
        <v>0.6</v>
      </c>
      <c r="H347" s="20"/>
      <c r="I347" s="20"/>
      <c r="J347" s="20"/>
    </row>
    <row r="348" spans="1:10" x14ac:dyDescent="0.3">
      <c r="A348" s="20" t="s">
        <v>3087</v>
      </c>
      <c r="B348" s="20" t="s">
        <v>530</v>
      </c>
      <c r="C348" s="20" t="s">
        <v>525</v>
      </c>
      <c r="D348" s="20">
        <v>5</v>
      </c>
      <c r="E348" s="20">
        <v>1</v>
      </c>
      <c r="F348" s="20" t="s">
        <v>3123</v>
      </c>
      <c r="G348" s="20">
        <v>0.6</v>
      </c>
      <c r="H348" s="20"/>
      <c r="I348" s="20"/>
      <c r="J348" s="20"/>
    </row>
    <row r="349" spans="1:10" x14ac:dyDescent="0.3">
      <c r="A349" s="20" t="s">
        <v>3089</v>
      </c>
      <c r="B349" s="20" t="s">
        <v>79</v>
      </c>
      <c r="C349" s="20" t="s">
        <v>82</v>
      </c>
      <c r="D349" s="20">
        <v>2</v>
      </c>
      <c r="E349" s="20">
        <v>1</v>
      </c>
      <c r="F349" s="20" t="s">
        <v>3116</v>
      </c>
      <c r="G349" s="20">
        <v>-1.74</v>
      </c>
      <c r="H349" s="20"/>
      <c r="I349" s="20"/>
      <c r="J349" s="20"/>
    </row>
    <row r="350" spans="1:10" x14ac:dyDescent="0.3">
      <c r="A350" s="20" t="s">
        <v>3089</v>
      </c>
      <c r="B350" s="20" t="s">
        <v>557</v>
      </c>
      <c r="C350" s="20" t="s">
        <v>554</v>
      </c>
      <c r="D350" s="20">
        <v>2</v>
      </c>
      <c r="E350" s="20">
        <v>1</v>
      </c>
      <c r="F350" s="20" t="s">
        <v>3116</v>
      </c>
      <c r="G350" s="20">
        <v>-1.74</v>
      </c>
      <c r="H350" s="20"/>
      <c r="I350" s="20"/>
      <c r="J350" s="20"/>
    </row>
    <row r="351" spans="1:10" x14ac:dyDescent="0.3">
      <c r="A351" s="20" t="s">
        <v>3089</v>
      </c>
      <c r="B351" s="20" t="s">
        <v>728</v>
      </c>
      <c r="C351" s="20" t="s">
        <v>697</v>
      </c>
      <c r="D351" s="20">
        <v>2</v>
      </c>
      <c r="E351" s="20">
        <v>2</v>
      </c>
      <c r="F351" s="20" t="s">
        <v>3116</v>
      </c>
      <c r="G351" s="20">
        <v>-1.74</v>
      </c>
      <c r="H351" s="20"/>
      <c r="I351" s="20"/>
      <c r="J351" s="20"/>
    </row>
    <row r="352" spans="1:10" x14ac:dyDescent="0.3">
      <c r="A352" s="20" t="s">
        <v>3091</v>
      </c>
      <c r="B352" s="20" t="s">
        <v>732</v>
      </c>
      <c r="C352" s="20" t="s">
        <v>697</v>
      </c>
      <c r="D352" s="20">
        <v>2</v>
      </c>
      <c r="E352" s="20">
        <v>1</v>
      </c>
      <c r="F352" s="20" t="s">
        <v>3116</v>
      </c>
      <c r="G352" s="20">
        <v>-3.52</v>
      </c>
      <c r="H352" s="20"/>
      <c r="I352" s="20"/>
      <c r="J352" s="20"/>
    </row>
    <row r="353" spans="1:10" x14ac:dyDescent="0.3">
      <c r="A353" s="20" t="s">
        <v>3092</v>
      </c>
      <c r="B353" s="20" t="s">
        <v>173</v>
      </c>
      <c r="C353" s="20" t="s">
        <v>168</v>
      </c>
      <c r="D353" s="20">
        <v>5</v>
      </c>
      <c r="E353" s="20">
        <v>1</v>
      </c>
      <c r="F353" s="20" t="s">
        <v>3124</v>
      </c>
      <c r="G353" s="20">
        <v>1.42</v>
      </c>
      <c r="H353" s="20"/>
      <c r="I353" s="20"/>
      <c r="J353" s="20"/>
    </row>
    <row r="354" spans="1:10" x14ac:dyDescent="0.3">
      <c r="A354" s="20" t="s">
        <v>3093</v>
      </c>
      <c r="B354" s="20" t="s">
        <v>968</v>
      </c>
      <c r="C354" s="20" t="s">
        <v>44</v>
      </c>
      <c r="D354" s="20">
        <v>5</v>
      </c>
      <c r="E354" s="20">
        <v>1</v>
      </c>
      <c r="F354" s="20" t="s">
        <v>3116</v>
      </c>
      <c r="G354" s="20">
        <v>-0.67</v>
      </c>
      <c r="H354" s="20"/>
      <c r="I354" s="20"/>
      <c r="J354" s="20"/>
    </row>
    <row r="355" spans="1:10" x14ac:dyDescent="0.3">
      <c r="A355" s="20" t="s">
        <v>3094</v>
      </c>
      <c r="B355" s="20" t="s">
        <v>509</v>
      </c>
      <c r="C355" s="20" t="s">
        <v>511</v>
      </c>
      <c r="D355" s="20">
        <v>4</v>
      </c>
      <c r="E355" s="20">
        <v>1</v>
      </c>
      <c r="F355" s="20" t="s">
        <v>3116</v>
      </c>
      <c r="G355" s="20">
        <v>-1.4</v>
      </c>
      <c r="H355" s="20"/>
      <c r="I355" s="20"/>
      <c r="J355" s="20"/>
    </row>
    <row r="356" spans="1:10" x14ac:dyDescent="0.3">
      <c r="A356" s="20" t="s">
        <v>3095</v>
      </c>
      <c r="B356" s="20" t="s">
        <v>781</v>
      </c>
      <c r="C356" s="20" t="s">
        <v>607</v>
      </c>
      <c r="D356" s="20">
        <v>3</v>
      </c>
      <c r="E356" s="20">
        <v>1</v>
      </c>
      <c r="F356" s="20" t="s">
        <v>3116</v>
      </c>
      <c r="G356" s="20">
        <v>-2.61</v>
      </c>
      <c r="H356" s="20"/>
      <c r="I356" s="20"/>
      <c r="J356" s="20"/>
    </row>
    <row r="357" spans="1:10" x14ac:dyDescent="0.3">
      <c r="A357" s="20" t="s">
        <v>3096</v>
      </c>
      <c r="B357" s="20" t="s">
        <v>116</v>
      </c>
      <c r="C357" s="20" t="s">
        <v>111</v>
      </c>
      <c r="D357" s="20">
        <v>5</v>
      </c>
      <c r="E357" s="20">
        <v>1</v>
      </c>
      <c r="F357" s="20" t="s">
        <v>3116</v>
      </c>
      <c r="G357" s="20">
        <v>-0.47</v>
      </c>
      <c r="H357" s="20"/>
      <c r="I357" s="20"/>
      <c r="J357" s="20"/>
    </row>
    <row r="358" spans="1:10" x14ac:dyDescent="0.3">
      <c r="A358" s="20" t="s">
        <v>3096</v>
      </c>
      <c r="B358" s="20" t="s">
        <v>596</v>
      </c>
      <c r="C358" s="20" t="s">
        <v>587</v>
      </c>
      <c r="D358" s="20">
        <v>5</v>
      </c>
      <c r="E358" s="20">
        <v>1</v>
      </c>
      <c r="F358" s="20" t="s">
        <v>3116</v>
      </c>
      <c r="G358" s="20">
        <v>-0.47</v>
      </c>
      <c r="H358" s="20"/>
      <c r="I358" s="20"/>
      <c r="J358" s="20"/>
    </row>
    <row r="359" spans="1:10" x14ac:dyDescent="0.3">
      <c r="A359" s="20" t="s">
        <v>3098</v>
      </c>
      <c r="B359" s="20" t="s">
        <v>764</v>
      </c>
      <c r="C359" s="20" t="s">
        <v>340</v>
      </c>
      <c r="D359" s="20">
        <v>4</v>
      </c>
      <c r="E359" s="20">
        <v>1</v>
      </c>
      <c r="F359" s="20" t="s">
        <v>3123</v>
      </c>
      <c r="G359" s="20">
        <v>0.25</v>
      </c>
      <c r="H359" s="20"/>
      <c r="I359" s="20"/>
      <c r="J359" s="20"/>
    </row>
    <row r="360" spans="1:10" x14ac:dyDescent="0.3">
      <c r="A360" s="20" t="s">
        <v>3102</v>
      </c>
      <c r="B360" s="20" t="s">
        <v>341</v>
      </c>
      <c r="C360" s="20" t="s">
        <v>340</v>
      </c>
      <c r="D360" s="20">
        <v>5</v>
      </c>
      <c r="E360" s="20">
        <v>1</v>
      </c>
      <c r="F360" s="20" t="s">
        <v>3123</v>
      </c>
      <c r="G360" s="20">
        <v>0.37</v>
      </c>
      <c r="H360" s="20"/>
      <c r="I360" s="20"/>
      <c r="J360" s="20"/>
    </row>
    <row r="361" spans="1:10" x14ac:dyDescent="0.3">
      <c r="A361" s="20" t="s">
        <v>3103</v>
      </c>
      <c r="B361" s="20" t="s">
        <v>532</v>
      </c>
      <c r="C361" s="20" t="s">
        <v>534</v>
      </c>
      <c r="D361" s="20">
        <v>3</v>
      </c>
      <c r="E361" s="20">
        <v>1</v>
      </c>
      <c r="F361" s="20" t="s">
        <v>3116</v>
      </c>
      <c r="G361" s="20">
        <v>-1.5</v>
      </c>
      <c r="H361" s="20"/>
      <c r="I361" s="20"/>
      <c r="J361" s="20"/>
    </row>
    <row r="362" spans="1:10" x14ac:dyDescent="0.3">
      <c r="A362" s="20" t="s">
        <v>3103</v>
      </c>
      <c r="B362" s="20" t="s">
        <v>638</v>
      </c>
      <c r="C362" s="20" t="s">
        <v>627</v>
      </c>
      <c r="D362" s="20">
        <v>3</v>
      </c>
      <c r="E362" s="20">
        <v>2</v>
      </c>
      <c r="F362" s="20" t="s">
        <v>3116</v>
      </c>
      <c r="G362" s="20">
        <v>-1.5</v>
      </c>
      <c r="H362" s="20"/>
      <c r="I362" s="20"/>
      <c r="J362" s="20"/>
    </row>
    <row r="363" spans="1:10" x14ac:dyDescent="0.3">
      <c r="A363" s="20" t="s">
        <v>3107</v>
      </c>
      <c r="B363" s="20" t="s">
        <v>255</v>
      </c>
      <c r="C363" s="20" t="s">
        <v>257</v>
      </c>
      <c r="D363" s="20">
        <v>4</v>
      </c>
      <c r="E363" s="20">
        <v>1</v>
      </c>
      <c r="F363" s="20" t="s">
        <v>3116</v>
      </c>
      <c r="G363" s="20">
        <v>-1.42</v>
      </c>
      <c r="H363" s="20"/>
      <c r="I363" s="20"/>
      <c r="J363" s="20"/>
    </row>
    <row r="364" spans="1:10" x14ac:dyDescent="0.3">
      <c r="A364" s="20" t="s">
        <v>3107</v>
      </c>
      <c r="B364" s="20" t="s">
        <v>462</v>
      </c>
      <c r="C364" s="20" t="s">
        <v>464</v>
      </c>
      <c r="D364" s="20">
        <v>4</v>
      </c>
      <c r="E364" s="20">
        <v>1</v>
      </c>
      <c r="F364" s="20" t="s">
        <v>3116</v>
      </c>
      <c r="G364" s="20">
        <v>-1.42</v>
      </c>
      <c r="H364" s="20"/>
      <c r="I364" s="20"/>
      <c r="J364" s="20"/>
    </row>
    <row r="365" spans="1:10" x14ac:dyDescent="0.3">
      <c r="A365" s="20" t="s">
        <v>3107</v>
      </c>
      <c r="B365" s="20" t="s">
        <v>819</v>
      </c>
      <c r="C365" s="20" t="s">
        <v>133</v>
      </c>
      <c r="D365" s="20">
        <v>4</v>
      </c>
      <c r="E365" s="20">
        <v>2</v>
      </c>
      <c r="F365" s="20" t="s">
        <v>3116</v>
      </c>
      <c r="G365" s="20">
        <v>-1.42</v>
      </c>
      <c r="H365" s="20"/>
      <c r="I365" s="20"/>
      <c r="J365" s="20"/>
    </row>
  </sheetData>
  <autoFilter ref="J18" xr:uid="{65F5CB61-062F-40D1-8381-A9091F1869AF}"/>
  <conditionalFormatting sqref="L2">
    <cfRule type="duplicateValues" dxfId="1" priority="2"/>
  </conditionalFormatting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0B6CF-AFD7-42A3-A0A6-4F2D5AE4855C}">
  <dimension ref="A1:B216"/>
  <sheetViews>
    <sheetView topLeftCell="A180" workbookViewId="0">
      <selection activeCell="B189" sqref="B189"/>
    </sheetView>
  </sheetViews>
  <sheetFormatPr defaultRowHeight="14.4" x14ac:dyDescent="0.3"/>
  <cols>
    <col min="1" max="1" width="11.33203125" bestFit="1" customWidth="1"/>
  </cols>
  <sheetData>
    <row r="1" spans="1:2" x14ac:dyDescent="0.3">
      <c r="A1" s="26" t="s">
        <v>2629</v>
      </c>
      <c r="B1" s="26" t="s">
        <v>2629</v>
      </c>
    </row>
    <row r="2" spans="1:2" x14ac:dyDescent="0.3">
      <c r="A2" s="27" t="s">
        <v>2630</v>
      </c>
      <c r="B2" s="27" t="s">
        <v>2630</v>
      </c>
    </row>
    <row r="3" spans="1:2" x14ac:dyDescent="0.3">
      <c r="A3" s="26" t="s">
        <v>2632</v>
      </c>
      <c r="B3" s="26" t="s">
        <v>2632</v>
      </c>
    </row>
    <row r="4" spans="1:2" x14ac:dyDescent="0.3">
      <c r="A4" s="27" t="s">
        <v>2633</v>
      </c>
      <c r="B4" s="27" t="s">
        <v>2633</v>
      </c>
    </row>
    <row r="5" spans="1:2" x14ac:dyDescent="0.3">
      <c r="A5" s="26" t="s">
        <v>2634</v>
      </c>
      <c r="B5" s="26" t="s">
        <v>2634</v>
      </c>
    </row>
    <row r="6" spans="1:2" x14ac:dyDescent="0.3">
      <c r="A6" s="27" t="s">
        <v>2636</v>
      </c>
      <c r="B6" s="27" t="s">
        <v>2636</v>
      </c>
    </row>
    <row r="7" spans="1:2" x14ac:dyDescent="0.3">
      <c r="A7" s="26" t="s">
        <v>2637</v>
      </c>
      <c r="B7" s="26" t="s">
        <v>2637</v>
      </c>
    </row>
    <row r="8" spans="1:2" x14ac:dyDescent="0.3">
      <c r="A8" s="27" t="s">
        <v>2640</v>
      </c>
      <c r="B8" s="27" t="s">
        <v>2640</v>
      </c>
    </row>
    <row r="9" spans="1:2" x14ac:dyDescent="0.3">
      <c r="A9" s="27" t="s">
        <v>2643</v>
      </c>
      <c r="B9" s="26" t="s">
        <v>2643</v>
      </c>
    </row>
    <row r="10" spans="1:2" x14ac:dyDescent="0.3">
      <c r="A10" s="26" t="s">
        <v>2646</v>
      </c>
      <c r="B10" s="27" t="s">
        <v>2646</v>
      </c>
    </row>
    <row r="11" spans="1:2" x14ac:dyDescent="0.3">
      <c r="A11" s="27" t="s">
        <v>2647</v>
      </c>
      <c r="B11" s="26" t="s">
        <v>2647</v>
      </c>
    </row>
    <row r="12" spans="1:2" x14ac:dyDescent="0.3">
      <c r="A12" s="26" t="s">
        <v>2648</v>
      </c>
      <c r="B12" s="27" t="s">
        <v>2648</v>
      </c>
    </row>
    <row r="13" spans="1:2" x14ac:dyDescent="0.3">
      <c r="A13" s="27" t="s">
        <v>2649</v>
      </c>
      <c r="B13" s="26" t="s">
        <v>2649</v>
      </c>
    </row>
    <row r="14" spans="1:2" x14ac:dyDescent="0.3">
      <c r="A14" s="26" t="s">
        <v>2653</v>
      </c>
      <c r="B14" s="27" t="s">
        <v>2653</v>
      </c>
    </row>
    <row r="15" spans="1:2" x14ac:dyDescent="0.3">
      <c r="A15" s="27" t="s">
        <v>2655</v>
      </c>
      <c r="B15" s="26" t="s">
        <v>2655</v>
      </c>
    </row>
    <row r="16" spans="1:2" x14ac:dyDescent="0.3">
      <c r="A16" s="26" t="s">
        <v>2658</v>
      </c>
      <c r="B16" s="27" t="s">
        <v>2658</v>
      </c>
    </row>
    <row r="17" spans="1:2" x14ac:dyDescent="0.3">
      <c r="A17" s="27" t="s">
        <v>2659</v>
      </c>
      <c r="B17" s="26" t="s">
        <v>2659</v>
      </c>
    </row>
    <row r="18" spans="1:2" x14ac:dyDescent="0.3">
      <c r="A18" s="26" t="s">
        <v>2662</v>
      </c>
      <c r="B18" s="27" t="s">
        <v>2662</v>
      </c>
    </row>
    <row r="19" spans="1:2" x14ac:dyDescent="0.3">
      <c r="A19" s="27" t="s">
        <v>2663</v>
      </c>
      <c r="B19" s="26" t="s">
        <v>2663</v>
      </c>
    </row>
    <row r="20" spans="1:2" x14ac:dyDescent="0.3">
      <c r="A20" s="27" t="s">
        <v>2664</v>
      </c>
      <c r="B20" s="27" t="s">
        <v>2664</v>
      </c>
    </row>
    <row r="21" spans="1:2" x14ac:dyDescent="0.3">
      <c r="A21" s="26" t="s">
        <v>2666</v>
      </c>
      <c r="B21" s="26" t="s">
        <v>2666</v>
      </c>
    </row>
    <row r="22" spans="1:2" x14ac:dyDescent="0.3">
      <c r="A22" s="27" t="s">
        <v>2670</v>
      </c>
      <c r="B22" s="27" t="s">
        <v>2670</v>
      </c>
    </row>
    <row r="23" spans="1:2" x14ac:dyDescent="0.3">
      <c r="A23" s="26" t="s">
        <v>2671</v>
      </c>
      <c r="B23" s="26" t="s">
        <v>2671</v>
      </c>
    </row>
    <row r="24" spans="1:2" x14ac:dyDescent="0.3">
      <c r="A24" s="26" t="s">
        <v>2672</v>
      </c>
      <c r="B24" s="27" t="s">
        <v>2672</v>
      </c>
    </row>
    <row r="25" spans="1:2" x14ac:dyDescent="0.3">
      <c r="A25" s="27" t="s">
        <v>2673</v>
      </c>
      <c r="B25" s="26" t="s">
        <v>2673</v>
      </c>
    </row>
    <row r="26" spans="1:2" x14ac:dyDescent="0.3">
      <c r="A26" s="27" t="s">
        <v>2674</v>
      </c>
      <c r="B26" s="27" t="s">
        <v>2674</v>
      </c>
    </row>
    <row r="27" spans="1:2" x14ac:dyDescent="0.3">
      <c r="A27" s="26" t="s">
        <v>2678</v>
      </c>
      <c r="B27" s="26" t="s">
        <v>2678</v>
      </c>
    </row>
    <row r="28" spans="1:2" x14ac:dyDescent="0.3">
      <c r="A28" s="27" t="s">
        <v>2679</v>
      </c>
      <c r="B28" s="27" t="s">
        <v>2679</v>
      </c>
    </row>
    <row r="29" spans="1:2" x14ac:dyDescent="0.3">
      <c r="A29" s="27" t="s">
        <v>2680</v>
      </c>
      <c r="B29" s="26" t="s">
        <v>2680</v>
      </c>
    </row>
    <row r="30" spans="1:2" x14ac:dyDescent="0.3">
      <c r="A30" s="26" t="s">
        <v>2682</v>
      </c>
      <c r="B30" s="27" t="s">
        <v>2682</v>
      </c>
    </row>
    <row r="31" spans="1:2" x14ac:dyDescent="0.3">
      <c r="A31" s="27" t="s">
        <v>2683</v>
      </c>
      <c r="B31" s="26" t="s">
        <v>2683</v>
      </c>
    </row>
    <row r="32" spans="1:2" x14ac:dyDescent="0.3">
      <c r="A32" s="26" t="s">
        <v>2684</v>
      </c>
      <c r="B32" s="27" t="s">
        <v>2684</v>
      </c>
    </row>
    <row r="33" spans="1:2" x14ac:dyDescent="0.3">
      <c r="A33" s="26" t="s">
        <v>2685</v>
      </c>
      <c r="B33" s="26" t="s">
        <v>2685</v>
      </c>
    </row>
    <row r="34" spans="1:2" x14ac:dyDescent="0.3">
      <c r="A34" s="27" t="s">
        <v>2689</v>
      </c>
      <c r="B34" s="27" t="s">
        <v>2689</v>
      </c>
    </row>
    <row r="35" spans="1:2" x14ac:dyDescent="0.3">
      <c r="A35" s="26" t="s">
        <v>2690</v>
      </c>
      <c r="B35" s="26" t="s">
        <v>2690</v>
      </c>
    </row>
    <row r="36" spans="1:2" x14ac:dyDescent="0.3">
      <c r="A36" s="26" t="s">
        <v>2691</v>
      </c>
      <c r="B36" s="27" t="s">
        <v>2691</v>
      </c>
    </row>
    <row r="37" spans="1:2" x14ac:dyDescent="0.3">
      <c r="A37" s="26" t="s">
        <v>2692</v>
      </c>
      <c r="B37" s="26" t="s">
        <v>2692</v>
      </c>
    </row>
    <row r="38" spans="1:2" x14ac:dyDescent="0.3">
      <c r="A38" s="26" t="s">
        <v>2694</v>
      </c>
      <c r="B38" s="27" t="s">
        <v>2694</v>
      </c>
    </row>
    <row r="39" spans="1:2" x14ac:dyDescent="0.3">
      <c r="A39" s="27" t="s">
        <v>2698</v>
      </c>
      <c r="B39" s="26" t="s">
        <v>2698</v>
      </c>
    </row>
    <row r="40" spans="1:2" x14ac:dyDescent="0.3">
      <c r="A40" s="27" t="s">
        <v>2701</v>
      </c>
      <c r="B40" s="27" t="s">
        <v>2701</v>
      </c>
    </row>
    <row r="41" spans="1:2" x14ac:dyDescent="0.3">
      <c r="A41" s="26" t="s">
        <v>2702</v>
      </c>
      <c r="B41" s="26" t="s">
        <v>2702</v>
      </c>
    </row>
    <row r="42" spans="1:2" x14ac:dyDescent="0.3">
      <c r="A42" s="27" t="s">
        <v>2703</v>
      </c>
      <c r="B42" s="27" t="s">
        <v>2703</v>
      </c>
    </row>
    <row r="43" spans="1:2" x14ac:dyDescent="0.3">
      <c r="A43" s="26" t="s">
        <v>2709</v>
      </c>
      <c r="B43" s="26" t="s">
        <v>2709</v>
      </c>
    </row>
    <row r="44" spans="1:2" x14ac:dyDescent="0.3">
      <c r="A44" s="27" t="s">
        <v>2710</v>
      </c>
      <c r="B44" s="27" t="s">
        <v>2710</v>
      </c>
    </row>
    <row r="45" spans="1:2" x14ac:dyDescent="0.3">
      <c r="A45" s="27" t="s">
        <v>2711</v>
      </c>
      <c r="B45" s="26" t="s">
        <v>2711</v>
      </c>
    </row>
    <row r="46" spans="1:2" x14ac:dyDescent="0.3">
      <c r="A46" s="26" t="s">
        <v>2712</v>
      </c>
      <c r="B46" s="27" t="s">
        <v>2712</v>
      </c>
    </row>
    <row r="47" spans="1:2" x14ac:dyDescent="0.3">
      <c r="A47" s="27" t="s">
        <v>2717</v>
      </c>
      <c r="B47" s="26" t="s">
        <v>2717</v>
      </c>
    </row>
    <row r="48" spans="1:2" x14ac:dyDescent="0.3">
      <c r="A48" s="26" t="s">
        <v>2718</v>
      </c>
      <c r="B48" s="27" t="s">
        <v>2718</v>
      </c>
    </row>
    <row r="49" spans="1:2" x14ac:dyDescent="0.3">
      <c r="A49" s="26" t="s">
        <v>2719</v>
      </c>
      <c r="B49" s="26" t="s">
        <v>2719</v>
      </c>
    </row>
    <row r="50" spans="1:2" x14ac:dyDescent="0.3">
      <c r="A50" s="26" t="s">
        <v>2720</v>
      </c>
      <c r="B50" s="27" t="s">
        <v>2720</v>
      </c>
    </row>
    <row r="51" spans="1:2" x14ac:dyDescent="0.3">
      <c r="A51" s="27" t="s">
        <v>2721</v>
      </c>
      <c r="B51" s="26" t="s">
        <v>2721</v>
      </c>
    </row>
    <row r="52" spans="1:2" x14ac:dyDescent="0.3">
      <c r="A52" s="27" t="s">
        <v>2723</v>
      </c>
      <c r="B52" s="27" t="s">
        <v>2723</v>
      </c>
    </row>
    <row r="53" spans="1:2" x14ac:dyDescent="0.3">
      <c r="A53" s="26" t="s">
        <v>2725</v>
      </c>
      <c r="B53" s="26" t="s">
        <v>2725</v>
      </c>
    </row>
    <row r="54" spans="1:2" x14ac:dyDescent="0.3">
      <c r="A54" s="27" t="s">
        <v>2726</v>
      </c>
      <c r="B54" s="27" t="s">
        <v>2726</v>
      </c>
    </row>
    <row r="55" spans="1:2" x14ac:dyDescent="0.3">
      <c r="A55" s="26" t="s">
        <v>2728</v>
      </c>
      <c r="B55" s="26" t="s">
        <v>2728</v>
      </c>
    </row>
    <row r="56" spans="1:2" x14ac:dyDescent="0.3">
      <c r="A56" s="27" t="s">
        <v>2730</v>
      </c>
      <c r="B56" s="27" t="s">
        <v>2730</v>
      </c>
    </row>
    <row r="57" spans="1:2" x14ac:dyDescent="0.3">
      <c r="A57" s="26" t="s">
        <v>2731</v>
      </c>
      <c r="B57" s="26" t="s">
        <v>2731</v>
      </c>
    </row>
    <row r="58" spans="1:2" x14ac:dyDescent="0.3">
      <c r="A58" s="26" t="s">
        <v>2733</v>
      </c>
      <c r="B58" s="27" t="s">
        <v>2733</v>
      </c>
    </row>
    <row r="59" spans="1:2" x14ac:dyDescent="0.3">
      <c r="A59" s="26" t="s">
        <v>2736</v>
      </c>
      <c r="B59" s="26" t="s">
        <v>2736</v>
      </c>
    </row>
    <row r="60" spans="1:2" x14ac:dyDescent="0.3">
      <c r="A60" s="26" t="s">
        <v>2737</v>
      </c>
      <c r="B60" s="27" t="s">
        <v>2737</v>
      </c>
    </row>
    <row r="61" spans="1:2" x14ac:dyDescent="0.3">
      <c r="A61" s="26" t="s">
        <v>2742</v>
      </c>
      <c r="B61" s="26" t="s">
        <v>2742</v>
      </c>
    </row>
    <row r="62" spans="1:2" x14ac:dyDescent="0.3">
      <c r="A62" s="26" t="s">
        <v>2745</v>
      </c>
      <c r="B62" s="27" t="s">
        <v>2745</v>
      </c>
    </row>
    <row r="63" spans="1:2" x14ac:dyDescent="0.3">
      <c r="A63" s="26" t="s">
        <v>2746</v>
      </c>
      <c r="B63" s="26" t="s">
        <v>2746</v>
      </c>
    </row>
    <row r="64" spans="1:2" x14ac:dyDescent="0.3">
      <c r="A64" s="26" t="s">
        <v>2749</v>
      </c>
      <c r="B64" s="27" t="s">
        <v>2749</v>
      </c>
    </row>
    <row r="65" spans="1:2" x14ac:dyDescent="0.3">
      <c r="A65" s="26" t="s">
        <v>2750</v>
      </c>
      <c r="B65" s="26" t="s">
        <v>2750</v>
      </c>
    </row>
    <row r="66" spans="1:2" x14ac:dyDescent="0.3">
      <c r="A66" s="27" t="s">
        <v>2751</v>
      </c>
      <c r="B66" s="27" t="s">
        <v>2751</v>
      </c>
    </row>
    <row r="67" spans="1:2" x14ac:dyDescent="0.3">
      <c r="A67" s="26" t="s">
        <v>2753</v>
      </c>
      <c r="B67" s="26" t="s">
        <v>2753</v>
      </c>
    </row>
    <row r="68" spans="1:2" x14ac:dyDescent="0.3">
      <c r="A68" s="27" t="s">
        <v>2755</v>
      </c>
      <c r="B68" s="27" t="s">
        <v>2755</v>
      </c>
    </row>
    <row r="69" spans="1:2" x14ac:dyDescent="0.3">
      <c r="A69" s="27" t="s">
        <v>2761</v>
      </c>
      <c r="B69" s="26" t="s">
        <v>2761</v>
      </c>
    </row>
    <row r="70" spans="1:2" x14ac:dyDescent="0.3">
      <c r="A70" s="26" t="s">
        <v>2763</v>
      </c>
      <c r="B70" s="27" t="s">
        <v>2763</v>
      </c>
    </row>
    <row r="71" spans="1:2" x14ac:dyDescent="0.3">
      <c r="A71" s="26" t="s">
        <v>2764</v>
      </c>
      <c r="B71" s="26" t="s">
        <v>2764</v>
      </c>
    </row>
    <row r="72" spans="1:2" x14ac:dyDescent="0.3">
      <c r="A72" s="26" t="s">
        <v>2766</v>
      </c>
      <c r="B72" s="27" t="s">
        <v>2766</v>
      </c>
    </row>
    <row r="73" spans="1:2" x14ac:dyDescent="0.3">
      <c r="A73" s="27" t="s">
        <v>2767</v>
      </c>
      <c r="B73" s="26" t="s">
        <v>2767</v>
      </c>
    </row>
    <row r="74" spans="1:2" x14ac:dyDescent="0.3">
      <c r="A74" s="27" t="s">
        <v>2771</v>
      </c>
      <c r="B74" s="27" t="s">
        <v>2771</v>
      </c>
    </row>
    <row r="75" spans="1:2" x14ac:dyDescent="0.3">
      <c r="A75" s="26" t="s">
        <v>2772</v>
      </c>
      <c r="B75" s="26" t="s">
        <v>2772</v>
      </c>
    </row>
    <row r="76" spans="1:2" x14ac:dyDescent="0.3">
      <c r="A76" s="27" t="s">
        <v>2774</v>
      </c>
      <c r="B76" s="27" t="s">
        <v>2774</v>
      </c>
    </row>
    <row r="77" spans="1:2" x14ac:dyDescent="0.3">
      <c r="A77" s="27" t="s">
        <v>2775</v>
      </c>
      <c r="B77" s="26" t="s">
        <v>2775</v>
      </c>
    </row>
    <row r="78" spans="1:2" x14ac:dyDescent="0.3">
      <c r="A78" s="27" t="s">
        <v>2777</v>
      </c>
      <c r="B78" s="27" t="s">
        <v>2777</v>
      </c>
    </row>
    <row r="79" spans="1:2" x14ac:dyDescent="0.3">
      <c r="A79" s="26" t="s">
        <v>2782</v>
      </c>
      <c r="B79" s="26" t="s">
        <v>2782</v>
      </c>
    </row>
    <row r="80" spans="1:2" x14ac:dyDescent="0.3">
      <c r="A80" s="26" t="s">
        <v>2787</v>
      </c>
      <c r="B80" s="27" t="s">
        <v>2787</v>
      </c>
    </row>
    <row r="81" spans="1:2" x14ac:dyDescent="0.3">
      <c r="A81" s="26" t="s">
        <v>2789</v>
      </c>
      <c r="B81" s="26" t="s">
        <v>2789</v>
      </c>
    </row>
    <row r="82" spans="1:2" x14ac:dyDescent="0.3">
      <c r="A82" s="27" t="s">
        <v>2792</v>
      </c>
      <c r="B82" s="27" t="s">
        <v>2792</v>
      </c>
    </row>
    <row r="83" spans="1:2" x14ac:dyDescent="0.3">
      <c r="A83" s="26" t="s">
        <v>2793</v>
      </c>
      <c r="B83" s="26" t="s">
        <v>2793</v>
      </c>
    </row>
    <row r="84" spans="1:2" x14ac:dyDescent="0.3">
      <c r="A84" s="27" t="s">
        <v>2797</v>
      </c>
      <c r="B84" s="27" t="s">
        <v>2797</v>
      </c>
    </row>
    <row r="85" spans="1:2" x14ac:dyDescent="0.3">
      <c r="A85" s="26" t="s">
        <v>2806</v>
      </c>
      <c r="B85" s="26" t="s">
        <v>2806</v>
      </c>
    </row>
    <row r="86" spans="1:2" x14ac:dyDescent="0.3">
      <c r="A86" s="26" t="s">
        <v>2809</v>
      </c>
      <c r="B86" s="27" t="s">
        <v>2809</v>
      </c>
    </row>
    <row r="87" spans="1:2" x14ac:dyDescent="0.3">
      <c r="A87" s="27" t="s">
        <v>2810</v>
      </c>
      <c r="B87" s="26" t="s">
        <v>2810</v>
      </c>
    </row>
    <row r="88" spans="1:2" x14ac:dyDescent="0.3">
      <c r="A88" s="26" t="s">
        <v>2812</v>
      </c>
      <c r="B88" s="27" t="s">
        <v>2812</v>
      </c>
    </row>
    <row r="89" spans="1:2" x14ac:dyDescent="0.3">
      <c r="A89" s="26" t="s">
        <v>2813</v>
      </c>
      <c r="B89" s="26" t="s">
        <v>2813</v>
      </c>
    </row>
    <row r="90" spans="1:2" x14ac:dyDescent="0.3">
      <c r="A90" s="27" t="s">
        <v>2816</v>
      </c>
      <c r="B90" s="27" t="s">
        <v>2816</v>
      </c>
    </row>
    <row r="91" spans="1:2" x14ac:dyDescent="0.3">
      <c r="A91" s="26" t="s">
        <v>2818</v>
      </c>
      <c r="B91" s="26" t="s">
        <v>2818</v>
      </c>
    </row>
    <row r="92" spans="1:2" x14ac:dyDescent="0.3">
      <c r="A92" s="27" t="s">
        <v>2821</v>
      </c>
      <c r="B92" s="27" t="s">
        <v>2821</v>
      </c>
    </row>
    <row r="93" spans="1:2" x14ac:dyDescent="0.3">
      <c r="A93" s="26" t="s">
        <v>2822</v>
      </c>
      <c r="B93" s="26" t="s">
        <v>2822</v>
      </c>
    </row>
    <row r="94" spans="1:2" x14ac:dyDescent="0.3">
      <c r="A94" s="27" t="s">
        <v>2824</v>
      </c>
      <c r="B94" s="27" t="s">
        <v>2824</v>
      </c>
    </row>
    <row r="95" spans="1:2" x14ac:dyDescent="0.3">
      <c r="A95" s="26" t="s">
        <v>2826</v>
      </c>
      <c r="B95" s="26" t="s">
        <v>2826</v>
      </c>
    </row>
    <row r="96" spans="1:2" x14ac:dyDescent="0.3">
      <c r="A96" s="27" t="s">
        <v>2828</v>
      </c>
      <c r="B96" s="27" t="s">
        <v>2828</v>
      </c>
    </row>
    <row r="97" spans="1:2" x14ac:dyDescent="0.3">
      <c r="A97" s="26" t="s">
        <v>2833</v>
      </c>
      <c r="B97" s="26" t="s">
        <v>2833</v>
      </c>
    </row>
    <row r="98" spans="1:2" x14ac:dyDescent="0.3">
      <c r="A98" s="26" t="s">
        <v>2834</v>
      </c>
      <c r="B98" s="27" t="s">
        <v>2834</v>
      </c>
    </row>
    <row r="99" spans="1:2" x14ac:dyDescent="0.3">
      <c r="A99" s="27" t="s">
        <v>2837</v>
      </c>
      <c r="B99" s="26" t="s">
        <v>2837</v>
      </c>
    </row>
    <row r="100" spans="1:2" x14ac:dyDescent="0.3">
      <c r="A100" s="26" t="s">
        <v>2839</v>
      </c>
      <c r="B100" s="27" t="s">
        <v>2839</v>
      </c>
    </row>
    <row r="101" spans="1:2" x14ac:dyDescent="0.3">
      <c r="A101" s="27" t="s">
        <v>2840</v>
      </c>
      <c r="B101" s="26" t="s">
        <v>2840</v>
      </c>
    </row>
    <row r="102" spans="1:2" x14ac:dyDescent="0.3">
      <c r="A102" s="27" t="s">
        <v>2841</v>
      </c>
      <c r="B102" s="27" t="s">
        <v>2841</v>
      </c>
    </row>
    <row r="103" spans="1:2" x14ac:dyDescent="0.3">
      <c r="A103" s="26" t="s">
        <v>2842</v>
      </c>
      <c r="B103" s="26" t="s">
        <v>2842</v>
      </c>
    </row>
    <row r="104" spans="1:2" x14ac:dyDescent="0.3">
      <c r="A104" s="26" t="s">
        <v>2843</v>
      </c>
      <c r="B104" s="27" t="s">
        <v>2843</v>
      </c>
    </row>
    <row r="105" spans="1:2" x14ac:dyDescent="0.3">
      <c r="A105" s="26" t="s">
        <v>2844</v>
      </c>
      <c r="B105" s="26" t="s">
        <v>2844</v>
      </c>
    </row>
    <row r="106" spans="1:2" x14ac:dyDescent="0.3">
      <c r="A106" s="26" t="s">
        <v>2845</v>
      </c>
      <c r="B106" s="27" t="s">
        <v>2845</v>
      </c>
    </row>
    <row r="107" spans="1:2" x14ac:dyDescent="0.3">
      <c r="A107" s="27" t="s">
        <v>2848</v>
      </c>
      <c r="B107" s="26" t="s">
        <v>2848</v>
      </c>
    </row>
    <row r="108" spans="1:2" x14ac:dyDescent="0.3">
      <c r="A108" s="26" t="s">
        <v>2851</v>
      </c>
      <c r="B108" s="27" t="s">
        <v>2851</v>
      </c>
    </row>
    <row r="109" spans="1:2" x14ac:dyDescent="0.3">
      <c r="A109" s="26" t="s">
        <v>2855</v>
      </c>
      <c r="B109" s="26" t="s">
        <v>2855</v>
      </c>
    </row>
    <row r="110" spans="1:2" x14ac:dyDescent="0.3">
      <c r="A110" s="27" t="s">
        <v>2856</v>
      </c>
      <c r="B110" s="27" t="s">
        <v>2856</v>
      </c>
    </row>
    <row r="111" spans="1:2" x14ac:dyDescent="0.3">
      <c r="A111" s="27" t="s">
        <v>2859</v>
      </c>
      <c r="B111" s="26" t="s">
        <v>2859</v>
      </c>
    </row>
    <row r="112" spans="1:2" x14ac:dyDescent="0.3">
      <c r="A112" s="26" t="s">
        <v>2860</v>
      </c>
      <c r="B112" s="27" t="s">
        <v>2860</v>
      </c>
    </row>
    <row r="113" spans="1:2" x14ac:dyDescent="0.3">
      <c r="A113" s="26" t="s">
        <v>2861</v>
      </c>
      <c r="B113" s="26" t="s">
        <v>2861</v>
      </c>
    </row>
    <row r="114" spans="1:2" x14ac:dyDescent="0.3">
      <c r="A114" s="26" t="s">
        <v>2862</v>
      </c>
      <c r="B114" s="27" t="s">
        <v>2862</v>
      </c>
    </row>
    <row r="115" spans="1:2" x14ac:dyDescent="0.3">
      <c r="A115" s="27" t="s">
        <v>2868</v>
      </c>
      <c r="B115" s="26" t="s">
        <v>2868</v>
      </c>
    </row>
    <row r="116" spans="1:2" x14ac:dyDescent="0.3">
      <c r="A116" s="26" t="s">
        <v>2869</v>
      </c>
      <c r="B116" s="27" t="s">
        <v>2869</v>
      </c>
    </row>
    <row r="117" spans="1:2" x14ac:dyDescent="0.3">
      <c r="A117" s="27" t="s">
        <v>2872</v>
      </c>
      <c r="B117" s="26" t="s">
        <v>2872</v>
      </c>
    </row>
    <row r="118" spans="1:2" x14ac:dyDescent="0.3">
      <c r="A118" s="27" t="s">
        <v>2875</v>
      </c>
      <c r="B118" s="27" t="s">
        <v>2875</v>
      </c>
    </row>
    <row r="119" spans="1:2" x14ac:dyDescent="0.3">
      <c r="A119" s="27" t="s">
        <v>2878</v>
      </c>
      <c r="B119" s="26" t="s">
        <v>2878</v>
      </c>
    </row>
    <row r="120" spans="1:2" x14ac:dyDescent="0.3">
      <c r="A120" s="27" t="s">
        <v>2879</v>
      </c>
      <c r="B120" s="27" t="s">
        <v>2879</v>
      </c>
    </row>
    <row r="121" spans="1:2" x14ac:dyDescent="0.3">
      <c r="A121" s="26" t="s">
        <v>2880</v>
      </c>
      <c r="B121" s="26" t="s">
        <v>2880</v>
      </c>
    </row>
    <row r="122" spans="1:2" x14ac:dyDescent="0.3">
      <c r="A122" s="27" t="s">
        <v>2881</v>
      </c>
      <c r="B122" s="27" t="s">
        <v>2881</v>
      </c>
    </row>
    <row r="123" spans="1:2" x14ac:dyDescent="0.3">
      <c r="A123" s="26" t="s">
        <v>2882</v>
      </c>
      <c r="B123" s="26" t="s">
        <v>2882</v>
      </c>
    </row>
    <row r="124" spans="1:2" x14ac:dyDescent="0.3">
      <c r="A124" s="26" t="s">
        <v>2883</v>
      </c>
      <c r="B124" s="27" t="s">
        <v>2883</v>
      </c>
    </row>
    <row r="125" spans="1:2" x14ac:dyDescent="0.3">
      <c r="A125" s="27" t="s">
        <v>2884</v>
      </c>
      <c r="B125" s="26" t="s">
        <v>2884</v>
      </c>
    </row>
    <row r="126" spans="1:2" x14ac:dyDescent="0.3">
      <c r="A126" s="26" t="s">
        <v>2885</v>
      </c>
      <c r="B126" s="27" t="s">
        <v>2885</v>
      </c>
    </row>
    <row r="127" spans="1:2" x14ac:dyDescent="0.3">
      <c r="A127" s="26" t="s">
        <v>2886</v>
      </c>
      <c r="B127" s="26" t="s">
        <v>2886</v>
      </c>
    </row>
    <row r="128" spans="1:2" x14ac:dyDescent="0.3">
      <c r="A128" s="27" t="s">
        <v>2893</v>
      </c>
      <c r="B128" s="27" t="s">
        <v>2893</v>
      </c>
    </row>
    <row r="129" spans="1:2" x14ac:dyDescent="0.3">
      <c r="A129" s="26" t="s">
        <v>2897</v>
      </c>
      <c r="B129" s="26" t="s">
        <v>2897</v>
      </c>
    </row>
    <row r="130" spans="1:2" x14ac:dyDescent="0.3">
      <c r="A130" s="26" t="s">
        <v>2898</v>
      </c>
      <c r="B130" s="27" t="s">
        <v>2898</v>
      </c>
    </row>
    <row r="131" spans="1:2" x14ac:dyDescent="0.3">
      <c r="A131" s="27" t="s">
        <v>2900</v>
      </c>
      <c r="B131" s="26" t="s">
        <v>2900</v>
      </c>
    </row>
    <row r="132" spans="1:2" x14ac:dyDescent="0.3">
      <c r="A132" s="26" t="s">
        <v>2902</v>
      </c>
      <c r="B132" s="27" t="s">
        <v>2902</v>
      </c>
    </row>
    <row r="133" spans="1:2" x14ac:dyDescent="0.3">
      <c r="A133" s="27" t="s">
        <v>2928</v>
      </c>
      <c r="B133" s="26" t="s">
        <v>2928</v>
      </c>
    </row>
    <row r="134" spans="1:2" x14ac:dyDescent="0.3">
      <c r="A134" s="26" t="s">
        <v>2937</v>
      </c>
      <c r="B134" s="27" t="s">
        <v>2937</v>
      </c>
    </row>
    <row r="135" spans="1:2" x14ac:dyDescent="0.3">
      <c r="A135" s="27" t="s">
        <v>2913</v>
      </c>
      <c r="B135" s="26" t="s">
        <v>2913</v>
      </c>
    </row>
    <row r="136" spans="1:2" x14ac:dyDescent="0.3">
      <c r="A136" s="26" t="s">
        <v>2931</v>
      </c>
      <c r="B136" s="27" t="s">
        <v>2931</v>
      </c>
    </row>
    <row r="137" spans="1:2" x14ac:dyDescent="0.3">
      <c r="A137" s="27" t="s">
        <v>2915</v>
      </c>
      <c r="B137" s="26" t="s">
        <v>2915</v>
      </c>
    </row>
    <row r="138" spans="1:2" x14ac:dyDescent="0.3">
      <c r="A138" s="26" t="s">
        <v>2916</v>
      </c>
      <c r="B138" s="27" t="s">
        <v>2916</v>
      </c>
    </row>
    <row r="139" spans="1:2" x14ac:dyDescent="0.3">
      <c r="A139" s="26" t="s">
        <v>2918</v>
      </c>
      <c r="B139" s="26" t="s">
        <v>2918</v>
      </c>
    </row>
    <row r="140" spans="1:2" x14ac:dyDescent="0.3">
      <c r="A140" s="26" t="s">
        <v>2921</v>
      </c>
      <c r="B140" s="27" t="s">
        <v>2921</v>
      </c>
    </row>
    <row r="141" spans="1:2" x14ac:dyDescent="0.3">
      <c r="A141" s="27" t="s">
        <v>2925</v>
      </c>
      <c r="B141" s="26" t="s">
        <v>2925</v>
      </c>
    </row>
    <row r="142" spans="1:2" x14ac:dyDescent="0.3">
      <c r="A142" s="26" t="s">
        <v>2939</v>
      </c>
      <c r="B142" s="27" t="s">
        <v>2939</v>
      </c>
    </row>
    <row r="143" spans="1:2" x14ac:dyDescent="0.3">
      <c r="A143" s="27" t="s">
        <v>2941</v>
      </c>
      <c r="B143" s="26" t="s">
        <v>2941</v>
      </c>
    </row>
    <row r="144" spans="1:2" x14ac:dyDescent="0.3">
      <c r="A144" s="27" t="s">
        <v>2942</v>
      </c>
      <c r="B144" s="27" t="s">
        <v>2942</v>
      </c>
    </row>
    <row r="145" spans="1:2" x14ac:dyDescent="0.3">
      <c r="A145" s="26" t="s">
        <v>2944</v>
      </c>
      <c r="B145" s="26" t="s">
        <v>2944</v>
      </c>
    </row>
    <row r="146" spans="1:2" x14ac:dyDescent="0.3">
      <c r="A146" s="27" t="s">
        <v>2949</v>
      </c>
      <c r="B146" s="27" t="s">
        <v>2949</v>
      </c>
    </row>
    <row r="147" spans="1:2" x14ac:dyDescent="0.3">
      <c r="A147" s="26" t="s">
        <v>2953</v>
      </c>
      <c r="B147" s="26" t="s">
        <v>2953</v>
      </c>
    </row>
    <row r="148" spans="1:2" x14ac:dyDescent="0.3">
      <c r="A148" s="26" t="s">
        <v>2957</v>
      </c>
      <c r="B148" s="27" t="s">
        <v>2957</v>
      </c>
    </row>
    <row r="149" spans="1:2" x14ac:dyDescent="0.3">
      <c r="A149" s="27" t="s">
        <v>2960</v>
      </c>
      <c r="B149" s="26" t="s">
        <v>2960</v>
      </c>
    </row>
    <row r="150" spans="1:2" x14ac:dyDescent="0.3">
      <c r="A150" s="26" t="s">
        <v>2963</v>
      </c>
      <c r="B150" s="27" t="s">
        <v>2963</v>
      </c>
    </row>
    <row r="151" spans="1:2" x14ac:dyDescent="0.3">
      <c r="A151" s="27" t="s">
        <v>2966</v>
      </c>
      <c r="B151" s="26" t="s">
        <v>2966</v>
      </c>
    </row>
    <row r="152" spans="1:2" x14ac:dyDescent="0.3">
      <c r="A152" s="27" t="s">
        <v>2968</v>
      </c>
      <c r="B152" s="27" t="s">
        <v>2968</v>
      </c>
    </row>
    <row r="153" spans="1:2" x14ac:dyDescent="0.3">
      <c r="A153" s="26" t="s">
        <v>2970</v>
      </c>
      <c r="B153" s="26" t="s">
        <v>2970</v>
      </c>
    </row>
    <row r="154" spans="1:2" x14ac:dyDescent="0.3">
      <c r="A154" s="27" t="s">
        <v>2975</v>
      </c>
      <c r="B154" s="27" t="s">
        <v>2975</v>
      </c>
    </row>
    <row r="155" spans="1:2" x14ac:dyDescent="0.3">
      <c r="A155" s="26" t="s">
        <v>2979</v>
      </c>
      <c r="B155" s="26" t="s">
        <v>2979</v>
      </c>
    </row>
    <row r="156" spans="1:2" x14ac:dyDescent="0.3">
      <c r="A156" s="27" t="s">
        <v>2986</v>
      </c>
      <c r="B156" s="27" t="s">
        <v>2986</v>
      </c>
    </row>
    <row r="157" spans="1:2" x14ac:dyDescent="0.3">
      <c r="A157" s="27" t="s">
        <v>2987</v>
      </c>
      <c r="B157" s="26" t="s">
        <v>2987</v>
      </c>
    </row>
    <row r="158" spans="1:2" x14ac:dyDescent="0.3">
      <c r="A158" s="26" t="s">
        <v>2989</v>
      </c>
      <c r="B158" s="27" t="s">
        <v>2989</v>
      </c>
    </row>
    <row r="159" spans="1:2" x14ac:dyDescent="0.3">
      <c r="A159" s="26" t="s">
        <v>2990</v>
      </c>
      <c r="B159" s="26" t="s">
        <v>2990</v>
      </c>
    </row>
    <row r="160" spans="1:2" x14ac:dyDescent="0.3">
      <c r="A160" s="27" t="s">
        <v>2996</v>
      </c>
      <c r="B160" s="27" t="s">
        <v>2996</v>
      </c>
    </row>
    <row r="161" spans="1:2" x14ac:dyDescent="0.3">
      <c r="A161" s="27" t="s">
        <v>2997</v>
      </c>
      <c r="B161" s="26" t="s">
        <v>2997</v>
      </c>
    </row>
    <row r="162" spans="1:2" x14ac:dyDescent="0.3">
      <c r="A162" s="27" t="s">
        <v>3000</v>
      </c>
      <c r="B162" s="27" t="s">
        <v>3000</v>
      </c>
    </row>
    <row r="163" spans="1:2" x14ac:dyDescent="0.3">
      <c r="A163" s="26" t="s">
        <v>3002</v>
      </c>
      <c r="B163" s="26" t="s">
        <v>3002</v>
      </c>
    </row>
    <row r="164" spans="1:2" x14ac:dyDescent="0.3">
      <c r="A164" s="26" t="s">
        <v>3005</v>
      </c>
      <c r="B164" s="27" t="s">
        <v>3005</v>
      </c>
    </row>
    <row r="165" spans="1:2" x14ac:dyDescent="0.3">
      <c r="A165" s="27" t="s">
        <v>3007</v>
      </c>
      <c r="B165" s="26" t="s">
        <v>3007</v>
      </c>
    </row>
    <row r="166" spans="1:2" x14ac:dyDescent="0.3">
      <c r="A166" s="26" t="s">
        <v>3009</v>
      </c>
      <c r="B166" s="27" t="s">
        <v>3009</v>
      </c>
    </row>
    <row r="167" spans="1:2" x14ac:dyDescent="0.3">
      <c r="A167" s="27" t="s">
        <v>3010</v>
      </c>
      <c r="B167" s="26" t="s">
        <v>3010</v>
      </c>
    </row>
    <row r="168" spans="1:2" x14ac:dyDescent="0.3">
      <c r="A168" s="26" t="s">
        <v>3012</v>
      </c>
      <c r="B168" s="27" t="s">
        <v>3012</v>
      </c>
    </row>
    <row r="169" spans="1:2" x14ac:dyDescent="0.3">
      <c r="A169" s="27" t="s">
        <v>3016</v>
      </c>
      <c r="B169" s="26" t="s">
        <v>3016</v>
      </c>
    </row>
    <row r="170" spans="1:2" x14ac:dyDescent="0.3">
      <c r="A170" s="26" t="s">
        <v>3018</v>
      </c>
      <c r="B170" s="27" t="s">
        <v>3018</v>
      </c>
    </row>
    <row r="171" spans="1:2" x14ac:dyDescent="0.3">
      <c r="A171" s="27" t="s">
        <v>3019</v>
      </c>
      <c r="B171" s="26" t="s">
        <v>3019</v>
      </c>
    </row>
    <row r="172" spans="1:2" x14ac:dyDescent="0.3">
      <c r="A172" s="26" t="s">
        <v>3021</v>
      </c>
      <c r="B172" s="27" t="s">
        <v>3021</v>
      </c>
    </row>
    <row r="173" spans="1:2" x14ac:dyDescent="0.3">
      <c r="A173" s="26" t="s">
        <v>3023</v>
      </c>
      <c r="B173" s="26" t="s">
        <v>3023</v>
      </c>
    </row>
    <row r="174" spans="1:2" x14ac:dyDescent="0.3">
      <c r="A174" s="26" t="s">
        <v>3025</v>
      </c>
      <c r="B174" s="27" t="s">
        <v>3025</v>
      </c>
    </row>
    <row r="175" spans="1:2" x14ac:dyDescent="0.3">
      <c r="A175" s="26" t="s">
        <v>3026</v>
      </c>
      <c r="B175" s="26" t="s">
        <v>3026</v>
      </c>
    </row>
    <row r="176" spans="1:2" x14ac:dyDescent="0.3">
      <c r="A176" s="26" t="s">
        <v>3027</v>
      </c>
      <c r="B176" s="27" t="s">
        <v>3027</v>
      </c>
    </row>
    <row r="177" spans="1:2" x14ac:dyDescent="0.3">
      <c r="A177" s="27" t="s">
        <v>3030</v>
      </c>
      <c r="B177" s="26" t="s">
        <v>3030</v>
      </c>
    </row>
    <row r="178" spans="1:2" x14ac:dyDescent="0.3">
      <c r="A178" s="26" t="s">
        <v>3031</v>
      </c>
      <c r="B178" s="27" t="s">
        <v>3031</v>
      </c>
    </row>
    <row r="179" spans="1:2" x14ac:dyDescent="0.3">
      <c r="A179" s="27" t="s">
        <v>3032</v>
      </c>
      <c r="B179" s="26" t="s">
        <v>3032</v>
      </c>
    </row>
    <row r="180" spans="1:2" x14ac:dyDescent="0.3">
      <c r="A180" s="26" t="s">
        <v>3033</v>
      </c>
      <c r="B180" s="27" t="s">
        <v>3033</v>
      </c>
    </row>
    <row r="181" spans="1:2" x14ac:dyDescent="0.3">
      <c r="A181" s="27" t="s">
        <v>3038</v>
      </c>
      <c r="B181" s="26" t="s">
        <v>3038</v>
      </c>
    </row>
    <row r="182" spans="1:2" x14ac:dyDescent="0.3">
      <c r="A182" s="27" t="s">
        <v>3039</v>
      </c>
      <c r="B182" s="27" t="s">
        <v>3039</v>
      </c>
    </row>
    <row r="183" spans="1:2" x14ac:dyDescent="0.3">
      <c r="A183" s="26" t="s">
        <v>3041</v>
      </c>
      <c r="B183" s="26" t="s">
        <v>3041</v>
      </c>
    </row>
    <row r="184" spans="1:2" x14ac:dyDescent="0.3">
      <c r="A184" s="26" t="s">
        <v>3042</v>
      </c>
      <c r="B184" s="27" t="s">
        <v>3042</v>
      </c>
    </row>
    <row r="185" spans="1:2" x14ac:dyDescent="0.3">
      <c r="A185" s="27" t="s">
        <v>3044</v>
      </c>
      <c r="B185" s="26" t="s">
        <v>3044</v>
      </c>
    </row>
    <row r="186" spans="1:2" x14ac:dyDescent="0.3">
      <c r="A186" s="27" t="s">
        <v>3046</v>
      </c>
      <c r="B186" s="27" t="s">
        <v>3046</v>
      </c>
    </row>
    <row r="187" spans="1:2" x14ac:dyDescent="0.3">
      <c r="A187" s="26" t="s">
        <v>3047</v>
      </c>
      <c r="B187" s="26" t="s">
        <v>3047</v>
      </c>
    </row>
    <row r="188" spans="1:2" x14ac:dyDescent="0.3">
      <c r="A188" s="27" t="s">
        <v>3048</v>
      </c>
      <c r="B188" s="27" t="s">
        <v>3048</v>
      </c>
    </row>
    <row r="189" spans="1:2" x14ac:dyDescent="0.3">
      <c r="A189" s="27" t="s">
        <v>3057</v>
      </c>
      <c r="B189" s="26" t="s">
        <v>3052</v>
      </c>
    </row>
    <row r="190" spans="1:2" x14ac:dyDescent="0.3">
      <c r="A190" s="26" t="s">
        <v>3058</v>
      </c>
      <c r="B190" s="27" t="s">
        <v>3057</v>
      </c>
    </row>
    <row r="191" spans="1:2" x14ac:dyDescent="0.3">
      <c r="A191" s="27" t="s">
        <v>3059</v>
      </c>
      <c r="B191" s="26" t="s">
        <v>3058</v>
      </c>
    </row>
    <row r="192" spans="1:2" x14ac:dyDescent="0.3">
      <c r="A192" s="27" t="s">
        <v>3062</v>
      </c>
      <c r="B192" s="27" t="s">
        <v>3059</v>
      </c>
    </row>
    <row r="193" spans="1:2" x14ac:dyDescent="0.3">
      <c r="A193" s="26" t="s">
        <v>3064</v>
      </c>
      <c r="B193" s="26" t="s">
        <v>3062</v>
      </c>
    </row>
    <row r="194" spans="1:2" x14ac:dyDescent="0.3">
      <c r="A194" s="26" t="s">
        <v>3066</v>
      </c>
      <c r="B194" s="27" t="s">
        <v>3064</v>
      </c>
    </row>
    <row r="195" spans="1:2" x14ac:dyDescent="0.3">
      <c r="A195" s="27" t="s">
        <v>3067</v>
      </c>
      <c r="B195" s="26" t="s">
        <v>3066</v>
      </c>
    </row>
    <row r="196" spans="1:2" x14ac:dyDescent="0.3">
      <c r="A196" s="27" t="s">
        <v>3069</v>
      </c>
      <c r="B196" s="27" t="s">
        <v>3067</v>
      </c>
    </row>
    <row r="197" spans="1:2" x14ac:dyDescent="0.3">
      <c r="A197" s="26" t="s">
        <v>3072</v>
      </c>
      <c r="B197" s="26" t="s">
        <v>3069</v>
      </c>
    </row>
    <row r="198" spans="1:2" x14ac:dyDescent="0.3">
      <c r="A198" s="27" t="s">
        <v>3073</v>
      </c>
      <c r="B198" s="27" t="s">
        <v>3072</v>
      </c>
    </row>
    <row r="199" spans="1:2" x14ac:dyDescent="0.3">
      <c r="A199" s="26" t="s">
        <v>3078</v>
      </c>
      <c r="B199" s="26" t="s">
        <v>3073</v>
      </c>
    </row>
    <row r="200" spans="1:2" x14ac:dyDescent="0.3">
      <c r="A200" s="26" t="s">
        <v>3079</v>
      </c>
      <c r="B200" s="27" t="s">
        <v>3078</v>
      </c>
    </row>
    <row r="201" spans="1:2" x14ac:dyDescent="0.3">
      <c r="A201" s="27" t="s">
        <v>3080</v>
      </c>
      <c r="B201" s="26" t="s">
        <v>3079</v>
      </c>
    </row>
    <row r="202" spans="1:2" x14ac:dyDescent="0.3">
      <c r="A202" s="26" t="s">
        <v>3083</v>
      </c>
      <c r="B202" s="27" t="s">
        <v>3080</v>
      </c>
    </row>
    <row r="203" spans="1:2" x14ac:dyDescent="0.3">
      <c r="A203" s="26" t="s">
        <v>3086</v>
      </c>
      <c r="B203" s="26" t="s">
        <v>3083</v>
      </c>
    </row>
    <row r="204" spans="1:2" x14ac:dyDescent="0.3">
      <c r="A204" s="27" t="s">
        <v>3087</v>
      </c>
      <c r="B204" s="27" t="s">
        <v>3086</v>
      </c>
    </row>
    <row r="205" spans="1:2" x14ac:dyDescent="0.3">
      <c r="A205" s="27" t="s">
        <v>3089</v>
      </c>
      <c r="B205" s="26" t="s">
        <v>3087</v>
      </c>
    </row>
    <row r="206" spans="1:2" x14ac:dyDescent="0.3">
      <c r="A206" s="26" t="s">
        <v>3091</v>
      </c>
      <c r="B206" s="27" t="s">
        <v>3089</v>
      </c>
    </row>
    <row r="207" spans="1:2" x14ac:dyDescent="0.3">
      <c r="A207" s="27" t="s">
        <v>3092</v>
      </c>
      <c r="B207" s="26" t="s">
        <v>3091</v>
      </c>
    </row>
    <row r="208" spans="1:2" x14ac:dyDescent="0.3">
      <c r="A208" s="26" t="s">
        <v>3093</v>
      </c>
      <c r="B208" s="27" t="s">
        <v>3092</v>
      </c>
    </row>
    <row r="209" spans="1:2" x14ac:dyDescent="0.3">
      <c r="A209" s="27" t="s">
        <v>3094</v>
      </c>
      <c r="B209" s="26" t="s">
        <v>3093</v>
      </c>
    </row>
    <row r="210" spans="1:2" x14ac:dyDescent="0.3">
      <c r="A210" s="26" t="s">
        <v>3095</v>
      </c>
      <c r="B210" s="27" t="s">
        <v>3094</v>
      </c>
    </row>
    <row r="211" spans="1:2" x14ac:dyDescent="0.3">
      <c r="A211" s="27" t="s">
        <v>3096</v>
      </c>
      <c r="B211" s="26" t="s">
        <v>3095</v>
      </c>
    </row>
    <row r="212" spans="1:2" x14ac:dyDescent="0.3">
      <c r="A212" s="27" t="s">
        <v>3098</v>
      </c>
      <c r="B212" s="27" t="s">
        <v>3096</v>
      </c>
    </row>
    <row r="213" spans="1:2" x14ac:dyDescent="0.3">
      <c r="A213" s="26" t="s">
        <v>3102</v>
      </c>
      <c r="B213" s="26" t="s">
        <v>3098</v>
      </c>
    </row>
    <row r="214" spans="1:2" x14ac:dyDescent="0.3">
      <c r="A214" s="27" t="s">
        <v>3103</v>
      </c>
      <c r="B214" s="27" t="s">
        <v>3102</v>
      </c>
    </row>
    <row r="215" spans="1:2" x14ac:dyDescent="0.3">
      <c r="A215" s="27" t="s">
        <v>3107</v>
      </c>
      <c r="B215" s="26" t="s">
        <v>3103</v>
      </c>
    </row>
    <row r="216" spans="1:2" x14ac:dyDescent="0.3">
      <c r="B216" s="27" t="s">
        <v>3107</v>
      </c>
    </row>
  </sheetData>
  <conditionalFormatting sqref="A1:B215">
    <cfRule type="duplicateValues" dxfId="0" priority="1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EEFF2-C394-4563-822C-D572FDD0FC19}">
  <dimension ref="A1:L219"/>
  <sheetViews>
    <sheetView workbookViewId="0">
      <pane ySplit="1" topLeftCell="A37" activePane="bottomLeft" state="frozen"/>
      <selection pane="bottomLeft" activeCell="D14" sqref="D14"/>
    </sheetView>
  </sheetViews>
  <sheetFormatPr defaultRowHeight="14.4" x14ac:dyDescent="0.3"/>
  <cols>
    <col min="1" max="1" width="11.33203125" bestFit="1" customWidth="1"/>
    <col min="2" max="2" width="12.5546875" customWidth="1"/>
    <col min="3" max="3" width="20.6640625" customWidth="1"/>
    <col min="4" max="4" width="21.109375" customWidth="1"/>
    <col min="5" max="5" width="18.44140625" customWidth="1"/>
    <col min="6" max="6" width="20.109375" customWidth="1"/>
    <col min="7" max="7" width="14" customWidth="1"/>
    <col min="8" max="8" width="14.88671875" customWidth="1"/>
    <col min="9" max="9" width="16.88671875" customWidth="1"/>
    <col min="10" max="10" width="20.109375" customWidth="1"/>
    <col min="11" max="11" width="20.44140625" bestFit="1" customWidth="1"/>
    <col min="12" max="12" width="15" bestFit="1" customWidth="1"/>
  </cols>
  <sheetData>
    <row r="1" spans="1:12" ht="21.75" customHeight="1" x14ac:dyDescent="0.3">
      <c r="A1" s="17" t="s">
        <v>2621</v>
      </c>
      <c r="B1" s="17" t="s">
        <v>3125</v>
      </c>
      <c r="C1" s="17" t="s">
        <v>3126</v>
      </c>
      <c r="D1" s="17" t="s">
        <v>3127</v>
      </c>
      <c r="E1" s="17" t="s">
        <v>3128</v>
      </c>
      <c r="F1" s="17" t="s">
        <v>3129</v>
      </c>
      <c r="G1" s="18" t="s">
        <v>3130</v>
      </c>
      <c r="H1" s="18" t="s">
        <v>3131</v>
      </c>
      <c r="I1" s="18" t="s">
        <v>3132</v>
      </c>
      <c r="J1" s="18" t="s">
        <v>3133</v>
      </c>
      <c r="K1" s="18" t="s">
        <v>3134</v>
      </c>
      <c r="L1" s="18" t="s">
        <v>3135</v>
      </c>
    </row>
    <row r="2" spans="1:12" x14ac:dyDescent="0.3">
      <c r="A2" s="20" t="s">
        <v>2629</v>
      </c>
      <c r="B2" s="20">
        <v>5</v>
      </c>
      <c r="C2" s="20" t="b">
        <v>0</v>
      </c>
      <c r="D2" s="20" t="b">
        <v>0</v>
      </c>
      <c r="E2" s="20" t="b">
        <v>0</v>
      </c>
      <c r="F2" s="20" t="b">
        <v>0</v>
      </c>
      <c r="G2" s="20">
        <v>45322.50765</v>
      </c>
      <c r="H2" s="20">
        <v>45333</v>
      </c>
      <c r="I2" s="21">
        <v>45333.6728</v>
      </c>
      <c r="J2" s="20">
        <v>11.17</v>
      </c>
      <c r="K2" s="20">
        <v>-0.67</v>
      </c>
      <c r="L2" s="20" t="s">
        <v>3116</v>
      </c>
    </row>
    <row r="3" spans="1:12" x14ac:dyDescent="0.3">
      <c r="A3" s="20" t="s">
        <v>2630</v>
      </c>
      <c r="B3" s="20">
        <v>4</v>
      </c>
      <c r="C3" s="20" t="b">
        <v>1</v>
      </c>
      <c r="D3" s="20" t="b">
        <v>0</v>
      </c>
      <c r="E3" s="20" t="b">
        <v>0</v>
      </c>
      <c r="F3" s="20" t="b">
        <v>0</v>
      </c>
      <c r="G3" s="20">
        <v>45323.16012</v>
      </c>
      <c r="H3" s="20">
        <v>45329</v>
      </c>
      <c r="I3" s="20">
        <v>45329.69616</v>
      </c>
      <c r="J3" s="20">
        <v>6.54</v>
      </c>
      <c r="K3" s="20">
        <v>-0.7</v>
      </c>
      <c r="L3" s="20" t="s">
        <v>3116</v>
      </c>
    </row>
    <row r="4" spans="1:12" x14ac:dyDescent="0.3">
      <c r="A4" s="20" t="s">
        <v>2632</v>
      </c>
      <c r="B4" s="20">
        <v>3</v>
      </c>
      <c r="C4" s="20" t="b">
        <v>0</v>
      </c>
      <c r="D4" s="20" t="b">
        <v>1</v>
      </c>
      <c r="E4" s="20" t="b">
        <v>0</v>
      </c>
      <c r="F4" s="20" t="b">
        <v>0</v>
      </c>
      <c r="G4" s="20">
        <v>45355.06682</v>
      </c>
      <c r="H4" s="20">
        <v>45359</v>
      </c>
      <c r="I4" s="20">
        <v>45361.396189999999</v>
      </c>
      <c r="J4" s="20">
        <v>6.33</v>
      </c>
      <c r="K4" s="20">
        <v>-2.4</v>
      </c>
      <c r="L4" s="20" t="s">
        <v>3116</v>
      </c>
    </row>
    <row r="5" spans="1:12" x14ac:dyDescent="0.3">
      <c r="A5" s="20" t="s">
        <v>2633</v>
      </c>
      <c r="B5" s="20">
        <v>4</v>
      </c>
      <c r="C5" s="20" t="b">
        <v>0</v>
      </c>
      <c r="D5" s="20" t="b">
        <v>0</v>
      </c>
      <c r="E5" s="20" t="b">
        <v>0</v>
      </c>
      <c r="F5" s="20" t="b">
        <v>0</v>
      </c>
      <c r="G5" s="20">
        <v>45356.482909999999</v>
      </c>
      <c r="H5" s="20">
        <v>45358</v>
      </c>
      <c r="I5" s="20">
        <v>45358.604639999998</v>
      </c>
      <c r="J5" s="20">
        <v>2.12</v>
      </c>
      <c r="K5" s="20">
        <v>-0.6</v>
      </c>
      <c r="L5" s="20" t="s">
        <v>3116</v>
      </c>
    </row>
    <row r="6" spans="1:12" x14ac:dyDescent="0.3">
      <c r="A6" s="20" t="s">
        <v>2634</v>
      </c>
      <c r="B6" s="20">
        <v>5</v>
      </c>
      <c r="C6" s="20" t="b">
        <v>0</v>
      </c>
      <c r="D6" s="20" t="b">
        <v>1</v>
      </c>
      <c r="E6" s="20" t="b">
        <v>0</v>
      </c>
      <c r="F6" s="20" t="b">
        <v>0</v>
      </c>
      <c r="G6" s="20">
        <v>45358.174120000003</v>
      </c>
      <c r="H6" s="20">
        <v>45363</v>
      </c>
      <c r="I6" s="20">
        <v>45363.655659999997</v>
      </c>
      <c r="J6" s="20">
        <v>5.48</v>
      </c>
      <c r="K6" s="20">
        <v>-0.66</v>
      </c>
      <c r="L6" s="20" t="s">
        <v>3116</v>
      </c>
    </row>
    <row r="7" spans="1:12" x14ac:dyDescent="0.3">
      <c r="A7" s="20" t="s">
        <v>2636</v>
      </c>
      <c r="B7" s="20">
        <v>4</v>
      </c>
      <c r="C7" s="20" t="b">
        <v>1</v>
      </c>
      <c r="D7" s="20" t="b">
        <v>1</v>
      </c>
      <c r="E7" s="20" t="b">
        <v>0</v>
      </c>
      <c r="F7" s="20" t="b">
        <v>0</v>
      </c>
      <c r="G7" s="20">
        <v>45376.196960000001</v>
      </c>
      <c r="H7" s="20">
        <v>45381</v>
      </c>
      <c r="I7" s="20">
        <v>45382.512410000003</v>
      </c>
      <c r="J7" s="20">
        <v>6.32</v>
      </c>
      <c r="K7" s="20">
        <v>-1.51</v>
      </c>
      <c r="L7" s="20" t="s">
        <v>3116</v>
      </c>
    </row>
    <row r="8" spans="1:12" x14ac:dyDescent="0.3">
      <c r="A8" s="20" t="s">
        <v>2637</v>
      </c>
      <c r="B8" s="20">
        <v>4</v>
      </c>
      <c r="C8" s="20" t="b">
        <v>0</v>
      </c>
      <c r="D8" s="20" t="b">
        <v>0</v>
      </c>
      <c r="E8" s="20" t="b">
        <v>0</v>
      </c>
      <c r="F8" s="20" t="b">
        <v>0</v>
      </c>
      <c r="G8" s="20">
        <v>45378.180760000003</v>
      </c>
      <c r="H8" s="20">
        <v>45386</v>
      </c>
      <c r="I8" s="20">
        <v>45386.642350000002</v>
      </c>
      <c r="J8" s="20">
        <v>8.4600000000000009</v>
      </c>
      <c r="K8" s="20">
        <v>-0.64</v>
      </c>
      <c r="L8" s="20" t="s">
        <v>3116</v>
      </c>
    </row>
    <row r="9" spans="1:12" x14ac:dyDescent="0.3">
      <c r="A9" s="20" t="s">
        <v>2640</v>
      </c>
      <c r="B9" s="20">
        <v>4</v>
      </c>
      <c r="C9" s="20" t="b">
        <v>0</v>
      </c>
      <c r="D9" s="20" t="b">
        <v>0</v>
      </c>
      <c r="E9" s="20" t="b">
        <v>0</v>
      </c>
      <c r="F9" s="20" t="b">
        <v>0</v>
      </c>
      <c r="G9" s="20">
        <v>45387.401019999998</v>
      </c>
      <c r="H9" s="20">
        <v>45397</v>
      </c>
      <c r="I9" s="20">
        <v>45396.668060000004</v>
      </c>
      <c r="J9" s="20">
        <v>9.27</v>
      </c>
      <c r="K9" s="20">
        <v>0.33</v>
      </c>
      <c r="L9" s="20" t="s">
        <v>3123</v>
      </c>
    </row>
    <row r="10" spans="1:12" x14ac:dyDescent="0.3">
      <c r="A10" s="20" t="s">
        <v>2664</v>
      </c>
      <c r="B10" s="20">
        <v>1</v>
      </c>
      <c r="C10" s="20" t="b">
        <v>0</v>
      </c>
      <c r="D10" s="20" t="b">
        <v>0</v>
      </c>
      <c r="E10" s="20" t="b">
        <v>0</v>
      </c>
      <c r="F10" s="20" t="b">
        <v>0</v>
      </c>
      <c r="G10" s="20">
        <v>45434.082430000002</v>
      </c>
      <c r="H10" s="20">
        <v>45438</v>
      </c>
      <c r="I10" s="20">
        <v>45439.710729999999</v>
      </c>
      <c r="J10" s="20">
        <v>5.63</v>
      </c>
      <c r="K10" s="20">
        <v>-1.71</v>
      </c>
      <c r="L10" s="20" t="s">
        <v>3116</v>
      </c>
    </row>
    <row r="11" spans="1:12" x14ac:dyDescent="0.3">
      <c r="A11" s="20" t="s">
        <v>2646</v>
      </c>
      <c r="B11" s="20">
        <v>4</v>
      </c>
      <c r="C11" s="20" t="b">
        <v>0</v>
      </c>
      <c r="D11" s="20" t="b">
        <v>1</v>
      </c>
      <c r="E11" s="20" t="b">
        <v>0</v>
      </c>
      <c r="F11" s="20" t="b">
        <v>0</v>
      </c>
      <c r="G11" s="20">
        <v>45397.27648</v>
      </c>
      <c r="H11" s="20">
        <v>45402</v>
      </c>
      <c r="I11" s="20">
        <v>45402.500590000003</v>
      </c>
      <c r="J11" s="20">
        <v>5.22</v>
      </c>
      <c r="K11" s="20">
        <v>-0.5</v>
      </c>
      <c r="L11" s="20" t="s">
        <v>3116</v>
      </c>
    </row>
    <row r="12" spans="1:12" x14ac:dyDescent="0.3">
      <c r="A12" s="20" t="s">
        <v>2647</v>
      </c>
      <c r="B12" s="20">
        <v>3</v>
      </c>
      <c r="C12" s="20" t="b">
        <v>0</v>
      </c>
      <c r="D12" s="20" t="b">
        <v>0</v>
      </c>
      <c r="E12" s="20" t="b">
        <v>0</v>
      </c>
      <c r="F12" s="20" t="b">
        <v>0</v>
      </c>
      <c r="G12" s="20">
        <v>45401.792999999998</v>
      </c>
      <c r="H12" s="20">
        <v>45409</v>
      </c>
      <c r="I12" s="20">
        <v>45409.621639999998</v>
      </c>
      <c r="J12" s="20">
        <v>7.83</v>
      </c>
      <c r="K12" s="20">
        <v>-0.62</v>
      </c>
      <c r="L12" s="20" t="s">
        <v>3116</v>
      </c>
    </row>
    <row r="13" spans="1:12" x14ac:dyDescent="0.3">
      <c r="A13" s="20" t="s">
        <v>2648</v>
      </c>
      <c r="B13" s="20">
        <v>3</v>
      </c>
      <c r="C13" s="20" t="b">
        <v>0</v>
      </c>
      <c r="D13" s="20" t="b">
        <v>0</v>
      </c>
      <c r="E13" s="20" t="b">
        <v>0</v>
      </c>
      <c r="F13" s="20" t="b">
        <v>0</v>
      </c>
      <c r="G13" s="20">
        <v>45405.789799999999</v>
      </c>
      <c r="H13" s="20">
        <v>45411</v>
      </c>
      <c r="I13" s="20">
        <v>45410.640070000001</v>
      </c>
      <c r="J13" s="20">
        <v>4.8499999999999996</v>
      </c>
      <c r="K13" s="20">
        <v>0.36</v>
      </c>
      <c r="L13" s="20" t="s">
        <v>3123</v>
      </c>
    </row>
    <row r="14" spans="1:12" x14ac:dyDescent="0.3">
      <c r="A14" s="20" t="s">
        <v>2691</v>
      </c>
      <c r="B14" s="20">
        <v>1</v>
      </c>
      <c r="C14" s="20" t="b">
        <v>0</v>
      </c>
      <c r="D14" s="20" t="b">
        <v>1</v>
      </c>
      <c r="E14" s="20" t="b">
        <v>0</v>
      </c>
      <c r="F14" s="20" t="b">
        <v>0</v>
      </c>
      <c r="G14" s="20">
        <v>45468.427519999997</v>
      </c>
      <c r="H14" s="20">
        <v>45476</v>
      </c>
      <c r="I14" s="20">
        <v>45478.566149999999</v>
      </c>
      <c r="J14" s="20">
        <v>10.14</v>
      </c>
      <c r="K14" s="20">
        <v>-2.57</v>
      </c>
      <c r="L14" s="20" t="s">
        <v>3116</v>
      </c>
    </row>
    <row r="15" spans="1:12" x14ac:dyDescent="0.3">
      <c r="A15" s="20" t="s">
        <v>2653</v>
      </c>
      <c r="B15" s="20">
        <v>5</v>
      </c>
      <c r="C15" s="20" t="b">
        <v>0</v>
      </c>
      <c r="D15" s="20" t="b">
        <v>1</v>
      </c>
      <c r="E15" s="20" t="b">
        <v>0</v>
      </c>
      <c r="F15" s="20" t="b">
        <v>0</v>
      </c>
      <c r="G15" s="20">
        <v>45418.123359999998</v>
      </c>
      <c r="H15" s="20">
        <v>45424</v>
      </c>
      <c r="I15" s="20">
        <v>45423.705959999999</v>
      </c>
      <c r="J15" s="20">
        <v>5.58</v>
      </c>
      <c r="K15" s="20">
        <v>0.28999999999999998</v>
      </c>
      <c r="L15" s="20" t="s">
        <v>3123</v>
      </c>
    </row>
    <row r="16" spans="1:12" x14ac:dyDescent="0.3">
      <c r="A16" s="20" t="s">
        <v>2655</v>
      </c>
      <c r="B16" s="20">
        <v>5</v>
      </c>
      <c r="C16" s="20" t="b">
        <v>0</v>
      </c>
      <c r="D16" s="20" t="b">
        <v>0</v>
      </c>
      <c r="E16" s="20" t="b">
        <v>0</v>
      </c>
      <c r="F16" s="20" t="b">
        <v>0</v>
      </c>
      <c r="G16" s="20">
        <v>45420.810530000002</v>
      </c>
      <c r="H16" s="20">
        <v>45423</v>
      </c>
      <c r="I16" s="20">
        <v>45423.549500000001</v>
      </c>
      <c r="J16" s="20">
        <v>2.74</v>
      </c>
      <c r="K16" s="20">
        <v>-0.55000000000000004</v>
      </c>
      <c r="L16" s="20" t="s">
        <v>3116</v>
      </c>
    </row>
    <row r="17" spans="1:12" x14ac:dyDescent="0.3">
      <c r="A17" s="20" t="s">
        <v>2658</v>
      </c>
      <c r="B17" s="20">
        <v>3</v>
      </c>
      <c r="C17" s="20" t="b">
        <v>0</v>
      </c>
      <c r="D17" s="20" t="b">
        <v>0</v>
      </c>
      <c r="E17" s="20" t="b">
        <v>0</v>
      </c>
      <c r="F17" s="20" t="b">
        <v>0</v>
      </c>
      <c r="G17" s="20">
        <v>45423.956619999997</v>
      </c>
      <c r="H17" s="20">
        <v>45433</v>
      </c>
      <c r="I17" s="20">
        <v>45434.572840000001</v>
      </c>
      <c r="J17" s="20">
        <v>10.62</v>
      </c>
      <c r="K17" s="20">
        <v>-1.57</v>
      </c>
      <c r="L17" s="20" t="s">
        <v>3116</v>
      </c>
    </row>
    <row r="18" spans="1:12" x14ac:dyDescent="0.3">
      <c r="A18" s="20" t="s">
        <v>2659</v>
      </c>
      <c r="B18" s="20">
        <v>3</v>
      </c>
      <c r="C18" s="20" t="b">
        <v>0</v>
      </c>
      <c r="D18" s="20" t="b">
        <v>0</v>
      </c>
      <c r="E18" s="20" t="b">
        <v>0</v>
      </c>
      <c r="F18" s="20" t="b">
        <v>0</v>
      </c>
      <c r="G18" s="20">
        <v>45426.095240000002</v>
      </c>
      <c r="H18" s="20">
        <v>45430</v>
      </c>
      <c r="I18" s="20">
        <v>45432.50477</v>
      </c>
      <c r="J18" s="20">
        <v>6.41</v>
      </c>
      <c r="K18" s="20">
        <v>-2.5</v>
      </c>
      <c r="L18" s="20" t="s">
        <v>3116</v>
      </c>
    </row>
    <row r="19" spans="1:12" x14ac:dyDescent="0.3">
      <c r="A19" s="20" t="s">
        <v>2662</v>
      </c>
      <c r="B19" s="20">
        <v>5</v>
      </c>
      <c r="C19" s="20" t="b">
        <v>0</v>
      </c>
      <c r="D19" s="20" t="b">
        <v>0</v>
      </c>
      <c r="E19" s="20" t="b">
        <v>0</v>
      </c>
      <c r="F19" s="20" t="b">
        <v>0</v>
      </c>
      <c r="G19" s="20">
        <v>45431.483229999998</v>
      </c>
      <c r="H19" s="20">
        <v>45436</v>
      </c>
      <c r="I19" s="20">
        <v>45435.53559</v>
      </c>
      <c r="J19" s="20">
        <v>4.05</v>
      </c>
      <c r="K19" s="20">
        <v>0.46</v>
      </c>
      <c r="L19" s="20" t="s">
        <v>3123</v>
      </c>
    </row>
    <row r="20" spans="1:12" x14ac:dyDescent="0.3">
      <c r="A20" s="20" t="s">
        <v>2663</v>
      </c>
      <c r="B20" s="20">
        <v>5</v>
      </c>
      <c r="C20" s="20" t="b">
        <v>0</v>
      </c>
      <c r="D20" s="20" t="b">
        <v>0</v>
      </c>
      <c r="E20" s="20" t="b">
        <v>0</v>
      </c>
      <c r="F20" s="20" t="b">
        <v>0</v>
      </c>
      <c r="G20" s="20">
        <v>45432.213320000003</v>
      </c>
      <c r="H20" s="20">
        <v>45439</v>
      </c>
      <c r="I20" s="20">
        <v>45440.365839999999</v>
      </c>
      <c r="J20" s="20">
        <v>8.15</v>
      </c>
      <c r="K20" s="20">
        <v>-1.37</v>
      </c>
      <c r="L20" s="20" t="s">
        <v>3116</v>
      </c>
    </row>
    <row r="21" spans="1:12" x14ac:dyDescent="0.3">
      <c r="A21" s="20" t="s">
        <v>2709</v>
      </c>
      <c r="B21" s="20">
        <v>1</v>
      </c>
      <c r="C21" s="20" t="b">
        <v>0</v>
      </c>
      <c r="D21" s="20" t="b">
        <v>0</v>
      </c>
      <c r="E21" s="20" t="b">
        <v>0</v>
      </c>
      <c r="F21" s="20" t="b">
        <v>0</v>
      </c>
      <c r="G21" s="20">
        <v>45597.36997</v>
      </c>
      <c r="H21" s="20">
        <v>45603</v>
      </c>
      <c r="I21" s="20">
        <v>45604.390930000001</v>
      </c>
      <c r="J21" s="20">
        <v>7.02</v>
      </c>
      <c r="K21" s="20">
        <v>-1.39</v>
      </c>
      <c r="L21" s="20" t="s">
        <v>3116</v>
      </c>
    </row>
    <row r="22" spans="1:12" x14ac:dyDescent="0.3">
      <c r="A22" s="20" t="s">
        <v>2666</v>
      </c>
      <c r="B22" s="20">
        <v>3</v>
      </c>
      <c r="C22" s="20" t="b">
        <v>0</v>
      </c>
      <c r="D22" s="20" t="b">
        <v>0</v>
      </c>
      <c r="E22" s="20" t="b">
        <v>0</v>
      </c>
      <c r="F22" s="20" t="b">
        <v>0</v>
      </c>
      <c r="G22" s="20">
        <v>45435.382299999997</v>
      </c>
      <c r="H22" s="20">
        <v>45437</v>
      </c>
      <c r="I22" s="20">
        <v>45437.573880000004</v>
      </c>
      <c r="J22" s="20">
        <v>2.19</v>
      </c>
      <c r="K22" s="20">
        <v>-0.56999999999999995</v>
      </c>
      <c r="L22" s="20" t="s">
        <v>3116</v>
      </c>
    </row>
    <row r="23" spans="1:12" x14ac:dyDescent="0.3">
      <c r="A23" s="20" t="s">
        <v>2670</v>
      </c>
      <c r="B23" s="20">
        <v>5</v>
      </c>
      <c r="C23" s="20" t="b">
        <v>0</v>
      </c>
      <c r="D23" s="20" t="b">
        <v>0</v>
      </c>
      <c r="E23" s="20" t="b">
        <v>0</v>
      </c>
      <c r="F23" s="20" t="b">
        <v>0</v>
      </c>
      <c r="G23" s="20">
        <v>45438.980069999998</v>
      </c>
      <c r="H23" s="20">
        <v>45444</v>
      </c>
      <c r="I23" s="20">
        <v>45444.60211</v>
      </c>
      <c r="J23" s="20">
        <v>5.62</v>
      </c>
      <c r="K23" s="20">
        <v>-0.6</v>
      </c>
      <c r="L23" s="20" t="s">
        <v>3116</v>
      </c>
    </row>
    <row r="24" spans="1:12" x14ac:dyDescent="0.3">
      <c r="A24" s="20" t="s">
        <v>2671</v>
      </c>
      <c r="B24" s="20">
        <v>4</v>
      </c>
      <c r="C24" s="20" t="b">
        <v>1</v>
      </c>
      <c r="D24" s="20" t="b">
        <v>1</v>
      </c>
      <c r="E24" s="20" t="b">
        <v>0</v>
      </c>
      <c r="F24" s="20" t="b">
        <v>0</v>
      </c>
      <c r="G24" s="20">
        <v>45441.688150000002</v>
      </c>
      <c r="H24" s="20">
        <v>45450</v>
      </c>
      <c r="I24" s="20">
        <v>45449.640019999999</v>
      </c>
      <c r="J24" s="20">
        <v>7.95</v>
      </c>
      <c r="K24" s="20">
        <v>0.36</v>
      </c>
      <c r="L24" s="20" t="s">
        <v>3123</v>
      </c>
    </row>
    <row r="25" spans="1:12" x14ac:dyDescent="0.3">
      <c r="A25" s="20" t="s">
        <v>2672</v>
      </c>
      <c r="B25" s="20">
        <v>4</v>
      </c>
      <c r="C25" s="20" t="b">
        <v>0</v>
      </c>
      <c r="D25" s="20" t="b">
        <v>1</v>
      </c>
      <c r="E25" s="20" t="b">
        <v>0</v>
      </c>
      <c r="F25" s="20" t="b">
        <v>0</v>
      </c>
      <c r="G25" s="20">
        <v>45443.648659999999</v>
      </c>
      <c r="H25" s="20">
        <v>45446</v>
      </c>
      <c r="I25" s="20">
        <v>45448.401559999998</v>
      </c>
      <c r="J25" s="20">
        <v>4.75</v>
      </c>
      <c r="K25" s="20">
        <v>-2.4</v>
      </c>
      <c r="L25" s="20" t="s">
        <v>3116</v>
      </c>
    </row>
    <row r="26" spans="1:12" x14ac:dyDescent="0.3">
      <c r="A26" s="20" t="s">
        <v>2673</v>
      </c>
      <c r="B26" s="20">
        <v>4</v>
      </c>
      <c r="C26" s="20" t="b">
        <v>0</v>
      </c>
      <c r="D26" s="20" t="b">
        <v>0</v>
      </c>
      <c r="E26" s="20" t="b">
        <v>1</v>
      </c>
      <c r="F26" s="20" t="b">
        <v>0</v>
      </c>
      <c r="G26" s="20">
        <v>45446.38409</v>
      </c>
      <c r="H26" s="20">
        <v>45453</v>
      </c>
      <c r="I26" s="20">
        <v>45452.726569999999</v>
      </c>
      <c r="J26" s="20">
        <v>6.34</v>
      </c>
      <c r="K26" s="20">
        <v>0.27</v>
      </c>
      <c r="L26" s="20" t="s">
        <v>3123</v>
      </c>
    </row>
    <row r="27" spans="1:12" x14ac:dyDescent="0.3">
      <c r="A27" s="20" t="s">
        <v>2674</v>
      </c>
      <c r="B27" s="20">
        <v>5</v>
      </c>
      <c r="C27" s="20" t="b">
        <v>1</v>
      </c>
      <c r="D27" s="20" t="b">
        <v>0</v>
      </c>
      <c r="E27" s="20" t="b">
        <v>0</v>
      </c>
      <c r="F27" s="20" t="b">
        <v>0</v>
      </c>
      <c r="G27" s="20">
        <v>45447.100160000002</v>
      </c>
      <c r="H27" s="20">
        <v>45450</v>
      </c>
      <c r="I27" s="20">
        <v>45449.70102</v>
      </c>
      <c r="J27" s="20">
        <v>2.6</v>
      </c>
      <c r="K27" s="20">
        <v>0.3</v>
      </c>
      <c r="L27" s="20" t="s">
        <v>3123</v>
      </c>
    </row>
    <row r="28" spans="1:12" x14ac:dyDescent="0.3">
      <c r="A28" s="20" t="s">
        <v>2678</v>
      </c>
      <c r="B28" s="20">
        <v>5</v>
      </c>
      <c r="C28" s="20" t="b">
        <v>1</v>
      </c>
      <c r="D28" s="20" t="b">
        <v>1</v>
      </c>
      <c r="E28" s="20" t="b">
        <v>0</v>
      </c>
      <c r="F28" s="20" t="b">
        <v>0</v>
      </c>
      <c r="G28" s="20">
        <v>45450.610840000001</v>
      </c>
      <c r="H28" s="20">
        <v>45455</v>
      </c>
      <c r="I28" s="20">
        <v>45454.740140000002</v>
      </c>
      <c r="J28" s="20">
        <v>4.13</v>
      </c>
      <c r="K28" s="20">
        <v>0.26</v>
      </c>
      <c r="L28" s="20" t="s">
        <v>3123</v>
      </c>
    </row>
    <row r="29" spans="1:12" x14ac:dyDescent="0.3">
      <c r="A29" s="20" t="s">
        <v>2679</v>
      </c>
      <c r="B29" s="20">
        <v>5</v>
      </c>
      <c r="C29" s="20" t="b">
        <v>0</v>
      </c>
      <c r="D29" s="20" t="b">
        <v>1</v>
      </c>
      <c r="E29" s="20" t="b">
        <v>0</v>
      </c>
      <c r="F29" s="20" t="b">
        <v>0</v>
      </c>
      <c r="G29" s="20">
        <v>45452.310369999999</v>
      </c>
      <c r="H29" s="20">
        <v>45460</v>
      </c>
      <c r="I29" s="20">
        <v>45459.484570000001</v>
      </c>
      <c r="J29" s="20">
        <v>7.17</v>
      </c>
      <c r="K29" s="20">
        <v>0.52</v>
      </c>
      <c r="L29" s="20" t="s">
        <v>3123</v>
      </c>
    </row>
    <row r="30" spans="1:12" x14ac:dyDescent="0.3">
      <c r="A30" s="20" t="s">
        <v>2712</v>
      </c>
      <c r="B30" s="20">
        <v>1</v>
      </c>
      <c r="C30" s="20" t="b">
        <v>0</v>
      </c>
      <c r="D30" s="20" t="b">
        <v>0</v>
      </c>
      <c r="E30" s="20" t="b">
        <v>0</v>
      </c>
      <c r="F30" s="20" t="b">
        <v>0</v>
      </c>
      <c r="G30" s="20">
        <v>45600.69889</v>
      </c>
      <c r="H30" s="20">
        <v>45610</v>
      </c>
      <c r="I30" s="20">
        <v>45611.490189999997</v>
      </c>
      <c r="J30" s="20">
        <v>10.79</v>
      </c>
      <c r="K30" s="20">
        <v>-1.49</v>
      </c>
      <c r="L30" s="20" t="s">
        <v>3116</v>
      </c>
    </row>
    <row r="31" spans="1:12" x14ac:dyDescent="0.3">
      <c r="A31" s="20" t="s">
        <v>2682</v>
      </c>
      <c r="B31" s="20">
        <v>5</v>
      </c>
      <c r="C31" s="20" t="b">
        <v>1</v>
      </c>
      <c r="D31" s="20" t="b">
        <v>1</v>
      </c>
      <c r="E31" s="20" t="b">
        <v>1</v>
      </c>
      <c r="F31" s="20" t="b">
        <v>0</v>
      </c>
      <c r="G31" s="20">
        <v>45458.59953</v>
      </c>
      <c r="H31" s="20">
        <v>45467</v>
      </c>
      <c r="I31" s="20">
        <v>45466.362580000001</v>
      </c>
      <c r="J31" s="20">
        <v>7.76</v>
      </c>
      <c r="K31" s="20">
        <v>0.64</v>
      </c>
      <c r="L31" s="20" t="s">
        <v>3123</v>
      </c>
    </row>
    <row r="32" spans="1:12" x14ac:dyDescent="0.3">
      <c r="A32" s="20" t="s">
        <v>2683</v>
      </c>
      <c r="B32" s="20">
        <v>5</v>
      </c>
      <c r="C32" s="20" t="b">
        <v>0</v>
      </c>
      <c r="D32" s="20" t="b">
        <v>0</v>
      </c>
      <c r="E32" s="20" t="b">
        <v>0</v>
      </c>
      <c r="F32" s="20" t="b">
        <v>1</v>
      </c>
      <c r="G32" s="20">
        <v>45458.936280000002</v>
      </c>
      <c r="H32" s="20">
        <v>45466</v>
      </c>
      <c r="I32" s="20">
        <v>45466.454760000001</v>
      </c>
      <c r="J32" s="20">
        <v>7.52</v>
      </c>
      <c r="K32" s="20">
        <v>-0.45</v>
      </c>
      <c r="L32" s="20" t="s">
        <v>3116</v>
      </c>
    </row>
    <row r="33" spans="1:12" x14ac:dyDescent="0.3">
      <c r="A33" s="20" t="s">
        <v>2684</v>
      </c>
      <c r="B33" s="20">
        <v>3</v>
      </c>
      <c r="C33" s="20" t="b">
        <v>0</v>
      </c>
      <c r="D33" s="20" t="b">
        <v>0</v>
      </c>
      <c r="E33" s="20" t="b">
        <v>0</v>
      </c>
      <c r="F33" s="20" t="b">
        <v>0</v>
      </c>
      <c r="G33" s="20">
        <v>45458.953950000003</v>
      </c>
      <c r="H33" s="20">
        <v>45465</v>
      </c>
      <c r="I33" s="20">
        <v>45467.544560000002</v>
      </c>
      <c r="J33" s="20">
        <v>8.59</v>
      </c>
      <c r="K33" s="20">
        <v>-2.54</v>
      </c>
      <c r="L33" s="20" t="s">
        <v>3116</v>
      </c>
    </row>
    <row r="34" spans="1:12" x14ac:dyDescent="0.3">
      <c r="A34" s="20" t="s">
        <v>2685</v>
      </c>
      <c r="B34" s="20">
        <v>4</v>
      </c>
      <c r="C34" s="20" t="b">
        <v>0</v>
      </c>
      <c r="D34" s="20" t="b">
        <v>0</v>
      </c>
      <c r="E34" s="20" t="b">
        <v>0</v>
      </c>
      <c r="F34" s="20" t="b">
        <v>0</v>
      </c>
      <c r="G34" s="20">
        <v>45460.713680000001</v>
      </c>
      <c r="H34" s="20">
        <v>45467</v>
      </c>
      <c r="I34" s="20">
        <v>45467.606390000001</v>
      </c>
      <c r="J34" s="20">
        <v>6.89</v>
      </c>
      <c r="K34" s="20">
        <v>-0.61</v>
      </c>
      <c r="L34" s="20" t="s">
        <v>3116</v>
      </c>
    </row>
    <row r="35" spans="1:12" x14ac:dyDescent="0.3">
      <c r="A35" s="20" t="s">
        <v>2689</v>
      </c>
      <c r="B35" s="20">
        <v>4</v>
      </c>
      <c r="C35" s="20" t="b">
        <v>0</v>
      </c>
      <c r="D35" s="20" t="b">
        <v>1</v>
      </c>
      <c r="E35" s="20" t="b">
        <v>0</v>
      </c>
      <c r="F35" s="20" t="b">
        <v>0</v>
      </c>
      <c r="G35" s="20">
        <v>45465.067499999997</v>
      </c>
      <c r="H35" s="20">
        <v>45472</v>
      </c>
      <c r="I35" s="20">
        <v>45470.51081</v>
      </c>
      <c r="J35" s="20">
        <v>5.44</v>
      </c>
      <c r="K35" s="20">
        <v>1.49</v>
      </c>
      <c r="L35" s="20" t="s">
        <v>3124</v>
      </c>
    </row>
    <row r="36" spans="1:12" x14ac:dyDescent="0.3">
      <c r="A36" s="20" t="s">
        <v>2690</v>
      </c>
      <c r="B36" s="20">
        <v>4</v>
      </c>
      <c r="C36" s="20" t="b">
        <v>0</v>
      </c>
      <c r="D36" s="20" t="b">
        <v>1</v>
      </c>
      <c r="E36" s="20" t="b">
        <v>0</v>
      </c>
      <c r="F36" s="20" t="b">
        <v>0</v>
      </c>
      <c r="G36" s="20">
        <v>45467.381479999996</v>
      </c>
      <c r="H36" s="20">
        <v>45471</v>
      </c>
      <c r="I36" s="20">
        <v>45469.551090000001</v>
      </c>
      <c r="J36" s="20">
        <v>2.17</v>
      </c>
      <c r="K36" s="20">
        <v>1.45</v>
      </c>
      <c r="L36" s="20" t="s">
        <v>3124</v>
      </c>
    </row>
    <row r="37" spans="1:12" x14ac:dyDescent="0.3">
      <c r="A37" s="20" t="s">
        <v>2723</v>
      </c>
      <c r="B37" s="20">
        <v>1</v>
      </c>
      <c r="C37" s="20" t="b">
        <v>1</v>
      </c>
      <c r="D37" s="20" t="b">
        <v>1</v>
      </c>
      <c r="E37" s="20" t="b">
        <v>0</v>
      </c>
      <c r="F37" s="20" t="b">
        <v>0</v>
      </c>
      <c r="G37" s="20">
        <v>45607.495360000001</v>
      </c>
      <c r="H37" s="20">
        <v>45615</v>
      </c>
      <c r="I37" s="20">
        <v>45617.56727</v>
      </c>
      <c r="J37" s="20">
        <v>10.07</v>
      </c>
      <c r="K37" s="20">
        <v>-2.57</v>
      </c>
      <c r="L37" s="20" t="s">
        <v>3116</v>
      </c>
    </row>
    <row r="38" spans="1:12" x14ac:dyDescent="0.3">
      <c r="A38" s="20" t="s">
        <v>2692</v>
      </c>
      <c r="B38" s="20">
        <v>5</v>
      </c>
      <c r="C38" s="20" t="b">
        <v>0</v>
      </c>
      <c r="D38" s="20" t="b">
        <v>0</v>
      </c>
      <c r="E38" s="20" t="b">
        <v>0</v>
      </c>
      <c r="F38" s="20" t="b">
        <v>0</v>
      </c>
      <c r="G38" s="20">
        <v>45471.123460000003</v>
      </c>
      <c r="H38" s="20">
        <v>45477</v>
      </c>
      <c r="I38" s="20">
        <v>45477.361770000003</v>
      </c>
      <c r="J38" s="20">
        <v>6.24</v>
      </c>
      <c r="K38" s="20">
        <v>-0.36</v>
      </c>
      <c r="L38" s="20" t="s">
        <v>3116</v>
      </c>
    </row>
    <row r="39" spans="1:12" x14ac:dyDescent="0.3">
      <c r="A39" s="20" t="s">
        <v>2694</v>
      </c>
      <c r="B39" s="20">
        <v>4</v>
      </c>
      <c r="C39" s="20" t="b">
        <v>0</v>
      </c>
      <c r="D39" s="20" t="b">
        <v>0</v>
      </c>
      <c r="E39" s="20" t="b">
        <v>0</v>
      </c>
      <c r="F39" s="20" t="b">
        <v>0</v>
      </c>
      <c r="G39" s="20">
        <v>45478.540139999997</v>
      </c>
      <c r="H39" s="20">
        <v>45485</v>
      </c>
      <c r="I39" s="20">
        <v>45485.665569999997</v>
      </c>
      <c r="J39" s="20">
        <v>7.13</v>
      </c>
      <c r="K39" s="20">
        <v>-0.67</v>
      </c>
      <c r="L39" s="20" t="s">
        <v>3116</v>
      </c>
    </row>
    <row r="40" spans="1:12" x14ac:dyDescent="0.3">
      <c r="A40" s="20" t="s">
        <v>2698</v>
      </c>
      <c r="B40" s="20">
        <v>5</v>
      </c>
      <c r="C40" s="20" t="b">
        <v>0</v>
      </c>
      <c r="D40" s="20" t="b">
        <v>0</v>
      </c>
      <c r="E40" s="20" t="b">
        <v>0</v>
      </c>
      <c r="F40" s="20" t="b">
        <v>0</v>
      </c>
      <c r="G40" s="20">
        <v>45487.700060000003</v>
      </c>
      <c r="H40" s="20">
        <v>45491</v>
      </c>
      <c r="I40" s="20">
        <v>45491.423410000003</v>
      </c>
      <c r="J40" s="20">
        <v>3.72</v>
      </c>
      <c r="K40" s="20">
        <v>-0.42</v>
      </c>
      <c r="L40" s="20" t="s">
        <v>3116</v>
      </c>
    </row>
    <row r="41" spans="1:12" x14ac:dyDescent="0.3">
      <c r="A41" s="20" t="s">
        <v>2701</v>
      </c>
      <c r="B41" s="20">
        <v>4</v>
      </c>
      <c r="C41" s="20" t="b">
        <v>0</v>
      </c>
      <c r="D41" s="20" t="b">
        <v>0</v>
      </c>
      <c r="E41" s="20" t="b">
        <v>0</v>
      </c>
      <c r="F41" s="20" t="b">
        <v>0</v>
      </c>
      <c r="G41" s="20">
        <v>45493.31639</v>
      </c>
      <c r="H41" s="20">
        <v>45502</v>
      </c>
      <c r="I41" s="20">
        <v>45503.665280000001</v>
      </c>
      <c r="J41" s="20">
        <v>10.35</v>
      </c>
      <c r="K41" s="20">
        <v>-1.67</v>
      </c>
      <c r="L41" s="20" t="s">
        <v>3116</v>
      </c>
    </row>
    <row r="42" spans="1:12" x14ac:dyDescent="0.3">
      <c r="A42" s="20" t="s">
        <v>2702</v>
      </c>
      <c r="B42" s="20">
        <v>4</v>
      </c>
      <c r="C42" s="20" t="b">
        <v>0</v>
      </c>
      <c r="D42" s="20" t="b">
        <v>0</v>
      </c>
      <c r="E42" s="20" t="b">
        <v>0</v>
      </c>
      <c r="F42" s="20" t="b">
        <v>0</v>
      </c>
      <c r="G42" s="20">
        <v>45502.7834</v>
      </c>
      <c r="H42" s="20">
        <v>45507</v>
      </c>
      <c r="I42" s="20">
        <v>45507.404869999998</v>
      </c>
      <c r="J42" s="20">
        <v>4.62</v>
      </c>
      <c r="K42" s="20">
        <v>-0.4</v>
      </c>
      <c r="L42" s="20" t="s">
        <v>3116</v>
      </c>
    </row>
    <row r="43" spans="1:12" x14ac:dyDescent="0.3">
      <c r="A43" s="20" t="s">
        <v>2703</v>
      </c>
      <c r="B43" s="20">
        <v>4</v>
      </c>
      <c r="C43" s="20" t="b">
        <v>0</v>
      </c>
      <c r="D43" s="20" t="b">
        <v>0</v>
      </c>
      <c r="E43" s="20" t="b">
        <v>0</v>
      </c>
      <c r="F43" s="20" t="b">
        <v>0</v>
      </c>
      <c r="G43" s="20">
        <v>45520.613720000001</v>
      </c>
      <c r="H43" s="20">
        <v>45528</v>
      </c>
      <c r="I43" s="20">
        <v>45528.342329999999</v>
      </c>
      <c r="J43" s="20">
        <v>7.73</v>
      </c>
      <c r="K43" s="20">
        <v>-0.34</v>
      </c>
      <c r="L43" s="20" t="s">
        <v>3116</v>
      </c>
    </row>
    <row r="44" spans="1:12" x14ac:dyDescent="0.3">
      <c r="A44" s="20" t="s">
        <v>2730</v>
      </c>
      <c r="B44" s="20">
        <v>1</v>
      </c>
      <c r="C44" s="20" t="b">
        <v>0</v>
      </c>
      <c r="D44" s="20" t="b">
        <v>1</v>
      </c>
      <c r="E44" s="20" t="b">
        <v>0</v>
      </c>
      <c r="F44" s="20" t="b">
        <v>0</v>
      </c>
      <c r="G44" s="20">
        <v>45615.934939999999</v>
      </c>
      <c r="H44" s="20">
        <v>45622</v>
      </c>
      <c r="I44" s="20">
        <v>45623.548990000003</v>
      </c>
      <c r="J44" s="20">
        <v>7.61</v>
      </c>
      <c r="K44" s="20">
        <v>-1.55</v>
      </c>
      <c r="L44" s="20" t="s">
        <v>3116</v>
      </c>
    </row>
    <row r="45" spans="1:12" x14ac:dyDescent="0.3">
      <c r="A45" s="20" t="s">
        <v>2710</v>
      </c>
      <c r="B45" s="20">
        <v>5</v>
      </c>
      <c r="C45" s="20" t="b">
        <v>0</v>
      </c>
      <c r="D45" s="20" t="b">
        <v>0</v>
      </c>
      <c r="E45" s="20" t="b">
        <v>0</v>
      </c>
      <c r="F45" s="20" t="b">
        <v>0</v>
      </c>
      <c r="G45" s="20">
        <v>45599.064729999998</v>
      </c>
      <c r="H45" s="20">
        <v>45605</v>
      </c>
      <c r="I45" s="20">
        <v>45604.667269999998</v>
      </c>
      <c r="J45" s="20">
        <v>5.6</v>
      </c>
      <c r="K45" s="20">
        <v>0.33</v>
      </c>
      <c r="L45" s="20" t="s">
        <v>3123</v>
      </c>
    </row>
    <row r="46" spans="1:12" x14ac:dyDescent="0.3">
      <c r="A46" s="20" t="s">
        <v>2711</v>
      </c>
      <c r="B46" s="20">
        <v>4</v>
      </c>
      <c r="C46" s="20" t="b">
        <v>0</v>
      </c>
      <c r="D46" s="20" t="b">
        <v>0</v>
      </c>
      <c r="E46" s="20" t="b">
        <v>0</v>
      </c>
      <c r="F46" s="20" t="b">
        <v>0</v>
      </c>
      <c r="G46" s="20">
        <v>45600.681960000002</v>
      </c>
      <c r="H46" s="20">
        <v>45609</v>
      </c>
      <c r="I46" s="20">
        <v>45608.58625</v>
      </c>
      <c r="J46" s="20">
        <v>7.9</v>
      </c>
      <c r="K46" s="20">
        <v>0.41</v>
      </c>
      <c r="L46" s="20" t="s">
        <v>3123</v>
      </c>
    </row>
    <row r="47" spans="1:12" x14ac:dyDescent="0.3">
      <c r="A47" s="20" t="s">
        <v>2753</v>
      </c>
      <c r="B47" s="20">
        <v>1</v>
      </c>
      <c r="C47" s="20" t="b">
        <v>0</v>
      </c>
      <c r="D47" s="20" t="b">
        <v>0</v>
      </c>
      <c r="E47" s="20" t="b">
        <v>0</v>
      </c>
      <c r="F47" s="20" t="b">
        <v>0</v>
      </c>
      <c r="G47" s="20">
        <v>45630.972450000001</v>
      </c>
      <c r="H47" s="20">
        <v>45637</v>
      </c>
      <c r="I47" s="20">
        <v>45639.359700000001</v>
      </c>
      <c r="J47" s="20">
        <v>8.39</v>
      </c>
      <c r="K47" s="20">
        <v>-2.36</v>
      </c>
      <c r="L47" s="20" t="s">
        <v>3116</v>
      </c>
    </row>
    <row r="48" spans="1:12" x14ac:dyDescent="0.3">
      <c r="A48" s="20" t="s">
        <v>2717</v>
      </c>
      <c r="B48" s="20">
        <v>5</v>
      </c>
      <c r="C48" s="20" t="b">
        <v>0</v>
      </c>
      <c r="D48" s="20" t="b">
        <v>1</v>
      </c>
      <c r="E48" s="20" t="b">
        <v>0</v>
      </c>
      <c r="F48" s="20" t="b">
        <v>0</v>
      </c>
      <c r="G48" s="20">
        <v>45604.552300000003</v>
      </c>
      <c r="H48" s="20">
        <v>45607</v>
      </c>
      <c r="I48" s="20">
        <v>45607.533029999999</v>
      </c>
      <c r="J48" s="20">
        <v>2.98</v>
      </c>
      <c r="K48" s="20">
        <v>-0.53</v>
      </c>
      <c r="L48" s="20" t="s">
        <v>3116</v>
      </c>
    </row>
    <row r="49" spans="1:12" x14ac:dyDescent="0.3">
      <c r="A49" s="20" t="s">
        <v>2718</v>
      </c>
      <c r="B49" s="20">
        <v>5</v>
      </c>
      <c r="C49" s="20" t="b">
        <v>0</v>
      </c>
      <c r="D49" s="20" t="b">
        <v>0</v>
      </c>
      <c r="E49" s="20" t="b">
        <v>0</v>
      </c>
      <c r="F49" s="20" t="b">
        <v>0</v>
      </c>
      <c r="G49" s="20">
        <v>45604.901850000002</v>
      </c>
      <c r="H49" s="20">
        <v>45610</v>
      </c>
      <c r="I49" s="20">
        <v>45609.711940000001</v>
      </c>
      <c r="J49" s="20">
        <v>4.8099999999999996</v>
      </c>
      <c r="K49" s="20">
        <v>0.28999999999999998</v>
      </c>
      <c r="L49" s="20" t="s">
        <v>3123</v>
      </c>
    </row>
    <row r="50" spans="1:12" x14ac:dyDescent="0.3">
      <c r="A50" s="20" t="s">
        <v>2764</v>
      </c>
      <c r="B50" s="20">
        <v>1</v>
      </c>
      <c r="C50" s="20" t="b">
        <v>0</v>
      </c>
      <c r="D50" s="20" t="b">
        <v>0</v>
      </c>
      <c r="E50" s="20" t="b">
        <v>0</v>
      </c>
      <c r="F50" s="20" t="b">
        <v>0</v>
      </c>
      <c r="G50" s="20">
        <v>45635.541660000003</v>
      </c>
      <c r="H50" s="20">
        <v>45642</v>
      </c>
      <c r="I50" s="20">
        <v>45643.444430000003</v>
      </c>
      <c r="J50" s="20">
        <v>7.9</v>
      </c>
      <c r="K50" s="20">
        <v>-1.44</v>
      </c>
      <c r="L50" s="20" t="s">
        <v>3116</v>
      </c>
    </row>
    <row r="51" spans="1:12" x14ac:dyDescent="0.3">
      <c r="A51" s="20" t="s">
        <v>2720</v>
      </c>
      <c r="B51" s="20">
        <v>5</v>
      </c>
      <c r="C51" s="20" t="b">
        <v>0</v>
      </c>
      <c r="D51" s="20" t="b">
        <v>1</v>
      </c>
      <c r="E51" s="20" t="b">
        <v>0</v>
      </c>
      <c r="F51" s="20" t="b">
        <v>0</v>
      </c>
      <c r="G51" s="20">
        <v>45605.269719999997</v>
      </c>
      <c r="H51" s="20">
        <v>45611</v>
      </c>
      <c r="I51" s="20">
        <v>45611.399019999997</v>
      </c>
      <c r="J51" s="20">
        <v>6.13</v>
      </c>
      <c r="K51" s="20">
        <v>-0.4</v>
      </c>
      <c r="L51" s="20" t="s">
        <v>3116</v>
      </c>
    </row>
    <row r="52" spans="1:12" x14ac:dyDescent="0.3">
      <c r="A52" s="20" t="s">
        <v>2721</v>
      </c>
      <c r="B52" s="20">
        <v>5</v>
      </c>
      <c r="C52" s="20" t="b">
        <v>1</v>
      </c>
      <c r="D52" s="20" t="b">
        <v>1</v>
      </c>
      <c r="E52" s="20" t="b">
        <v>1</v>
      </c>
      <c r="F52" s="20" t="b">
        <v>0</v>
      </c>
      <c r="G52" s="20">
        <v>45605.81551</v>
      </c>
      <c r="H52" s="20">
        <v>45617</v>
      </c>
      <c r="I52" s="20">
        <v>45615.50387</v>
      </c>
      <c r="J52" s="20">
        <v>9.69</v>
      </c>
      <c r="K52" s="20">
        <v>1.5</v>
      </c>
      <c r="L52" s="20" t="s">
        <v>3124</v>
      </c>
    </row>
    <row r="53" spans="1:12" x14ac:dyDescent="0.3">
      <c r="A53" s="20" t="s">
        <v>2816</v>
      </c>
      <c r="B53" s="20">
        <v>1</v>
      </c>
      <c r="C53" s="20" t="b">
        <v>0</v>
      </c>
      <c r="D53" s="20" t="b">
        <v>0</v>
      </c>
      <c r="E53" s="20" t="b">
        <v>0</v>
      </c>
      <c r="F53" s="20" t="b">
        <v>0</v>
      </c>
      <c r="G53" s="20">
        <v>45717.640679999997</v>
      </c>
      <c r="H53" s="20">
        <v>45725</v>
      </c>
      <c r="I53" s="20">
        <v>45726.730490000002</v>
      </c>
      <c r="J53" s="20">
        <v>9.09</v>
      </c>
      <c r="K53" s="20">
        <v>-1.73</v>
      </c>
      <c r="L53" s="20" t="s">
        <v>3116</v>
      </c>
    </row>
    <row r="54" spans="1:12" x14ac:dyDescent="0.3">
      <c r="A54" s="20" t="s">
        <v>2725</v>
      </c>
      <c r="B54" s="20">
        <v>5</v>
      </c>
      <c r="C54" s="20" t="b">
        <v>0</v>
      </c>
      <c r="D54" s="20" t="b">
        <v>0</v>
      </c>
      <c r="E54" s="20" t="b">
        <v>0</v>
      </c>
      <c r="F54" s="20" t="b">
        <v>0</v>
      </c>
      <c r="G54" s="20">
        <v>45610.694629999998</v>
      </c>
      <c r="H54" s="20">
        <v>45614</v>
      </c>
      <c r="I54" s="20">
        <v>45614.440320000002</v>
      </c>
      <c r="J54" s="20">
        <v>3.75</v>
      </c>
      <c r="K54" s="20">
        <v>-0.44</v>
      </c>
      <c r="L54" s="20" t="s">
        <v>3116</v>
      </c>
    </row>
    <row r="55" spans="1:12" x14ac:dyDescent="0.3">
      <c r="A55" s="20" t="s">
        <v>2726</v>
      </c>
      <c r="B55" s="20">
        <v>4</v>
      </c>
      <c r="C55" s="20" t="b">
        <v>1</v>
      </c>
      <c r="D55" s="20" t="b">
        <v>0</v>
      </c>
      <c r="E55" s="20" t="b">
        <v>0</v>
      </c>
      <c r="F55" s="20" t="b">
        <v>0</v>
      </c>
      <c r="G55" s="20">
        <v>45610.904029999998</v>
      </c>
      <c r="H55" s="20">
        <v>45620</v>
      </c>
      <c r="I55" s="20">
        <v>45620.419540000003</v>
      </c>
      <c r="J55" s="20">
        <v>9.52</v>
      </c>
      <c r="K55" s="20">
        <v>-0.42</v>
      </c>
      <c r="L55" s="20" t="s">
        <v>3116</v>
      </c>
    </row>
    <row r="56" spans="1:12" x14ac:dyDescent="0.3">
      <c r="A56" s="20" t="s">
        <v>2728</v>
      </c>
      <c r="B56" s="20">
        <v>5</v>
      </c>
      <c r="C56" s="20" t="b">
        <v>0</v>
      </c>
      <c r="D56" s="20" t="b">
        <v>0</v>
      </c>
      <c r="E56" s="20" t="b">
        <v>0</v>
      </c>
      <c r="F56" s="20" t="b">
        <v>0</v>
      </c>
      <c r="G56" s="20">
        <v>45612.309630000003</v>
      </c>
      <c r="H56" s="20">
        <v>45621</v>
      </c>
      <c r="I56" s="20">
        <v>45621.54464</v>
      </c>
      <c r="J56" s="20">
        <v>9.24</v>
      </c>
      <c r="K56" s="20">
        <v>-0.54</v>
      </c>
      <c r="L56" s="20" t="s">
        <v>3116</v>
      </c>
    </row>
    <row r="57" spans="1:12" x14ac:dyDescent="0.3">
      <c r="A57" s="20" t="s">
        <v>2878</v>
      </c>
      <c r="B57" s="20">
        <v>1</v>
      </c>
      <c r="C57" s="20" t="b">
        <v>0</v>
      </c>
      <c r="D57" s="20" t="b">
        <v>0</v>
      </c>
      <c r="E57" s="20" t="b">
        <v>0</v>
      </c>
      <c r="F57" s="20" t="b">
        <v>0</v>
      </c>
      <c r="G57" s="20">
        <v>45810.837599999999</v>
      </c>
      <c r="H57" s="20">
        <v>45821</v>
      </c>
      <c r="I57" s="20">
        <v>45822.439689999999</v>
      </c>
      <c r="J57" s="20">
        <v>11.6</v>
      </c>
      <c r="K57" s="20">
        <v>-1.44</v>
      </c>
      <c r="L57" s="20" t="s">
        <v>3116</v>
      </c>
    </row>
    <row r="58" spans="1:12" x14ac:dyDescent="0.3">
      <c r="A58" s="20" t="s">
        <v>2731</v>
      </c>
      <c r="B58" s="20">
        <v>4</v>
      </c>
      <c r="C58" s="20" t="b">
        <v>1</v>
      </c>
      <c r="D58" s="20" t="b">
        <v>1</v>
      </c>
      <c r="E58" s="20" t="b">
        <v>0</v>
      </c>
      <c r="F58" s="20" t="b">
        <v>0</v>
      </c>
      <c r="G58" s="20">
        <v>45616.091769999999</v>
      </c>
      <c r="H58" s="20">
        <v>45625</v>
      </c>
      <c r="I58" s="20">
        <v>45624.697650000002</v>
      </c>
      <c r="J58" s="20">
        <v>8.61</v>
      </c>
      <c r="K58" s="20">
        <v>0.3</v>
      </c>
      <c r="L58" s="20" t="s">
        <v>3123</v>
      </c>
    </row>
    <row r="59" spans="1:12" x14ac:dyDescent="0.3">
      <c r="A59" s="20" t="s">
        <v>2733</v>
      </c>
      <c r="B59" s="20">
        <v>5</v>
      </c>
      <c r="C59" s="20" t="b">
        <v>1</v>
      </c>
      <c r="D59" s="20" t="b">
        <v>1</v>
      </c>
      <c r="E59" s="20" t="b">
        <v>0</v>
      </c>
      <c r="F59" s="20" t="b">
        <v>0</v>
      </c>
      <c r="G59" s="20">
        <v>45616.554700000001</v>
      </c>
      <c r="H59" s="20">
        <v>45623</v>
      </c>
      <c r="I59" s="20">
        <v>45622.402849999999</v>
      </c>
      <c r="J59" s="20">
        <v>5.85</v>
      </c>
      <c r="K59" s="20">
        <v>0.6</v>
      </c>
      <c r="L59" s="20" t="s">
        <v>3123</v>
      </c>
    </row>
    <row r="60" spans="1:12" x14ac:dyDescent="0.3">
      <c r="A60" s="20" t="s">
        <v>2736</v>
      </c>
      <c r="B60" s="20">
        <v>5</v>
      </c>
      <c r="C60" s="20" t="b">
        <v>0</v>
      </c>
      <c r="D60" s="20" t="b">
        <v>0</v>
      </c>
      <c r="E60" s="20" t="b">
        <v>0</v>
      </c>
      <c r="F60" s="20" t="b">
        <v>0</v>
      </c>
      <c r="G60" s="20">
        <v>45618.35512</v>
      </c>
      <c r="H60" s="20">
        <v>45626</v>
      </c>
      <c r="I60" s="20">
        <v>45626.427889999999</v>
      </c>
      <c r="J60" s="20">
        <v>8.07</v>
      </c>
      <c r="K60" s="20">
        <v>-0.43</v>
      </c>
      <c r="L60" s="20" t="s">
        <v>3116</v>
      </c>
    </row>
    <row r="61" spans="1:12" x14ac:dyDescent="0.3">
      <c r="A61" s="20" t="s">
        <v>2960</v>
      </c>
      <c r="B61" s="20">
        <v>1</v>
      </c>
      <c r="C61" s="20" t="b">
        <v>0</v>
      </c>
      <c r="D61" s="20" t="b">
        <v>0</v>
      </c>
      <c r="E61" s="20" t="b">
        <v>0</v>
      </c>
      <c r="F61" s="20" t="b">
        <v>0</v>
      </c>
      <c r="G61" s="20">
        <v>45978.703329999997</v>
      </c>
      <c r="H61" s="20">
        <v>45989</v>
      </c>
      <c r="I61" s="20">
        <v>45991.444560000004</v>
      </c>
      <c r="J61" s="20">
        <v>12.74</v>
      </c>
      <c r="K61" s="20">
        <v>-2.44</v>
      </c>
      <c r="L61" s="20" t="s">
        <v>3116</v>
      </c>
    </row>
    <row r="62" spans="1:12" x14ac:dyDescent="0.3">
      <c r="A62" s="20" t="s">
        <v>2742</v>
      </c>
      <c r="B62" s="20">
        <v>5</v>
      </c>
      <c r="C62" s="20" t="b">
        <v>0</v>
      </c>
      <c r="D62" s="20" t="b">
        <v>0</v>
      </c>
      <c r="E62" s="20" t="b">
        <v>0</v>
      </c>
      <c r="F62" s="20" t="b">
        <v>0</v>
      </c>
      <c r="G62" s="20">
        <v>45624.432119999998</v>
      </c>
      <c r="H62" s="20">
        <v>45631</v>
      </c>
      <c r="I62" s="20">
        <v>45630.679380000001</v>
      </c>
      <c r="J62" s="20">
        <v>6.25</v>
      </c>
      <c r="K62" s="20">
        <v>0.32</v>
      </c>
      <c r="L62" s="20" t="s">
        <v>3123</v>
      </c>
    </row>
    <row r="63" spans="1:12" x14ac:dyDescent="0.3">
      <c r="A63" s="20" t="s">
        <v>2745</v>
      </c>
      <c r="B63" s="20">
        <v>3</v>
      </c>
      <c r="C63" s="20" t="b">
        <v>0</v>
      </c>
      <c r="D63" s="20" t="b">
        <v>1</v>
      </c>
      <c r="E63" s="20" t="b">
        <v>0</v>
      </c>
      <c r="F63" s="20" t="b">
        <v>0</v>
      </c>
      <c r="G63" s="20">
        <v>45626.150909999997</v>
      </c>
      <c r="H63" s="20">
        <v>45636</v>
      </c>
      <c r="I63" s="20">
        <v>45636.358030000003</v>
      </c>
      <c r="J63" s="20">
        <v>10.210000000000001</v>
      </c>
      <c r="K63" s="20">
        <v>-0.36</v>
      </c>
      <c r="L63" s="20" t="s">
        <v>3116</v>
      </c>
    </row>
    <row r="64" spans="1:12" x14ac:dyDescent="0.3">
      <c r="A64" s="20" t="s">
        <v>2746</v>
      </c>
      <c r="B64" s="20">
        <v>5</v>
      </c>
      <c r="C64" s="20" t="b">
        <v>0</v>
      </c>
      <c r="D64" s="20" t="b">
        <v>0</v>
      </c>
      <c r="E64" s="20" t="b">
        <v>0</v>
      </c>
      <c r="F64" s="20" t="b">
        <v>0</v>
      </c>
      <c r="G64" s="20">
        <v>45626.481789999998</v>
      </c>
      <c r="H64" s="20">
        <v>45633</v>
      </c>
      <c r="I64" s="20">
        <v>45632.510300000002</v>
      </c>
      <c r="J64" s="20">
        <v>6.03</v>
      </c>
      <c r="K64" s="20">
        <v>0.49</v>
      </c>
      <c r="L64" s="20" t="s">
        <v>3123</v>
      </c>
    </row>
    <row r="65" spans="1:12" x14ac:dyDescent="0.3">
      <c r="A65" s="20" t="s">
        <v>2749</v>
      </c>
      <c r="B65" s="20">
        <v>5</v>
      </c>
      <c r="C65" s="20" t="b">
        <v>0</v>
      </c>
      <c r="D65" s="20" t="b">
        <v>0</v>
      </c>
      <c r="E65" s="20" t="b">
        <v>0</v>
      </c>
      <c r="F65" s="20" t="b">
        <v>0</v>
      </c>
      <c r="G65" s="20">
        <v>45629.677340000002</v>
      </c>
      <c r="H65" s="20">
        <v>45634</v>
      </c>
      <c r="I65" s="20">
        <v>45634.470800000003</v>
      </c>
      <c r="J65" s="20">
        <v>4.79</v>
      </c>
      <c r="K65" s="20">
        <v>-0.47</v>
      </c>
      <c r="L65" s="20" t="s">
        <v>3116</v>
      </c>
    </row>
    <row r="66" spans="1:12" x14ac:dyDescent="0.3">
      <c r="A66" s="20" t="s">
        <v>2750</v>
      </c>
      <c r="B66" s="20">
        <v>5</v>
      </c>
      <c r="C66" s="20" t="b">
        <v>0</v>
      </c>
      <c r="D66" s="20" t="b">
        <v>0</v>
      </c>
      <c r="E66" s="20" t="b">
        <v>0</v>
      </c>
      <c r="F66" s="20" t="b">
        <v>0</v>
      </c>
      <c r="G66" s="20">
        <v>45630.308810000002</v>
      </c>
      <c r="H66" s="20">
        <v>45633</v>
      </c>
      <c r="I66" s="20">
        <v>45632.561450000001</v>
      </c>
      <c r="J66" s="20">
        <v>2.25</v>
      </c>
      <c r="K66" s="20">
        <v>0.44</v>
      </c>
      <c r="L66" s="20" t="s">
        <v>3123</v>
      </c>
    </row>
    <row r="67" spans="1:12" x14ac:dyDescent="0.3">
      <c r="A67" s="20" t="s">
        <v>2751</v>
      </c>
      <c r="B67" s="20">
        <v>5</v>
      </c>
      <c r="C67" s="20" t="b">
        <v>0</v>
      </c>
      <c r="D67" s="20" t="b">
        <v>1</v>
      </c>
      <c r="E67" s="20" t="b">
        <v>0</v>
      </c>
      <c r="F67" s="20" t="b">
        <v>0</v>
      </c>
      <c r="G67" s="20">
        <v>45630.426039999998</v>
      </c>
      <c r="H67" s="20">
        <v>45641</v>
      </c>
      <c r="I67" s="20">
        <v>45641.632799999999</v>
      </c>
      <c r="J67" s="20">
        <v>11.21</v>
      </c>
      <c r="K67" s="20">
        <v>-0.63</v>
      </c>
      <c r="L67" s="20" t="s">
        <v>3116</v>
      </c>
    </row>
    <row r="68" spans="1:12" x14ac:dyDescent="0.3">
      <c r="A68" s="20" t="s">
        <v>2996</v>
      </c>
      <c r="B68" s="20">
        <v>1</v>
      </c>
      <c r="C68" s="20" t="b">
        <v>0</v>
      </c>
      <c r="D68" s="20" t="b">
        <v>0</v>
      </c>
      <c r="E68" s="20" t="b">
        <v>0</v>
      </c>
      <c r="F68" s="20" t="b">
        <v>0</v>
      </c>
      <c r="G68" s="20">
        <v>45996.421719999998</v>
      </c>
      <c r="H68" s="20">
        <v>46004</v>
      </c>
      <c r="I68" s="20">
        <v>46005.591269999997</v>
      </c>
      <c r="J68" s="20">
        <v>9.17</v>
      </c>
      <c r="K68" s="20">
        <v>-1.59</v>
      </c>
      <c r="L68" s="20" t="s">
        <v>3116</v>
      </c>
    </row>
    <row r="69" spans="1:12" x14ac:dyDescent="0.3">
      <c r="A69" s="20" t="s">
        <v>2755</v>
      </c>
      <c r="B69" s="20">
        <v>5</v>
      </c>
      <c r="C69" s="20" t="b">
        <v>0</v>
      </c>
      <c r="D69" s="20" t="b">
        <v>0</v>
      </c>
      <c r="E69" s="20" t="b">
        <v>0</v>
      </c>
      <c r="F69" s="20" t="b">
        <v>0</v>
      </c>
      <c r="G69" s="20">
        <v>45631.637600000002</v>
      </c>
      <c r="H69" s="20">
        <v>45645</v>
      </c>
      <c r="I69" s="20">
        <v>45644.498039999999</v>
      </c>
      <c r="J69" s="20">
        <v>12.86</v>
      </c>
      <c r="K69" s="20">
        <v>0.5</v>
      </c>
      <c r="L69" s="20" t="s">
        <v>3123</v>
      </c>
    </row>
    <row r="70" spans="1:12" x14ac:dyDescent="0.3">
      <c r="A70" s="20" t="s">
        <v>2643</v>
      </c>
      <c r="B70" s="20">
        <v>2</v>
      </c>
      <c r="C70" s="20" t="b">
        <v>0</v>
      </c>
      <c r="D70" s="20" t="b">
        <v>0</v>
      </c>
      <c r="E70" s="20" t="b">
        <v>0</v>
      </c>
      <c r="F70" s="20" t="b">
        <v>0</v>
      </c>
      <c r="G70" s="20">
        <v>45389.860540000001</v>
      </c>
      <c r="H70" s="20">
        <v>45396</v>
      </c>
      <c r="I70" s="20">
        <v>45397.516109999997</v>
      </c>
      <c r="J70" s="20">
        <v>7.66</v>
      </c>
      <c r="K70" s="20">
        <v>-1.52</v>
      </c>
      <c r="L70" s="20" t="s">
        <v>3116</v>
      </c>
    </row>
    <row r="71" spans="1:12" x14ac:dyDescent="0.3">
      <c r="A71" s="20" t="s">
        <v>2763</v>
      </c>
      <c r="B71" s="20">
        <v>5</v>
      </c>
      <c r="C71" s="20" t="b">
        <v>0</v>
      </c>
      <c r="D71" s="20" t="b">
        <v>0</v>
      </c>
      <c r="E71" s="20" t="b">
        <v>0</v>
      </c>
      <c r="F71" s="20" t="b">
        <v>0</v>
      </c>
      <c r="G71" s="20">
        <v>45635.411379999998</v>
      </c>
      <c r="H71" s="20">
        <v>45641</v>
      </c>
      <c r="I71" s="20">
        <v>45641.440089999996</v>
      </c>
      <c r="J71" s="20">
        <v>6.03</v>
      </c>
      <c r="K71" s="20">
        <v>-0.44</v>
      </c>
      <c r="L71" s="20" t="s">
        <v>3116</v>
      </c>
    </row>
    <row r="72" spans="1:12" x14ac:dyDescent="0.3">
      <c r="A72" s="20" t="s">
        <v>2649</v>
      </c>
      <c r="B72" s="20">
        <v>2</v>
      </c>
      <c r="C72" s="20" t="b">
        <v>0</v>
      </c>
      <c r="D72" s="20" t="b">
        <v>0</v>
      </c>
      <c r="E72" s="20" t="b">
        <v>0</v>
      </c>
      <c r="F72" s="20" t="b">
        <v>0</v>
      </c>
      <c r="G72" s="20">
        <v>45406.168989999998</v>
      </c>
      <c r="H72" s="20">
        <v>45411</v>
      </c>
      <c r="I72" s="20">
        <v>45412.446739999999</v>
      </c>
      <c r="J72" s="20">
        <v>6.28</v>
      </c>
      <c r="K72" s="20">
        <v>-1.45</v>
      </c>
      <c r="L72" s="20" t="s">
        <v>3116</v>
      </c>
    </row>
    <row r="73" spans="1:12" x14ac:dyDescent="0.3">
      <c r="A73" s="20" t="s">
        <v>2680</v>
      </c>
      <c r="B73" s="20">
        <v>2</v>
      </c>
      <c r="C73" s="20" t="b">
        <v>0</v>
      </c>
      <c r="D73" s="20" t="b">
        <v>1</v>
      </c>
      <c r="E73" s="20" t="b">
        <v>0</v>
      </c>
      <c r="F73" s="20" t="b">
        <v>0</v>
      </c>
      <c r="G73" s="20">
        <v>45452.405729999999</v>
      </c>
      <c r="H73" s="20">
        <v>45462</v>
      </c>
      <c r="I73" s="20">
        <v>45464.639539999996</v>
      </c>
      <c r="J73" s="20">
        <v>12.23</v>
      </c>
      <c r="K73" s="20">
        <v>-2.64</v>
      </c>
      <c r="L73" s="20" t="s">
        <v>3116</v>
      </c>
    </row>
    <row r="74" spans="1:12" x14ac:dyDescent="0.3">
      <c r="A74" s="20" t="s">
        <v>2767</v>
      </c>
      <c r="B74" s="20">
        <v>4</v>
      </c>
      <c r="C74" s="20" t="b">
        <v>1</v>
      </c>
      <c r="D74" s="20" t="b">
        <v>1</v>
      </c>
      <c r="E74" s="20" t="b">
        <v>0</v>
      </c>
      <c r="F74" s="20" t="b">
        <v>0</v>
      </c>
      <c r="G74" s="20">
        <v>45638.014940000001</v>
      </c>
      <c r="H74" s="20">
        <v>45644</v>
      </c>
      <c r="I74" s="20">
        <v>45644.719120000002</v>
      </c>
      <c r="J74" s="20">
        <v>6.7</v>
      </c>
      <c r="K74" s="20">
        <v>-0.72</v>
      </c>
      <c r="L74" s="20" t="s">
        <v>3116</v>
      </c>
    </row>
    <row r="75" spans="1:12" x14ac:dyDescent="0.3">
      <c r="A75" s="20" t="s">
        <v>2771</v>
      </c>
      <c r="B75" s="20">
        <v>4</v>
      </c>
      <c r="C75" s="20" t="b">
        <v>0</v>
      </c>
      <c r="D75" s="20" t="b">
        <v>0</v>
      </c>
      <c r="E75" s="20" t="b">
        <v>0</v>
      </c>
      <c r="F75" s="20" t="b">
        <v>0</v>
      </c>
      <c r="G75" s="20">
        <v>45639.97453</v>
      </c>
      <c r="H75" s="20">
        <v>45644</v>
      </c>
      <c r="I75" s="20">
        <v>45644.423000000003</v>
      </c>
      <c r="J75" s="20">
        <v>4.45</v>
      </c>
      <c r="K75" s="20">
        <v>-0.42</v>
      </c>
      <c r="L75" s="20" t="s">
        <v>3116</v>
      </c>
    </row>
    <row r="76" spans="1:12" x14ac:dyDescent="0.3">
      <c r="A76" s="20" t="s">
        <v>2772</v>
      </c>
      <c r="B76" s="20">
        <v>5</v>
      </c>
      <c r="C76" s="20" t="b">
        <v>1</v>
      </c>
      <c r="D76" s="20" t="b">
        <v>1</v>
      </c>
      <c r="E76" s="20" t="b">
        <v>0</v>
      </c>
      <c r="F76" s="20" t="b">
        <v>0</v>
      </c>
      <c r="G76" s="20">
        <v>45642.910689999997</v>
      </c>
      <c r="H76" s="20">
        <v>45649</v>
      </c>
      <c r="I76" s="20">
        <v>45648.736169999996</v>
      </c>
      <c r="J76" s="20">
        <v>5.83</v>
      </c>
      <c r="K76" s="20">
        <v>0.26</v>
      </c>
      <c r="L76" s="20" t="s">
        <v>3123</v>
      </c>
    </row>
    <row r="77" spans="1:12" x14ac:dyDescent="0.3">
      <c r="A77" s="20" t="s">
        <v>2774</v>
      </c>
      <c r="B77" s="20">
        <v>5</v>
      </c>
      <c r="C77" s="20" t="b">
        <v>0</v>
      </c>
      <c r="D77" s="20" t="b">
        <v>0</v>
      </c>
      <c r="E77" s="20" t="b">
        <v>0</v>
      </c>
      <c r="F77" s="20" t="b">
        <v>0</v>
      </c>
      <c r="G77" s="20">
        <v>45643.380810000002</v>
      </c>
      <c r="H77" s="20">
        <v>45653</v>
      </c>
      <c r="I77" s="20">
        <v>45653.588190000002</v>
      </c>
      <c r="J77" s="20">
        <v>10.210000000000001</v>
      </c>
      <c r="K77" s="20">
        <v>-0.59</v>
      </c>
      <c r="L77" s="20" t="s">
        <v>3116</v>
      </c>
    </row>
    <row r="78" spans="1:12" x14ac:dyDescent="0.3">
      <c r="A78" s="20" t="s">
        <v>2775</v>
      </c>
      <c r="B78" s="20">
        <v>5</v>
      </c>
      <c r="C78" s="20" t="b">
        <v>0</v>
      </c>
      <c r="D78" s="20" t="b">
        <v>0</v>
      </c>
      <c r="E78" s="20" t="b">
        <v>0</v>
      </c>
      <c r="F78" s="20" t="b">
        <v>0</v>
      </c>
      <c r="G78" s="20">
        <v>45645.144809999998</v>
      </c>
      <c r="H78" s="20">
        <v>45653</v>
      </c>
      <c r="I78" s="20">
        <v>45653.609329999999</v>
      </c>
      <c r="J78" s="20">
        <v>8.4600000000000009</v>
      </c>
      <c r="K78" s="20">
        <v>-0.61</v>
      </c>
      <c r="L78" s="20" t="s">
        <v>3116</v>
      </c>
    </row>
    <row r="79" spans="1:12" x14ac:dyDescent="0.3">
      <c r="A79" s="20" t="s">
        <v>2719</v>
      </c>
      <c r="B79" s="20">
        <v>2</v>
      </c>
      <c r="C79" s="20" t="b">
        <v>0</v>
      </c>
      <c r="D79" s="20" t="b">
        <v>1</v>
      </c>
      <c r="E79" s="20" t="b">
        <v>0</v>
      </c>
      <c r="F79" s="20" t="b">
        <v>0</v>
      </c>
      <c r="G79" s="20">
        <v>45605.181470000003</v>
      </c>
      <c r="H79" s="20">
        <v>45611</v>
      </c>
      <c r="I79" s="20">
        <v>45612.395360000002</v>
      </c>
      <c r="J79" s="20">
        <v>7.21</v>
      </c>
      <c r="K79" s="20">
        <v>-1.4</v>
      </c>
      <c r="L79" s="20" t="s">
        <v>3116</v>
      </c>
    </row>
    <row r="80" spans="1:12" x14ac:dyDescent="0.3">
      <c r="A80" s="20" t="s">
        <v>2782</v>
      </c>
      <c r="B80" s="20">
        <v>5</v>
      </c>
      <c r="C80" s="20" t="b">
        <v>0</v>
      </c>
      <c r="D80" s="20" t="b">
        <v>0</v>
      </c>
      <c r="E80" s="20" t="b">
        <v>0</v>
      </c>
      <c r="F80" s="20" t="b">
        <v>0</v>
      </c>
      <c r="G80" s="20">
        <v>45651.342479999999</v>
      </c>
      <c r="H80" s="20">
        <v>45660</v>
      </c>
      <c r="I80" s="20">
        <v>45659.505019999997</v>
      </c>
      <c r="J80" s="20">
        <v>8.16</v>
      </c>
      <c r="K80" s="20">
        <v>0.49</v>
      </c>
      <c r="L80" s="20" t="s">
        <v>3123</v>
      </c>
    </row>
    <row r="81" spans="1:12" x14ac:dyDescent="0.3">
      <c r="A81" s="20" t="s">
        <v>2787</v>
      </c>
      <c r="B81" s="20">
        <v>5</v>
      </c>
      <c r="C81" s="20" t="b">
        <v>0</v>
      </c>
      <c r="D81" s="20" t="b">
        <v>0</v>
      </c>
      <c r="E81" s="20" t="b">
        <v>0</v>
      </c>
      <c r="F81" s="20" t="b">
        <v>0</v>
      </c>
      <c r="G81" s="20">
        <v>45654.344219999999</v>
      </c>
      <c r="H81" s="20">
        <v>45659</v>
      </c>
      <c r="I81" s="20">
        <v>45659.653079999996</v>
      </c>
      <c r="J81" s="20">
        <v>5.31</v>
      </c>
      <c r="K81" s="20">
        <v>-0.65</v>
      </c>
      <c r="L81" s="20" t="s">
        <v>3116</v>
      </c>
    </row>
    <row r="82" spans="1:12" x14ac:dyDescent="0.3">
      <c r="A82" s="20" t="s">
        <v>2789</v>
      </c>
      <c r="B82" s="20">
        <v>5</v>
      </c>
      <c r="C82" s="20" t="b">
        <v>0</v>
      </c>
      <c r="D82" s="20" t="b">
        <v>0</v>
      </c>
      <c r="E82" s="20" t="b">
        <v>0</v>
      </c>
      <c r="F82" s="20" t="b">
        <v>0</v>
      </c>
      <c r="G82" s="20">
        <v>45654.987079999999</v>
      </c>
      <c r="H82" s="20">
        <v>45661</v>
      </c>
      <c r="I82" s="20">
        <v>45660.73777</v>
      </c>
      <c r="J82" s="20">
        <v>5.75</v>
      </c>
      <c r="K82" s="20">
        <v>0.26</v>
      </c>
      <c r="L82" s="20" t="s">
        <v>3123</v>
      </c>
    </row>
    <row r="83" spans="1:12" x14ac:dyDescent="0.3">
      <c r="A83" s="20" t="s">
        <v>2792</v>
      </c>
      <c r="B83" s="20">
        <v>4</v>
      </c>
      <c r="C83" s="20" t="b">
        <v>0</v>
      </c>
      <c r="D83" s="20" t="b">
        <v>0</v>
      </c>
      <c r="E83" s="20" t="b">
        <v>0</v>
      </c>
      <c r="F83" s="20" t="b">
        <v>0</v>
      </c>
      <c r="G83" s="20">
        <v>45656.01395</v>
      </c>
      <c r="H83" s="20">
        <v>45666</v>
      </c>
      <c r="I83" s="20">
        <v>45665.567510000001</v>
      </c>
      <c r="J83" s="20">
        <v>9.5500000000000007</v>
      </c>
      <c r="K83" s="20">
        <v>0.43</v>
      </c>
      <c r="L83" s="20" t="s">
        <v>3123</v>
      </c>
    </row>
    <row r="84" spans="1:12" x14ac:dyDescent="0.3">
      <c r="A84" s="20" t="s">
        <v>2793</v>
      </c>
      <c r="B84" s="20">
        <v>3</v>
      </c>
      <c r="C84" s="20" t="b">
        <v>0</v>
      </c>
      <c r="D84" s="20" t="b">
        <v>0</v>
      </c>
      <c r="E84" s="20" t="b">
        <v>0</v>
      </c>
      <c r="F84" s="20" t="b">
        <v>0</v>
      </c>
      <c r="G84" s="20">
        <v>45656.912089999998</v>
      </c>
      <c r="H84" s="20">
        <v>45662</v>
      </c>
      <c r="I84" s="20">
        <v>45663.686479999997</v>
      </c>
      <c r="J84" s="20">
        <v>6.77</v>
      </c>
      <c r="K84" s="20">
        <v>-1.69</v>
      </c>
      <c r="L84" s="20" t="s">
        <v>3116</v>
      </c>
    </row>
    <row r="85" spans="1:12" x14ac:dyDescent="0.3">
      <c r="A85" s="20" t="s">
        <v>2797</v>
      </c>
      <c r="B85" s="20">
        <v>4</v>
      </c>
      <c r="C85" s="20" t="b">
        <v>0</v>
      </c>
      <c r="D85" s="20" t="b">
        <v>1</v>
      </c>
      <c r="E85" s="20" t="b">
        <v>0</v>
      </c>
      <c r="F85" s="20" t="b">
        <v>0</v>
      </c>
      <c r="G85" s="20">
        <v>45671.235970000002</v>
      </c>
      <c r="H85" s="20">
        <v>45674</v>
      </c>
      <c r="I85" s="20">
        <v>45673.737730000001</v>
      </c>
      <c r="J85" s="20">
        <v>2.5</v>
      </c>
      <c r="K85" s="20">
        <v>0.26</v>
      </c>
      <c r="L85" s="20" t="s">
        <v>3123</v>
      </c>
    </row>
    <row r="86" spans="1:12" x14ac:dyDescent="0.3">
      <c r="A86" s="20" t="s">
        <v>2806</v>
      </c>
      <c r="B86" s="20">
        <v>5</v>
      </c>
      <c r="C86" s="20" t="b">
        <v>0</v>
      </c>
      <c r="D86" s="20" t="b">
        <v>0</v>
      </c>
      <c r="E86" s="20" t="b">
        <v>0</v>
      </c>
      <c r="F86" s="20" t="b">
        <v>0</v>
      </c>
      <c r="G86" s="20">
        <v>45709.530449999998</v>
      </c>
      <c r="H86" s="20">
        <v>45714</v>
      </c>
      <c r="I86" s="20">
        <v>45714.504760000003</v>
      </c>
      <c r="J86" s="20">
        <v>4.97</v>
      </c>
      <c r="K86" s="20">
        <v>-0.5</v>
      </c>
      <c r="L86" s="20" t="s">
        <v>3116</v>
      </c>
    </row>
    <row r="87" spans="1:12" x14ac:dyDescent="0.3">
      <c r="A87" s="20" t="s">
        <v>2809</v>
      </c>
      <c r="B87" s="20">
        <v>5</v>
      </c>
      <c r="C87" s="20" t="b">
        <v>0</v>
      </c>
      <c r="D87" s="20" t="b">
        <v>1</v>
      </c>
      <c r="E87" s="20" t="b">
        <v>0</v>
      </c>
      <c r="F87" s="20" t="b">
        <v>0</v>
      </c>
      <c r="G87" s="20">
        <v>45712.284939999998</v>
      </c>
      <c r="H87" s="20">
        <v>45719</v>
      </c>
      <c r="I87" s="20">
        <v>45718.539360000002</v>
      </c>
      <c r="J87" s="20">
        <v>6.25</v>
      </c>
      <c r="K87" s="20">
        <v>0.46</v>
      </c>
      <c r="L87" s="20" t="s">
        <v>3123</v>
      </c>
    </row>
    <row r="88" spans="1:12" x14ac:dyDescent="0.3">
      <c r="A88" s="20" t="s">
        <v>2810</v>
      </c>
      <c r="B88" s="20">
        <v>5</v>
      </c>
      <c r="C88" s="20" t="b">
        <v>0</v>
      </c>
      <c r="D88" s="20" t="b">
        <v>0</v>
      </c>
      <c r="E88" s="20" t="b">
        <v>0</v>
      </c>
      <c r="F88" s="20" t="b">
        <v>1</v>
      </c>
      <c r="G88" s="20">
        <v>45712.642339999999</v>
      </c>
      <c r="H88" s="20">
        <v>45718</v>
      </c>
      <c r="I88" s="20">
        <v>45718.465839999997</v>
      </c>
      <c r="J88" s="20">
        <v>5.82</v>
      </c>
      <c r="K88" s="20">
        <v>-0.47</v>
      </c>
      <c r="L88" s="20" t="s">
        <v>3116</v>
      </c>
    </row>
    <row r="89" spans="1:12" x14ac:dyDescent="0.3">
      <c r="A89" s="20" t="s">
        <v>2812</v>
      </c>
      <c r="B89" s="20">
        <v>4</v>
      </c>
      <c r="C89" s="20" t="b">
        <v>0</v>
      </c>
      <c r="D89" s="20" t="b">
        <v>0</v>
      </c>
      <c r="E89" s="20" t="b">
        <v>0</v>
      </c>
      <c r="F89" s="20" t="b">
        <v>0</v>
      </c>
      <c r="G89" s="20">
        <v>45713.727480000001</v>
      </c>
      <c r="H89" s="20">
        <v>45718</v>
      </c>
      <c r="I89" s="20">
        <v>45717.434159999997</v>
      </c>
      <c r="J89" s="20">
        <v>3.71</v>
      </c>
      <c r="K89" s="20">
        <v>0.56999999999999995</v>
      </c>
      <c r="L89" s="20" t="s">
        <v>3123</v>
      </c>
    </row>
    <row r="90" spans="1:12" x14ac:dyDescent="0.3">
      <c r="A90" s="20" t="s">
        <v>2737</v>
      </c>
      <c r="B90" s="20">
        <v>2</v>
      </c>
      <c r="C90" s="20" t="b">
        <v>0</v>
      </c>
      <c r="D90" s="20" t="b">
        <v>0</v>
      </c>
      <c r="E90" s="20" t="b">
        <v>0</v>
      </c>
      <c r="F90" s="20" t="b">
        <v>0</v>
      </c>
      <c r="G90" s="20">
        <v>45620.376530000001</v>
      </c>
      <c r="H90" s="20">
        <v>45625</v>
      </c>
      <c r="I90" s="20">
        <v>45626.418870000001</v>
      </c>
      <c r="J90" s="20">
        <v>6.04</v>
      </c>
      <c r="K90" s="20">
        <v>-1.42</v>
      </c>
      <c r="L90" s="20" t="s">
        <v>3116</v>
      </c>
    </row>
    <row r="91" spans="1:12" x14ac:dyDescent="0.3">
      <c r="A91" s="20" t="s">
        <v>2761</v>
      </c>
      <c r="B91" s="20">
        <v>2</v>
      </c>
      <c r="C91" s="20" t="b">
        <v>0</v>
      </c>
      <c r="D91" s="20" t="b">
        <v>0</v>
      </c>
      <c r="E91" s="20" t="b">
        <v>0</v>
      </c>
      <c r="F91" s="20" t="b">
        <v>0</v>
      </c>
      <c r="G91" s="20">
        <v>45634.624349999998</v>
      </c>
      <c r="H91" s="20">
        <v>45639</v>
      </c>
      <c r="I91" s="20">
        <v>45641.51137</v>
      </c>
      <c r="J91" s="20">
        <v>6.89</v>
      </c>
      <c r="K91" s="20">
        <v>-2.5099999999999998</v>
      </c>
      <c r="L91" s="20" t="s">
        <v>3116</v>
      </c>
    </row>
    <row r="92" spans="1:12" x14ac:dyDescent="0.3">
      <c r="A92" s="20" t="s">
        <v>2818</v>
      </c>
      <c r="B92" s="20">
        <v>3</v>
      </c>
      <c r="C92" s="20" t="b">
        <v>0</v>
      </c>
      <c r="D92" s="20" t="b">
        <v>0</v>
      </c>
      <c r="E92" s="20" t="b">
        <v>0</v>
      </c>
      <c r="F92" s="20" t="b">
        <v>0</v>
      </c>
      <c r="G92" s="20">
        <v>45719.61896</v>
      </c>
      <c r="H92" s="20">
        <v>45726</v>
      </c>
      <c r="I92" s="20">
        <v>45727.69483</v>
      </c>
      <c r="J92" s="20">
        <v>8.08</v>
      </c>
      <c r="K92" s="20">
        <v>-1.69</v>
      </c>
      <c r="L92" s="20" t="s">
        <v>3116</v>
      </c>
    </row>
    <row r="93" spans="1:12" x14ac:dyDescent="0.3">
      <c r="A93" s="20" t="s">
        <v>2766</v>
      </c>
      <c r="B93" s="20">
        <v>2</v>
      </c>
      <c r="C93" s="20" t="b">
        <v>0</v>
      </c>
      <c r="D93" s="20" t="b">
        <v>1</v>
      </c>
      <c r="E93" s="20" t="b">
        <v>0</v>
      </c>
      <c r="F93" s="20" t="b">
        <v>0</v>
      </c>
      <c r="G93" s="20">
        <v>45637.408589999999</v>
      </c>
      <c r="H93" s="20">
        <v>45642</v>
      </c>
      <c r="I93" s="20">
        <v>45644.353190000002</v>
      </c>
      <c r="J93" s="20">
        <v>6.94</v>
      </c>
      <c r="K93" s="20">
        <v>-2.35</v>
      </c>
      <c r="L93" s="20" t="s">
        <v>3116</v>
      </c>
    </row>
    <row r="94" spans="1:12" x14ac:dyDescent="0.3">
      <c r="A94" s="20" t="s">
        <v>2822</v>
      </c>
      <c r="B94" s="20">
        <v>4</v>
      </c>
      <c r="C94" s="20" t="b">
        <v>0</v>
      </c>
      <c r="D94" s="20" t="b">
        <v>0</v>
      </c>
      <c r="E94" s="20" t="b">
        <v>0</v>
      </c>
      <c r="F94" s="20" t="b">
        <v>0</v>
      </c>
      <c r="G94" s="20">
        <v>45739.614170000001</v>
      </c>
      <c r="H94" s="20">
        <v>45745</v>
      </c>
      <c r="I94" s="20">
        <v>45747.637880000002</v>
      </c>
      <c r="J94" s="20">
        <v>8.02</v>
      </c>
      <c r="K94" s="20">
        <v>-2.64</v>
      </c>
      <c r="L94" s="20" t="s">
        <v>3116</v>
      </c>
    </row>
    <row r="95" spans="1:12" x14ac:dyDescent="0.3">
      <c r="A95" s="20" t="s">
        <v>2824</v>
      </c>
      <c r="B95" s="20">
        <v>4</v>
      </c>
      <c r="C95" s="20" t="b">
        <v>0</v>
      </c>
      <c r="D95" s="20" t="b">
        <v>0</v>
      </c>
      <c r="E95" s="20" t="b">
        <v>0</v>
      </c>
      <c r="F95" s="20" t="b">
        <v>0</v>
      </c>
      <c r="G95" s="20">
        <v>45742.788540000001</v>
      </c>
      <c r="H95" s="20">
        <v>45748</v>
      </c>
      <c r="I95" s="20">
        <v>45748.493240000003</v>
      </c>
      <c r="J95" s="20">
        <v>5.7</v>
      </c>
      <c r="K95" s="20">
        <v>-0.49</v>
      </c>
      <c r="L95" s="20" t="s">
        <v>3116</v>
      </c>
    </row>
    <row r="96" spans="1:12" x14ac:dyDescent="0.3">
      <c r="A96" s="20" t="s">
        <v>2826</v>
      </c>
      <c r="B96" s="20">
        <v>4</v>
      </c>
      <c r="C96" s="20" t="b">
        <v>0</v>
      </c>
      <c r="D96" s="20" t="b">
        <v>1</v>
      </c>
      <c r="E96" s="20" t="b">
        <v>0</v>
      </c>
      <c r="F96" s="20" t="b">
        <v>0</v>
      </c>
      <c r="G96" s="20">
        <v>45744.235690000001</v>
      </c>
      <c r="H96" s="20">
        <v>45752</v>
      </c>
      <c r="I96" s="20">
        <v>45751.378989999997</v>
      </c>
      <c r="J96" s="20">
        <v>7.14</v>
      </c>
      <c r="K96" s="20">
        <v>0.62</v>
      </c>
      <c r="L96" s="20" t="s">
        <v>3123</v>
      </c>
    </row>
    <row r="97" spans="1:12" x14ac:dyDescent="0.3">
      <c r="A97" s="20" t="s">
        <v>2828</v>
      </c>
      <c r="B97" s="20">
        <v>3</v>
      </c>
      <c r="C97" s="20" t="b">
        <v>1</v>
      </c>
      <c r="D97" s="20" t="b">
        <v>1</v>
      </c>
      <c r="E97" s="20" t="b">
        <v>0</v>
      </c>
      <c r="F97" s="20" t="b">
        <v>0</v>
      </c>
      <c r="G97" s="20">
        <v>45745.569580000003</v>
      </c>
      <c r="H97" s="20">
        <v>45750</v>
      </c>
      <c r="I97" s="20">
        <v>45751.48502</v>
      </c>
      <c r="J97" s="20">
        <v>5.92</v>
      </c>
      <c r="K97" s="20">
        <v>-1.49</v>
      </c>
      <c r="L97" s="20" t="s">
        <v>3116</v>
      </c>
    </row>
    <row r="98" spans="1:12" x14ac:dyDescent="0.3">
      <c r="A98" s="20" t="s">
        <v>2833</v>
      </c>
      <c r="B98" s="20">
        <v>4</v>
      </c>
      <c r="C98" s="20" t="b">
        <v>0</v>
      </c>
      <c r="D98" s="20" t="b">
        <v>0</v>
      </c>
      <c r="E98" s="20" t="b">
        <v>0</v>
      </c>
      <c r="F98" s="20" t="b">
        <v>0</v>
      </c>
      <c r="G98" s="20">
        <v>45746.444459999999</v>
      </c>
      <c r="H98" s="20">
        <v>45752</v>
      </c>
      <c r="I98" s="20">
        <v>45752.687740000001</v>
      </c>
      <c r="J98" s="20">
        <v>6.24</v>
      </c>
      <c r="K98" s="20">
        <v>-0.69</v>
      </c>
      <c r="L98" s="20" t="s">
        <v>3116</v>
      </c>
    </row>
    <row r="99" spans="1:12" x14ac:dyDescent="0.3">
      <c r="A99" s="20" t="s">
        <v>2834</v>
      </c>
      <c r="B99" s="20">
        <v>5</v>
      </c>
      <c r="C99" s="20" t="b">
        <v>0</v>
      </c>
      <c r="D99" s="20" t="b">
        <v>0</v>
      </c>
      <c r="E99" s="20" t="b">
        <v>0</v>
      </c>
      <c r="F99" s="20" t="b">
        <v>0</v>
      </c>
      <c r="G99" s="20">
        <v>45746.605510000001</v>
      </c>
      <c r="H99" s="20">
        <v>45753</v>
      </c>
      <c r="I99" s="20">
        <v>45753.735719999997</v>
      </c>
      <c r="J99" s="20">
        <v>7.13</v>
      </c>
      <c r="K99" s="20">
        <v>-0.74</v>
      </c>
      <c r="L99" s="20" t="s">
        <v>3116</v>
      </c>
    </row>
    <row r="100" spans="1:12" x14ac:dyDescent="0.3">
      <c r="A100" s="20" t="s">
        <v>2837</v>
      </c>
      <c r="B100" s="20">
        <v>5</v>
      </c>
      <c r="C100" s="20" t="b">
        <v>1</v>
      </c>
      <c r="D100" s="20" t="b">
        <v>1</v>
      </c>
      <c r="E100" s="20" t="b">
        <v>0</v>
      </c>
      <c r="F100" s="20" t="b">
        <v>0</v>
      </c>
      <c r="G100" s="20">
        <v>45747.069470000002</v>
      </c>
      <c r="H100" s="20">
        <v>45749</v>
      </c>
      <c r="I100" s="20">
        <v>45749.693370000001</v>
      </c>
      <c r="J100" s="20">
        <v>2.62</v>
      </c>
      <c r="K100" s="20">
        <v>-0.69</v>
      </c>
      <c r="L100" s="20" t="s">
        <v>3116</v>
      </c>
    </row>
    <row r="101" spans="1:12" x14ac:dyDescent="0.3">
      <c r="A101" s="20" t="s">
        <v>2839</v>
      </c>
      <c r="B101" s="20">
        <v>4</v>
      </c>
      <c r="C101" s="20" t="b">
        <v>0</v>
      </c>
      <c r="D101" s="20" t="b">
        <v>0</v>
      </c>
      <c r="E101" s="20" t="b">
        <v>0</v>
      </c>
      <c r="F101" s="20" t="b">
        <v>0</v>
      </c>
      <c r="G101" s="20">
        <v>45751.274129999998</v>
      </c>
      <c r="H101" s="20">
        <v>45758</v>
      </c>
      <c r="I101" s="20">
        <v>45758.345009999997</v>
      </c>
      <c r="J101" s="20">
        <v>7.07</v>
      </c>
      <c r="K101" s="20">
        <v>-0.35</v>
      </c>
      <c r="L101" s="20" t="s">
        <v>3116</v>
      </c>
    </row>
    <row r="102" spans="1:12" x14ac:dyDescent="0.3">
      <c r="A102" s="20" t="s">
        <v>2777</v>
      </c>
      <c r="B102" s="20">
        <v>2</v>
      </c>
      <c r="C102" s="20" t="b">
        <v>1</v>
      </c>
      <c r="D102" s="20" t="b">
        <v>1</v>
      </c>
      <c r="E102" s="20" t="b">
        <v>0</v>
      </c>
      <c r="F102" s="20" t="b">
        <v>1</v>
      </c>
      <c r="G102" s="20">
        <v>45646.57991</v>
      </c>
      <c r="H102" s="20">
        <v>45656</v>
      </c>
      <c r="I102" s="20">
        <v>45661.528590000002</v>
      </c>
      <c r="J102" s="20">
        <v>14.95</v>
      </c>
      <c r="K102" s="20">
        <v>-5.53</v>
      </c>
      <c r="L102" s="20" t="s">
        <v>3116</v>
      </c>
    </row>
    <row r="103" spans="1:12" x14ac:dyDescent="0.3">
      <c r="A103" s="20" t="s">
        <v>2841</v>
      </c>
      <c r="B103" s="20">
        <v>5</v>
      </c>
      <c r="C103" s="20" t="b">
        <v>0</v>
      </c>
      <c r="D103" s="20" t="b">
        <v>0</v>
      </c>
      <c r="E103" s="20" t="b">
        <v>0</v>
      </c>
      <c r="F103" s="20" t="b">
        <v>0</v>
      </c>
      <c r="G103" s="20">
        <v>45756.253499999999</v>
      </c>
      <c r="H103" s="20">
        <v>45763</v>
      </c>
      <c r="I103" s="20">
        <v>45762.545630000001</v>
      </c>
      <c r="J103" s="20">
        <v>6.29</v>
      </c>
      <c r="K103" s="20">
        <v>0.45</v>
      </c>
      <c r="L103" s="20" t="s">
        <v>3123</v>
      </c>
    </row>
    <row r="104" spans="1:12" x14ac:dyDescent="0.3">
      <c r="A104" s="20" t="s">
        <v>2842</v>
      </c>
      <c r="B104" s="20">
        <v>4</v>
      </c>
      <c r="C104" s="20" t="b">
        <v>0</v>
      </c>
      <c r="D104" s="20" t="b">
        <v>0</v>
      </c>
      <c r="E104" s="20" t="b">
        <v>0</v>
      </c>
      <c r="F104" s="20" t="b">
        <v>0</v>
      </c>
      <c r="G104" s="20">
        <v>45758.774649999999</v>
      </c>
      <c r="H104" s="20">
        <v>45763</v>
      </c>
      <c r="I104" s="20">
        <v>45765.725489999997</v>
      </c>
      <c r="J104" s="20">
        <v>6.95</v>
      </c>
      <c r="K104" s="20">
        <v>-2.73</v>
      </c>
      <c r="L104" s="20" t="s">
        <v>3116</v>
      </c>
    </row>
    <row r="105" spans="1:12" x14ac:dyDescent="0.3">
      <c r="A105" s="20" t="s">
        <v>2843</v>
      </c>
      <c r="B105" s="20">
        <v>5</v>
      </c>
      <c r="C105" s="20" t="b">
        <v>0</v>
      </c>
      <c r="D105" s="20" t="b">
        <v>0</v>
      </c>
      <c r="E105" s="20" t="b">
        <v>0</v>
      </c>
      <c r="F105" s="20" t="b">
        <v>0</v>
      </c>
      <c r="G105" s="20">
        <v>45759.79176</v>
      </c>
      <c r="H105" s="20">
        <v>45765</v>
      </c>
      <c r="I105" s="20">
        <v>45765.640879999999</v>
      </c>
      <c r="J105" s="20">
        <v>5.85</v>
      </c>
      <c r="K105" s="20">
        <v>-0.64</v>
      </c>
      <c r="L105" s="20" t="s">
        <v>3116</v>
      </c>
    </row>
    <row r="106" spans="1:12" x14ac:dyDescent="0.3">
      <c r="A106" s="20" t="s">
        <v>2844</v>
      </c>
      <c r="B106" s="20">
        <v>5</v>
      </c>
      <c r="C106" s="20" t="b">
        <v>0</v>
      </c>
      <c r="D106" s="20" t="b">
        <v>0</v>
      </c>
      <c r="E106" s="20" t="b">
        <v>0</v>
      </c>
      <c r="F106" s="20" t="b">
        <v>0</v>
      </c>
      <c r="G106" s="20">
        <v>45760.984750000003</v>
      </c>
      <c r="H106" s="20">
        <v>45775</v>
      </c>
      <c r="I106" s="20">
        <v>45774.468330000003</v>
      </c>
      <c r="J106" s="20">
        <v>13.48</v>
      </c>
      <c r="K106" s="20">
        <v>0.53</v>
      </c>
      <c r="L106" s="20" t="s">
        <v>3123</v>
      </c>
    </row>
    <row r="107" spans="1:12" x14ac:dyDescent="0.3">
      <c r="A107" s="20" t="s">
        <v>2845</v>
      </c>
      <c r="B107" s="20">
        <v>5</v>
      </c>
      <c r="C107" s="20" t="b">
        <v>0</v>
      </c>
      <c r="D107" s="20" t="b">
        <v>0</v>
      </c>
      <c r="E107" s="20" t="b">
        <v>0</v>
      </c>
      <c r="F107" s="20" t="b">
        <v>0</v>
      </c>
      <c r="G107" s="20">
        <v>45764.362699999998</v>
      </c>
      <c r="H107" s="20">
        <v>45772</v>
      </c>
      <c r="I107" s="20">
        <v>45772.591099999998</v>
      </c>
      <c r="J107" s="20">
        <v>8.23</v>
      </c>
      <c r="K107" s="20">
        <v>-0.59</v>
      </c>
      <c r="L107" s="20" t="s">
        <v>3116</v>
      </c>
    </row>
    <row r="108" spans="1:12" x14ac:dyDescent="0.3">
      <c r="A108" s="20" t="s">
        <v>2848</v>
      </c>
      <c r="B108" s="20">
        <v>5</v>
      </c>
      <c r="C108" s="20" t="b">
        <v>1</v>
      </c>
      <c r="D108" s="20" t="b">
        <v>1</v>
      </c>
      <c r="E108" s="20" t="b">
        <v>1</v>
      </c>
      <c r="F108" s="20" t="b">
        <v>0</v>
      </c>
      <c r="G108" s="20">
        <v>45767.465450000003</v>
      </c>
      <c r="H108" s="20">
        <v>45777</v>
      </c>
      <c r="I108" s="20">
        <v>45777.645839999997</v>
      </c>
      <c r="J108" s="20">
        <v>10.18</v>
      </c>
      <c r="K108" s="20">
        <v>-0.65</v>
      </c>
      <c r="L108" s="20" t="s">
        <v>3116</v>
      </c>
    </row>
    <row r="109" spans="1:12" x14ac:dyDescent="0.3">
      <c r="A109" s="20" t="s">
        <v>2813</v>
      </c>
      <c r="B109" s="20">
        <v>2</v>
      </c>
      <c r="C109" s="20" t="b">
        <v>0</v>
      </c>
      <c r="D109" s="20" t="b">
        <v>0</v>
      </c>
      <c r="E109" s="20" t="b">
        <v>0</v>
      </c>
      <c r="F109" s="20" t="b">
        <v>0</v>
      </c>
      <c r="G109" s="20">
        <v>45714.27605</v>
      </c>
      <c r="H109" s="20">
        <v>45717</v>
      </c>
      <c r="I109" s="20">
        <v>45718.625410000001</v>
      </c>
      <c r="J109" s="20">
        <v>4.3499999999999996</v>
      </c>
      <c r="K109" s="20">
        <v>-1.63</v>
      </c>
      <c r="L109" s="20" t="s">
        <v>3116</v>
      </c>
    </row>
    <row r="110" spans="1:12" x14ac:dyDescent="0.3">
      <c r="A110" s="20" t="s">
        <v>2821</v>
      </c>
      <c r="B110" s="20">
        <v>2</v>
      </c>
      <c r="C110" s="20" t="b">
        <v>0</v>
      </c>
      <c r="D110" s="20" t="b">
        <v>1</v>
      </c>
      <c r="E110" s="20" t="b">
        <v>0</v>
      </c>
      <c r="F110" s="20" t="b">
        <v>1</v>
      </c>
      <c r="G110" s="20">
        <v>45733.66721</v>
      </c>
      <c r="H110" s="20">
        <v>45742</v>
      </c>
      <c r="I110" s="20">
        <v>45743.648560000001</v>
      </c>
      <c r="J110" s="20">
        <v>9.98</v>
      </c>
      <c r="K110" s="20">
        <v>-1.65</v>
      </c>
      <c r="L110" s="20" t="s">
        <v>3116</v>
      </c>
    </row>
    <row r="111" spans="1:12" x14ac:dyDescent="0.3">
      <c r="A111" s="20" t="s">
        <v>2856</v>
      </c>
      <c r="B111" s="20">
        <v>4</v>
      </c>
      <c r="C111" s="20" t="b">
        <v>0</v>
      </c>
      <c r="D111" s="20" t="b">
        <v>0</v>
      </c>
      <c r="E111" s="20" t="b">
        <v>0</v>
      </c>
      <c r="F111" s="20" t="b">
        <v>0</v>
      </c>
      <c r="G111" s="20">
        <v>45783.518389999997</v>
      </c>
      <c r="H111" s="20">
        <v>45787</v>
      </c>
      <c r="I111" s="20">
        <v>45787.633430000002</v>
      </c>
      <c r="J111" s="20">
        <v>4.12</v>
      </c>
      <c r="K111" s="20">
        <v>-0.63</v>
      </c>
      <c r="L111" s="20" t="s">
        <v>3116</v>
      </c>
    </row>
    <row r="112" spans="1:12" x14ac:dyDescent="0.3">
      <c r="A112" s="20" t="s">
        <v>2859</v>
      </c>
      <c r="B112" s="20">
        <v>4</v>
      </c>
      <c r="C112" s="20" t="b">
        <v>0</v>
      </c>
      <c r="D112" s="20" t="b">
        <v>0</v>
      </c>
      <c r="E112" s="20" t="b">
        <v>0</v>
      </c>
      <c r="F112" s="20" t="b">
        <v>0</v>
      </c>
      <c r="G112" s="20">
        <v>45787.528250000003</v>
      </c>
      <c r="H112" s="20">
        <v>45797</v>
      </c>
      <c r="I112" s="20">
        <v>45797.38538</v>
      </c>
      <c r="J112" s="20">
        <v>9.86</v>
      </c>
      <c r="K112" s="20">
        <v>-0.39</v>
      </c>
      <c r="L112" s="20" t="s">
        <v>3116</v>
      </c>
    </row>
    <row r="113" spans="1:12" x14ac:dyDescent="0.3">
      <c r="A113" s="20" t="s">
        <v>2860</v>
      </c>
      <c r="B113" s="20">
        <v>4</v>
      </c>
      <c r="C113" s="20" t="b">
        <v>0</v>
      </c>
      <c r="D113" s="20" t="b">
        <v>0</v>
      </c>
      <c r="E113" s="20" t="b">
        <v>0</v>
      </c>
      <c r="F113" s="20" t="b">
        <v>0</v>
      </c>
      <c r="G113" s="20">
        <v>45792.861349999999</v>
      </c>
      <c r="H113" s="20">
        <v>45799</v>
      </c>
      <c r="I113" s="20">
        <v>45798.653339999997</v>
      </c>
      <c r="J113" s="20">
        <v>5.79</v>
      </c>
      <c r="K113" s="20">
        <v>0.35</v>
      </c>
      <c r="L113" s="20" t="s">
        <v>3123</v>
      </c>
    </row>
    <row r="114" spans="1:12" x14ac:dyDescent="0.3">
      <c r="A114" s="20" t="s">
        <v>2861</v>
      </c>
      <c r="B114" s="20">
        <v>5</v>
      </c>
      <c r="C114" s="20" t="b">
        <v>0</v>
      </c>
      <c r="D114" s="20" t="b">
        <v>0</v>
      </c>
      <c r="E114" s="20" t="b">
        <v>0</v>
      </c>
      <c r="F114" s="20" t="b">
        <v>0</v>
      </c>
      <c r="G114" s="20">
        <v>45794.0383</v>
      </c>
      <c r="H114" s="20">
        <v>45799</v>
      </c>
      <c r="I114" s="20">
        <v>45798.40595</v>
      </c>
      <c r="J114" s="20">
        <v>4.37</v>
      </c>
      <c r="K114" s="20">
        <v>0.59</v>
      </c>
      <c r="L114" s="20" t="s">
        <v>3123</v>
      </c>
    </row>
    <row r="115" spans="1:12" x14ac:dyDescent="0.3">
      <c r="A115" s="20" t="s">
        <v>2862</v>
      </c>
      <c r="B115" s="20">
        <v>5</v>
      </c>
      <c r="C115" s="20" t="b">
        <v>0</v>
      </c>
      <c r="D115" s="20" t="b">
        <v>1</v>
      </c>
      <c r="E115" s="20" t="b">
        <v>0</v>
      </c>
      <c r="F115" s="20" t="b">
        <v>0</v>
      </c>
      <c r="G115" s="20">
        <v>45794.448579999997</v>
      </c>
      <c r="H115" s="20">
        <v>45799</v>
      </c>
      <c r="I115" s="20">
        <v>45799.515639999998</v>
      </c>
      <c r="J115" s="20">
        <v>5.07</v>
      </c>
      <c r="K115" s="20">
        <v>-0.52</v>
      </c>
      <c r="L115" s="20" t="s">
        <v>3116</v>
      </c>
    </row>
    <row r="116" spans="1:12" x14ac:dyDescent="0.3">
      <c r="A116" s="20" t="s">
        <v>2868</v>
      </c>
      <c r="B116" s="20">
        <v>5</v>
      </c>
      <c r="C116" s="20" t="b">
        <v>0</v>
      </c>
      <c r="D116" s="20" t="b">
        <v>0</v>
      </c>
      <c r="E116" s="20" t="b">
        <v>0</v>
      </c>
      <c r="F116" s="20" t="b">
        <v>0</v>
      </c>
      <c r="G116" s="20">
        <v>45804.426310000003</v>
      </c>
      <c r="H116" s="20">
        <v>45810</v>
      </c>
      <c r="I116" s="20">
        <v>45810.370219999997</v>
      </c>
      <c r="J116" s="20">
        <v>5.94</v>
      </c>
      <c r="K116" s="20">
        <v>-0.37</v>
      </c>
      <c r="L116" s="20" t="s">
        <v>3116</v>
      </c>
    </row>
    <row r="117" spans="1:12" x14ac:dyDescent="0.3">
      <c r="A117" s="20" t="s">
        <v>2869</v>
      </c>
      <c r="B117" s="20">
        <v>3</v>
      </c>
      <c r="C117" s="20" t="b">
        <v>0</v>
      </c>
      <c r="D117" s="20" t="b">
        <v>0</v>
      </c>
      <c r="E117" s="20" t="b">
        <v>0</v>
      </c>
      <c r="F117" s="20" t="b">
        <v>0</v>
      </c>
      <c r="G117" s="20">
        <v>45804.485339999999</v>
      </c>
      <c r="H117" s="20">
        <v>45813</v>
      </c>
      <c r="I117" s="20">
        <v>45815.501880000003</v>
      </c>
      <c r="J117" s="20">
        <v>11.02</v>
      </c>
      <c r="K117" s="20">
        <v>-2.5</v>
      </c>
      <c r="L117" s="20" t="s">
        <v>3116</v>
      </c>
    </row>
    <row r="118" spans="1:12" x14ac:dyDescent="0.3">
      <c r="A118" s="20" t="s">
        <v>2872</v>
      </c>
      <c r="B118" s="20">
        <v>5</v>
      </c>
      <c r="C118" s="20" t="b">
        <v>0</v>
      </c>
      <c r="D118" s="20" t="b">
        <v>1</v>
      </c>
      <c r="E118" s="20" t="b">
        <v>0</v>
      </c>
      <c r="F118" s="20" t="b">
        <v>0</v>
      </c>
      <c r="G118" s="20">
        <v>45808.48141</v>
      </c>
      <c r="H118" s="20">
        <v>45813</v>
      </c>
      <c r="I118" s="20">
        <v>45813.492290000002</v>
      </c>
      <c r="J118" s="20">
        <v>5.01</v>
      </c>
      <c r="K118" s="20">
        <v>-0.49</v>
      </c>
      <c r="L118" s="20" t="s">
        <v>3116</v>
      </c>
    </row>
    <row r="119" spans="1:12" x14ac:dyDescent="0.3">
      <c r="A119" s="20" t="s">
        <v>2875</v>
      </c>
      <c r="B119" s="20">
        <v>5</v>
      </c>
      <c r="C119" s="20" t="b">
        <v>0</v>
      </c>
      <c r="D119" s="20" t="b">
        <v>1</v>
      </c>
      <c r="E119" s="20" t="b">
        <v>0</v>
      </c>
      <c r="F119" s="20" t="b">
        <v>0</v>
      </c>
      <c r="G119" s="20">
        <v>45809.607559999997</v>
      </c>
      <c r="H119" s="20">
        <v>45822</v>
      </c>
      <c r="I119" s="20">
        <v>45821.645450000004</v>
      </c>
      <c r="J119" s="20">
        <v>12.04</v>
      </c>
      <c r="K119" s="20">
        <v>0.35</v>
      </c>
      <c r="L119" s="20" t="s">
        <v>3123</v>
      </c>
    </row>
    <row r="120" spans="1:12" x14ac:dyDescent="0.3">
      <c r="A120" s="20" t="s">
        <v>2840</v>
      </c>
      <c r="B120" s="20">
        <v>2</v>
      </c>
      <c r="C120" s="20" t="b">
        <v>0</v>
      </c>
      <c r="D120" s="20" t="b">
        <v>0</v>
      </c>
      <c r="E120" s="20" t="b">
        <v>0</v>
      </c>
      <c r="F120" s="20" t="b">
        <v>0</v>
      </c>
      <c r="G120" s="20">
        <v>45754.992429999998</v>
      </c>
      <c r="H120" s="20">
        <v>45762</v>
      </c>
      <c r="I120" s="20">
        <v>45763.705929999996</v>
      </c>
      <c r="J120" s="20">
        <v>8.7100000000000009</v>
      </c>
      <c r="K120" s="20">
        <v>-1.71</v>
      </c>
      <c r="L120" s="20" t="s">
        <v>3116</v>
      </c>
    </row>
    <row r="121" spans="1:12" x14ac:dyDescent="0.3">
      <c r="A121" s="20" t="s">
        <v>2879</v>
      </c>
      <c r="B121" s="20">
        <v>4</v>
      </c>
      <c r="C121" s="20" t="b">
        <v>0</v>
      </c>
      <c r="D121" s="20" t="b">
        <v>0</v>
      </c>
      <c r="E121" s="20" t="b">
        <v>0</v>
      </c>
      <c r="F121" s="20" t="b">
        <v>0</v>
      </c>
      <c r="G121" s="20">
        <v>45810.97696</v>
      </c>
      <c r="H121" s="20">
        <v>45815</v>
      </c>
      <c r="I121" s="20">
        <v>45815.458700000003</v>
      </c>
      <c r="J121" s="20">
        <v>4.4800000000000004</v>
      </c>
      <c r="K121" s="20">
        <v>-0.46</v>
      </c>
      <c r="L121" s="20" t="s">
        <v>3116</v>
      </c>
    </row>
    <row r="122" spans="1:12" x14ac:dyDescent="0.3">
      <c r="A122" s="20" t="s">
        <v>2880</v>
      </c>
      <c r="B122" s="20">
        <v>3</v>
      </c>
      <c r="C122" s="20" t="b">
        <v>0</v>
      </c>
      <c r="D122" s="20" t="b">
        <v>0</v>
      </c>
      <c r="E122" s="20" t="b">
        <v>0</v>
      </c>
      <c r="F122" s="20" t="b">
        <v>0</v>
      </c>
      <c r="G122" s="20">
        <v>45812.087950000001</v>
      </c>
      <c r="H122" s="20">
        <v>45818</v>
      </c>
      <c r="I122" s="20">
        <v>45819.409249999997</v>
      </c>
      <c r="J122" s="20">
        <v>7.32</v>
      </c>
      <c r="K122" s="20">
        <v>-1.41</v>
      </c>
      <c r="L122" s="20" t="s">
        <v>3116</v>
      </c>
    </row>
    <row r="123" spans="1:12" x14ac:dyDescent="0.3">
      <c r="A123" s="20" t="s">
        <v>2851</v>
      </c>
      <c r="B123" s="20">
        <v>2</v>
      </c>
      <c r="C123" s="20" t="b">
        <v>0</v>
      </c>
      <c r="D123" s="20" t="b">
        <v>0</v>
      </c>
      <c r="E123" s="20" t="b">
        <v>0</v>
      </c>
      <c r="F123" s="20" t="b">
        <v>0</v>
      </c>
      <c r="G123" s="20">
        <v>45775.006780000003</v>
      </c>
      <c r="H123" s="20">
        <v>45778</v>
      </c>
      <c r="I123" s="20">
        <v>45779.624559999997</v>
      </c>
      <c r="J123" s="20">
        <v>4.62</v>
      </c>
      <c r="K123" s="20">
        <v>-1.62</v>
      </c>
      <c r="L123" s="20" t="s">
        <v>3116</v>
      </c>
    </row>
    <row r="124" spans="1:12" x14ac:dyDescent="0.3">
      <c r="A124" s="20" t="s">
        <v>2882</v>
      </c>
      <c r="B124" s="20">
        <v>5</v>
      </c>
      <c r="C124" s="20" t="b">
        <v>1</v>
      </c>
      <c r="D124" s="20" t="b">
        <v>1</v>
      </c>
      <c r="E124" s="20" t="b">
        <v>1</v>
      </c>
      <c r="F124" s="20" t="b">
        <v>1</v>
      </c>
      <c r="G124" s="20">
        <v>45812.501369999998</v>
      </c>
      <c r="H124" s="20">
        <v>45822</v>
      </c>
      <c r="I124" s="20">
        <v>45821.732909999999</v>
      </c>
      <c r="J124" s="20">
        <v>9.23</v>
      </c>
      <c r="K124" s="20">
        <v>0.27</v>
      </c>
      <c r="L124" s="20" t="s">
        <v>3123</v>
      </c>
    </row>
    <row r="125" spans="1:12" x14ac:dyDescent="0.3">
      <c r="A125" s="20" t="s">
        <v>2883</v>
      </c>
      <c r="B125" s="20">
        <v>4</v>
      </c>
      <c r="C125" s="20" t="b">
        <v>0</v>
      </c>
      <c r="D125" s="20" t="b">
        <v>0</v>
      </c>
      <c r="E125" s="20" t="b">
        <v>0</v>
      </c>
      <c r="F125" s="20" t="b">
        <v>0</v>
      </c>
      <c r="G125" s="20">
        <v>45812.799220000001</v>
      </c>
      <c r="H125" s="20">
        <v>45819</v>
      </c>
      <c r="I125" s="20">
        <v>45819.484100000001</v>
      </c>
      <c r="J125" s="20">
        <v>6.68</v>
      </c>
      <c r="K125" s="20">
        <v>-0.48</v>
      </c>
      <c r="L125" s="20" t="s">
        <v>3116</v>
      </c>
    </row>
    <row r="126" spans="1:12" x14ac:dyDescent="0.3">
      <c r="A126" s="20" t="s">
        <v>2884</v>
      </c>
      <c r="B126" s="20">
        <v>5</v>
      </c>
      <c r="C126" s="20" t="b">
        <v>0</v>
      </c>
      <c r="D126" s="20" t="b">
        <v>1</v>
      </c>
      <c r="E126" s="20" t="b">
        <v>0</v>
      </c>
      <c r="F126" s="20" t="b">
        <v>1</v>
      </c>
      <c r="G126" s="20">
        <v>45813.329619999997</v>
      </c>
      <c r="H126" s="20">
        <v>45825</v>
      </c>
      <c r="I126" s="20">
        <v>45823.749949999998</v>
      </c>
      <c r="J126" s="20">
        <v>10.42</v>
      </c>
      <c r="K126" s="20">
        <v>1.25</v>
      </c>
      <c r="L126" s="20" t="s">
        <v>3124</v>
      </c>
    </row>
    <row r="127" spans="1:12" x14ac:dyDescent="0.3">
      <c r="A127" s="20" t="s">
        <v>2885</v>
      </c>
      <c r="B127" s="20">
        <v>5</v>
      </c>
      <c r="C127" s="20" t="b">
        <v>1</v>
      </c>
      <c r="D127" s="20" t="b">
        <v>1</v>
      </c>
      <c r="E127" s="20" t="b">
        <v>0</v>
      </c>
      <c r="F127" s="20" t="b">
        <v>0</v>
      </c>
      <c r="G127" s="20">
        <v>45815.970909999996</v>
      </c>
      <c r="H127" s="20">
        <v>45824</v>
      </c>
      <c r="I127" s="20">
        <v>45823.365279999998</v>
      </c>
      <c r="J127" s="20">
        <v>7.39</v>
      </c>
      <c r="K127" s="20">
        <v>0.63</v>
      </c>
      <c r="L127" s="20" t="s">
        <v>3123</v>
      </c>
    </row>
    <row r="128" spans="1:12" x14ac:dyDescent="0.3">
      <c r="A128" s="20" t="s">
        <v>2886</v>
      </c>
      <c r="B128" s="20">
        <v>4</v>
      </c>
      <c r="C128" s="20" t="b">
        <v>0</v>
      </c>
      <c r="D128" s="20" t="b">
        <v>0</v>
      </c>
      <c r="E128" s="20" t="b">
        <v>0</v>
      </c>
      <c r="F128" s="20" t="b">
        <v>0</v>
      </c>
      <c r="G128" s="20">
        <v>45826.247600000002</v>
      </c>
      <c r="H128" s="20">
        <v>45837</v>
      </c>
      <c r="I128" s="20">
        <v>45837.391889999999</v>
      </c>
      <c r="J128" s="20">
        <v>11.14</v>
      </c>
      <c r="K128" s="20">
        <v>-0.39</v>
      </c>
      <c r="L128" s="20" t="s">
        <v>3116</v>
      </c>
    </row>
    <row r="129" spans="1:12" x14ac:dyDescent="0.3">
      <c r="A129" s="20" t="s">
        <v>2893</v>
      </c>
      <c r="B129" s="20">
        <v>4</v>
      </c>
      <c r="C129" s="20" t="b">
        <v>0</v>
      </c>
      <c r="D129" s="20" t="b">
        <v>0</v>
      </c>
      <c r="E129" s="20" t="b">
        <v>0</v>
      </c>
      <c r="F129" s="20" t="b">
        <v>0</v>
      </c>
      <c r="G129" s="20">
        <v>45831.645980000001</v>
      </c>
      <c r="H129" s="20">
        <v>45837</v>
      </c>
      <c r="I129" s="20">
        <v>45837.592299999997</v>
      </c>
      <c r="J129" s="20">
        <v>5.95</v>
      </c>
      <c r="K129" s="20">
        <v>-0.59</v>
      </c>
      <c r="L129" s="20" t="s">
        <v>3116</v>
      </c>
    </row>
    <row r="130" spans="1:12" x14ac:dyDescent="0.3">
      <c r="A130" s="20" t="s">
        <v>2897</v>
      </c>
      <c r="B130" s="20">
        <v>4</v>
      </c>
      <c r="C130" s="20" t="b">
        <v>0</v>
      </c>
      <c r="D130" s="20" t="b">
        <v>1</v>
      </c>
      <c r="E130" s="20" t="b">
        <v>0</v>
      </c>
      <c r="F130" s="20" t="b">
        <v>0</v>
      </c>
      <c r="G130" s="20">
        <v>45841.440219999997</v>
      </c>
      <c r="H130" s="20">
        <v>45849</v>
      </c>
      <c r="I130" s="20">
        <v>45849.603179999998</v>
      </c>
      <c r="J130" s="20">
        <v>8.16</v>
      </c>
      <c r="K130" s="20">
        <v>-0.6</v>
      </c>
      <c r="L130" s="20" t="s">
        <v>3116</v>
      </c>
    </row>
    <row r="131" spans="1:12" x14ac:dyDescent="0.3">
      <c r="A131" s="20" t="s">
        <v>2898</v>
      </c>
      <c r="B131" s="20">
        <v>4</v>
      </c>
      <c r="C131" s="20" t="b">
        <v>1</v>
      </c>
      <c r="D131" s="20" t="b">
        <v>0</v>
      </c>
      <c r="E131" s="20" t="b">
        <v>0</v>
      </c>
      <c r="F131" s="20" t="b">
        <v>0</v>
      </c>
      <c r="G131" s="20">
        <v>45842.077429999998</v>
      </c>
      <c r="H131" s="20">
        <v>45850</v>
      </c>
      <c r="I131" s="20">
        <v>45850.539680000002</v>
      </c>
      <c r="J131" s="20">
        <v>8.4600000000000009</v>
      </c>
      <c r="K131" s="20">
        <v>-0.54</v>
      </c>
      <c r="L131" s="20" t="s">
        <v>3116</v>
      </c>
    </row>
    <row r="132" spans="1:12" x14ac:dyDescent="0.3">
      <c r="A132" s="20" t="s">
        <v>2855</v>
      </c>
      <c r="B132" s="20">
        <v>2</v>
      </c>
      <c r="C132" s="20" t="b">
        <v>0</v>
      </c>
      <c r="D132" s="20" t="b">
        <v>0</v>
      </c>
      <c r="E132" s="20" t="b">
        <v>0</v>
      </c>
      <c r="F132" s="20" t="b">
        <v>0</v>
      </c>
      <c r="G132" s="20">
        <v>45781.071880000003</v>
      </c>
      <c r="H132" s="20">
        <v>45787</v>
      </c>
      <c r="I132" s="20">
        <v>45789.362560000001</v>
      </c>
      <c r="J132" s="20">
        <v>8.2899999999999991</v>
      </c>
      <c r="K132" s="20">
        <v>-2.36</v>
      </c>
      <c r="L132" s="20" t="s">
        <v>3116</v>
      </c>
    </row>
    <row r="133" spans="1:12" x14ac:dyDescent="0.3">
      <c r="A133" s="20" t="s">
        <v>2902</v>
      </c>
      <c r="B133" s="20">
        <v>5</v>
      </c>
      <c r="C133" s="20" t="b">
        <v>1</v>
      </c>
      <c r="D133" s="20" t="b">
        <v>1</v>
      </c>
      <c r="E133" s="20" t="b">
        <v>0</v>
      </c>
      <c r="F133" s="20" t="b">
        <v>0</v>
      </c>
      <c r="G133" s="20">
        <v>45845.505810000002</v>
      </c>
      <c r="H133" s="20">
        <v>45852</v>
      </c>
      <c r="I133" s="20">
        <v>45852.364280000002</v>
      </c>
      <c r="J133" s="20">
        <v>6.86</v>
      </c>
      <c r="K133" s="20">
        <v>-0.36</v>
      </c>
      <c r="L133" s="20" t="s">
        <v>3116</v>
      </c>
    </row>
    <row r="134" spans="1:12" x14ac:dyDescent="0.3">
      <c r="A134" s="20" t="s">
        <v>2928</v>
      </c>
      <c r="B134" s="20">
        <v>3</v>
      </c>
      <c r="C134" s="20" t="b">
        <v>0</v>
      </c>
      <c r="D134" s="20" t="b">
        <v>0</v>
      </c>
      <c r="E134" s="20" t="b">
        <v>0</v>
      </c>
      <c r="F134" s="20" t="b">
        <v>0</v>
      </c>
      <c r="G134" s="20">
        <v>45902.749069999998</v>
      </c>
      <c r="H134" s="20">
        <v>45911.60873</v>
      </c>
      <c r="I134" s="20">
        <v>45914.308149999997</v>
      </c>
      <c r="J134" s="20">
        <v>11.56</v>
      </c>
      <c r="K134" s="20">
        <v>-2.7</v>
      </c>
      <c r="L134" s="20" t="s">
        <v>3116</v>
      </c>
    </row>
    <row r="135" spans="1:12" x14ac:dyDescent="0.3">
      <c r="A135" s="20" t="s">
        <v>2881</v>
      </c>
      <c r="B135" s="20">
        <v>2</v>
      </c>
      <c r="C135" s="20" t="b">
        <v>0</v>
      </c>
      <c r="D135" s="20" t="b">
        <v>1</v>
      </c>
      <c r="E135" s="20" t="b">
        <v>0</v>
      </c>
      <c r="F135" s="20" t="b">
        <v>0</v>
      </c>
      <c r="G135" s="20">
        <v>45812.324260000001</v>
      </c>
      <c r="H135" s="20">
        <v>45819</v>
      </c>
      <c r="I135" s="20">
        <v>45822.609980000001</v>
      </c>
      <c r="J135" s="20">
        <v>10.29</v>
      </c>
      <c r="K135" s="20">
        <v>-3.61</v>
      </c>
      <c r="L135" s="20" t="s">
        <v>3116</v>
      </c>
    </row>
    <row r="136" spans="1:12" x14ac:dyDescent="0.3">
      <c r="A136" s="20" t="s">
        <v>2913</v>
      </c>
      <c r="B136" s="20">
        <v>5</v>
      </c>
      <c r="C136" s="20" t="b">
        <v>0</v>
      </c>
      <c r="D136" s="20" t="b">
        <v>0</v>
      </c>
      <c r="E136" s="20" t="b">
        <v>0</v>
      </c>
      <c r="F136" s="20" t="b">
        <v>0</v>
      </c>
      <c r="G136" s="20">
        <v>45855.650439999998</v>
      </c>
      <c r="H136" s="20">
        <v>45864</v>
      </c>
      <c r="I136" s="20">
        <v>45863.618770000001</v>
      </c>
      <c r="J136" s="20">
        <v>7.97</v>
      </c>
      <c r="K136" s="20">
        <v>0.38</v>
      </c>
      <c r="L136" s="20" t="s">
        <v>3123</v>
      </c>
    </row>
    <row r="137" spans="1:12" x14ac:dyDescent="0.3">
      <c r="A137" s="20" t="s">
        <v>2931</v>
      </c>
      <c r="B137" s="20">
        <v>5</v>
      </c>
      <c r="C137" s="20" t="b">
        <v>0</v>
      </c>
      <c r="D137" s="20" t="b">
        <v>0</v>
      </c>
      <c r="E137" s="20" t="b">
        <v>0</v>
      </c>
      <c r="F137" s="20" t="b">
        <v>0</v>
      </c>
      <c r="G137" s="20">
        <v>45916.150459999997</v>
      </c>
      <c r="H137" s="20">
        <v>45922.726410000003</v>
      </c>
      <c r="I137" s="20">
        <v>45923.1181</v>
      </c>
      <c r="J137" s="20">
        <v>6.97</v>
      </c>
      <c r="K137" s="20">
        <v>-0.39</v>
      </c>
      <c r="L137" s="20" t="s">
        <v>3116</v>
      </c>
    </row>
    <row r="138" spans="1:12" x14ac:dyDescent="0.3">
      <c r="A138" s="20" t="s">
        <v>2915</v>
      </c>
      <c r="B138" s="20">
        <v>4</v>
      </c>
      <c r="C138" s="20" t="b">
        <v>0</v>
      </c>
      <c r="D138" s="20" t="b">
        <v>0</v>
      </c>
      <c r="E138" s="20" t="b">
        <v>0</v>
      </c>
      <c r="F138" s="20" t="b">
        <v>0</v>
      </c>
      <c r="G138" s="20">
        <v>45861.261030000001</v>
      </c>
      <c r="H138" s="20">
        <v>45869</v>
      </c>
      <c r="I138" s="20">
        <v>45869.653149999998</v>
      </c>
      <c r="J138" s="20">
        <v>8.39</v>
      </c>
      <c r="K138" s="20">
        <v>-0.65</v>
      </c>
      <c r="L138" s="20" t="s">
        <v>3116</v>
      </c>
    </row>
    <row r="139" spans="1:12" x14ac:dyDescent="0.3">
      <c r="A139" s="20" t="s">
        <v>2916</v>
      </c>
      <c r="B139" s="20">
        <v>4</v>
      </c>
      <c r="C139" s="20" t="b">
        <v>0</v>
      </c>
      <c r="D139" s="20" t="b">
        <v>0</v>
      </c>
      <c r="E139" s="20" t="b">
        <v>0</v>
      </c>
      <c r="F139" s="20" t="b">
        <v>0</v>
      </c>
      <c r="G139" s="20">
        <v>45864.76079</v>
      </c>
      <c r="H139" s="20">
        <v>45869</v>
      </c>
      <c r="I139" s="20">
        <v>45869.466639999999</v>
      </c>
      <c r="J139" s="20">
        <v>4.71</v>
      </c>
      <c r="K139" s="20">
        <v>-0.47</v>
      </c>
      <c r="L139" s="20" t="s">
        <v>3116</v>
      </c>
    </row>
    <row r="140" spans="1:12" x14ac:dyDescent="0.3">
      <c r="A140" s="20" t="s">
        <v>2918</v>
      </c>
      <c r="B140" s="20">
        <v>5</v>
      </c>
      <c r="C140" s="20" t="b">
        <v>0</v>
      </c>
      <c r="D140" s="20" t="b">
        <v>0</v>
      </c>
      <c r="E140" s="20" t="b">
        <v>0</v>
      </c>
      <c r="F140" s="20" t="b">
        <v>1</v>
      </c>
      <c r="G140" s="20">
        <v>45867.938179999997</v>
      </c>
      <c r="H140" s="20">
        <v>45873</v>
      </c>
      <c r="I140" s="20">
        <v>45872.737509999999</v>
      </c>
      <c r="J140" s="20">
        <v>4.8</v>
      </c>
      <c r="K140" s="20">
        <v>0.26</v>
      </c>
      <c r="L140" s="20" t="s">
        <v>3123</v>
      </c>
    </row>
    <row r="141" spans="1:12" x14ac:dyDescent="0.3">
      <c r="A141" s="20" t="s">
        <v>2900</v>
      </c>
      <c r="B141" s="20">
        <v>2</v>
      </c>
      <c r="C141" s="20" t="b">
        <v>0</v>
      </c>
      <c r="D141" s="20" t="b">
        <v>1</v>
      </c>
      <c r="E141" s="20" t="b">
        <v>0</v>
      </c>
      <c r="F141" s="20" t="b">
        <v>0</v>
      </c>
      <c r="G141" s="20">
        <v>45843.527820000003</v>
      </c>
      <c r="H141" s="20">
        <v>45849</v>
      </c>
      <c r="I141" s="20">
        <v>45851.493670000003</v>
      </c>
      <c r="J141" s="20">
        <v>7.97</v>
      </c>
      <c r="K141" s="20">
        <v>-2.4900000000000002</v>
      </c>
      <c r="L141" s="20" t="s">
        <v>3116</v>
      </c>
    </row>
    <row r="142" spans="1:12" x14ac:dyDescent="0.3">
      <c r="A142" s="20" t="s">
        <v>2925</v>
      </c>
      <c r="B142" s="20">
        <v>4</v>
      </c>
      <c r="C142" s="20" t="b">
        <v>0</v>
      </c>
      <c r="D142" s="20" t="b">
        <v>0</v>
      </c>
      <c r="E142" s="20" t="b">
        <v>0</v>
      </c>
      <c r="F142" s="20" t="b">
        <v>0</v>
      </c>
      <c r="G142" s="20">
        <v>45879.433559999998</v>
      </c>
      <c r="H142" s="20">
        <v>45888</v>
      </c>
      <c r="I142" s="20">
        <v>45890.56654</v>
      </c>
      <c r="J142" s="20">
        <v>11.13</v>
      </c>
      <c r="K142" s="20">
        <v>-2.57</v>
      </c>
      <c r="L142" s="20" t="s">
        <v>3116</v>
      </c>
    </row>
    <row r="143" spans="1:12" x14ac:dyDescent="0.3">
      <c r="A143" s="20" t="s">
        <v>2939</v>
      </c>
      <c r="B143" s="20">
        <v>5</v>
      </c>
      <c r="C143" s="20" t="b">
        <v>0</v>
      </c>
      <c r="D143" s="20" t="b">
        <v>0</v>
      </c>
      <c r="E143" s="20" t="b">
        <v>0</v>
      </c>
      <c r="F143" s="20" t="b">
        <v>0</v>
      </c>
      <c r="G143" s="20">
        <v>45931.273609999997</v>
      </c>
      <c r="H143" s="20">
        <v>45936</v>
      </c>
      <c r="I143" s="20">
        <v>45935.727350000001</v>
      </c>
      <c r="J143" s="20">
        <v>4.45</v>
      </c>
      <c r="K143" s="20">
        <v>0.27</v>
      </c>
      <c r="L143" s="20" t="s">
        <v>3123</v>
      </c>
    </row>
    <row r="144" spans="1:12" x14ac:dyDescent="0.3">
      <c r="A144" s="20" t="s">
        <v>2941</v>
      </c>
      <c r="B144" s="20">
        <v>5</v>
      </c>
      <c r="C144" s="20" t="b">
        <v>0</v>
      </c>
      <c r="D144" s="20" t="b">
        <v>0</v>
      </c>
      <c r="E144" s="20" t="b">
        <v>0</v>
      </c>
      <c r="F144" s="20" t="b">
        <v>0</v>
      </c>
      <c r="G144" s="20">
        <v>45954.320200000002</v>
      </c>
      <c r="H144" s="20">
        <v>45962</v>
      </c>
      <c r="I144" s="20">
        <v>45962.352039999998</v>
      </c>
      <c r="J144" s="20">
        <v>8.0299999999999994</v>
      </c>
      <c r="K144" s="20">
        <v>-0.35</v>
      </c>
      <c r="L144" s="20" t="s">
        <v>3116</v>
      </c>
    </row>
    <row r="145" spans="1:12" x14ac:dyDescent="0.3">
      <c r="A145" s="20" t="s">
        <v>2942</v>
      </c>
      <c r="B145" s="20">
        <v>4</v>
      </c>
      <c r="C145" s="20" t="b">
        <v>0</v>
      </c>
      <c r="D145" s="20" t="b">
        <v>0</v>
      </c>
      <c r="E145" s="20" t="b">
        <v>0</v>
      </c>
      <c r="F145" s="20" t="b">
        <v>0</v>
      </c>
      <c r="G145" s="20">
        <v>45959.919179999997</v>
      </c>
      <c r="H145" s="20">
        <v>45966</v>
      </c>
      <c r="I145" s="20">
        <v>45965.703020000001</v>
      </c>
      <c r="J145" s="20">
        <v>5.78</v>
      </c>
      <c r="K145" s="20">
        <v>0.3</v>
      </c>
      <c r="L145" s="20" t="s">
        <v>3123</v>
      </c>
    </row>
    <row r="146" spans="1:12" x14ac:dyDescent="0.3">
      <c r="A146" s="20" t="s">
        <v>2944</v>
      </c>
      <c r="B146" s="20">
        <v>5</v>
      </c>
      <c r="C146" s="20" t="b">
        <v>0</v>
      </c>
      <c r="D146" s="20" t="b">
        <v>0</v>
      </c>
      <c r="E146" s="20" t="b">
        <v>0</v>
      </c>
      <c r="F146" s="20" t="b">
        <v>0</v>
      </c>
      <c r="G146" s="20">
        <v>45962.828159999997</v>
      </c>
      <c r="H146" s="20">
        <v>45964</v>
      </c>
      <c r="I146" s="20">
        <v>45964.453410000002</v>
      </c>
      <c r="J146" s="20">
        <v>1.63</v>
      </c>
      <c r="K146" s="20">
        <v>-0.45</v>
      </c>
      <c r="L146" s="20" t="s">
        <v>3116</v>
      </c>
    </row>
    <row r="147" spans="1:12" x14ac:dyDescent="0.3">
      <c r="A147" s="20" t="s">
        <v>2949</v>
      </c>
      <c r="B147" s="20">
        <v>5</v>
      </c>
      <c r="C147" s="20" t="b">
        <v>0</v>
      </c>
      <c r="D147" s="20" t="b">
        <v>0</v>
      </c>
      <c r="E147" s="20" t="b">
        <v>0</v>
      </c>
      <c r="F147" s="20" t="b">
        <v>0</v>
      </c>
      <c r="G147" s="20">
        <v>45971.411379999998</v>
      </c>
      <c r="H147" s="20">
        <v>45981</v>
      </c>
      <c r="I147" s="20">
        <v>45981.603880000002</v>
      </c>
      <c r="J147" s="20">
        <v>10.19</v>
      </c>
      <c r="K147" s="20">
        <v>-0.6</v>
      </c>
      <c r="L147" s="20" t="s">
        <v>3116</v>
      </c>
    </row>
    <row r="148" spans="1:12" x14ac:dyDescent="0.3">
      <c r="A148" s="20" t="s">
        <v>2953</v>
      </c>
      <c r="B148" s="20">
        <v>3</v>
      </c>
      <c r="C148" s="20" t="b">
        <v>1</v>
      </c>
      <c r="D148" s="20" t="b">
        <v>1</v>
      </c>
      <c r="E148" s="20" t="b">
        <v>0</v>
      </c>
      <c r="F148" s="20" t="b">
        <v>0</v>
      </c>
      <c r="G148" s="20">
        <v>45974.720159999997</v>
      </c>
      <c r="H148" s="20">
        <v>45981</v>
      </c>
      <c r="I148" s="20">
        <v>45982.571459999999</v>
      </c>
      <c r="J148" s="20">
        <v>7.85</v>
      </c>
      <c r="K148" s="20">
        <v>-1.57</v>
      </c>
      <c r="L148" s="20" t="s">
        <v>3116</v>
      </c>
    </row>
    <row r="149" spans="1:12" x14ac:dyDescent="0.3">
      <c r="A149" s="20" t="s">
        <v>2937</v>
      </c>
      <c r="B149" s="20">
        <v>2</v>
      </c>
      <c r="C149" s="20" t="b">
        <v>0</v>
      </c>
      <c r="D149" s="20" t="b">
        <v>0</v>
      </c>
      <c r="E149" s="20" t="b">
        <v>0</v>
      </c>
      <c r="F149" s="20" t="b">
        <v>0</v>
      </c>
      <c r="G149" s="20">
        <v>45928.529560000003</v>
      </c>
      <c r="H149" s="20">
        <v>45931.738890000001</v>
      </c>
      <c r="I149" s="20">
        <v>45934.145429999997</v>
      </c>
      <c r="J149" s="20">
        <v>5.62</v>
      </c>
      <c r="K149" s="20">
        <v>-2.41</v>
      </c>
      <c r="L149" s="20" t="s">
        <v>3116</v>
      </c>
    </row>
    <row r="150" spans="1:12" x14ac:dyDescent="0.3">
      <c r="A150" s="20" t="s">
        <v>2921</v>
      </c>
      <c r="B150" s="20">
        <v>2</v>
      </c>
      <c r="C150" s="20" t="b">
        <v>0</v>
      </c>
      <c r="D150" s="20" t="b">
        <v>0</v>
      </c>
      <c r="E150" s="20" t="b">
        <v>0</v>
      </c>
      <c r="F150" s="20" t="b">
        <v>0</v>
      </c>
      <c r="G150" s="20">
        <v>45875.526059999997</v>
      </c>
      <c r="H150" s="20">
        <v>45883</v>
      </c>
      <c r="I150" s="20">
        <v>45884.406690000003</v>
      </c>
      <c r="J150" s="20">
        <v>8.8800000000000008</v>
      </c>
      <c r="K150" s="20">
        <v>-1.41</v>
      </c>
      <c r="L150" s="20" t="s">
        <v>3116</v>
      </c>
    </row>
    <row r="151" spans="1:12" x14ac:dyDescent="0.3">
      <c r="A151" s="20" t="s">
        <v>2963</v>
      </c>
      <c r="B151" s="20">
        <v>3</v>
      </c>
      <c r="C151" s="20" t="b">
        <v>1</v>
      </c>
      <c r="D151" s="20" t="b">
        <v>1</v>
      </c>
      <c r="E151" s="20" t="b">
        <v>0</v>
      </c>
      <c r="F151" s="20" t="b">
        <v>0</v>
      </c>
      <c r="G151" s="20">
        <v>45979.64372</v>
      </c>
      <c r="H151" s="20">
        <v>45983</v>
      </c>
      <c r="I151" s="20">
        <v>45984.459199999998</v>
      </c>
      <c r="J151" s="20">
        <v>4.82</v>
      </c>
      <c r="K151" s="20">
        <v>-1.46</v>
      </c>
      <c r="L151" s="20" t="s">
        <v>3116</v>
      </c>
    </row>
    <row r="152" spans="1:12" x14ac:dyDescent="0.3">
      <c r="A152" s="20" t="s">
        <v>2966</v>
      </c>
      <c r="B152" s="20">
        <v>5</v>
      </c>
      <c r="C152" s="20" t="b">
        <v>0</v>
      </c>
      <c r="D152" s="20" t="b">
        <v>0</v>
      </c>
      <c r="E152" s="20" t="b">
        <v>0</v>
      </c>
      <c r="F152" s="20" t="b">
        <v>0</v>
      </c>
      <c r="G152" s="20">
        <v>45980.472410000002</v>
      </c>
      <c r="H152" s="20">
        <v>45994</v>
      </c>
      <c r="I152" s="20">
        <v>45994.459239999996</v>
      </c>
      <c r="J152" s="20">
        <v>13.99</v>
      </c>
      <c r="K152" s="20">
        <v>-0.46</v>
      </c>
      <c r="L152" s="20" t="s">
        <v>3116</v>
      </c>
    </row>
    <row r="153" spans="1:12" x14ac:dyDescent="0.3">
      <c r="A153" s="20" t="s">
        <v>2968</v>
      </c>
      <c r="B153" s="20">
        <v>5</v>
      </c>
      <c r="C153" s="20" t="b">
        <v>0</v>
      </c>
      <c r="D153" s="20" t="b">
        <v>0</v>
      </c>
      <c r="E153" s="20" t="b">
        <v>0</v>
      </c>
      <c r="F153" s="20" t="b">
        <v>0</v>
      </c>
      <c r="G153" s="20">
        <v>45981.238680000002</v>
      </c>
      <c r="H153" s="20">
        <v>45989</v>
      </c>
      <c r="I153" s="20">
        <v>45988.689180000001</v>
      </c>
      <c r="J153" s="20">
        <v>7.45</v>
      </c>
      <c r="K153" s="20">
        <v>0.31</v>
      </c>
      <c r="L153" s="20" t="s">
        <v>3123</v>
      </c>
    </row>
    <row r="154" spans="1:12" x14ac:dyDescent="0.3">
      <c r="A154" s="20" t="s">
        <v>2970</v>
      </c>
      <c r="B154" s="20">
        <v>5</v>
      </c>
      <c r="C154" s="20" t="b">
        <v>0</v>
      </c>
      <c r="D154" s="20" t="b">
        <v>0</v>
      </c>
      <c r="E154" s="20" t="b">
        <v>1</v>
      </c>
      <c r="F154" s="20" t="b">
        <v>0</v>
      </c>
      <c r="G154" s="20">
        <v>45983.063670000003</v>
      </c>
      <c r="H154" s="20">
        <v>45994</v>
      </c>
      <c r="I154" s="20">
        <v>45994.594810000002</v>
      </c>
      <c r="J154" s="20">
        <v>11.53</v>
      </c>
      <c r="K154" s="20">
        <v>-0.59</v>
      </c>
      <c r="L154" s="20" t="s">
        <v>3116</v>
      </c>
    </row>
    <row r="155" spans="1:12" x14ac:dyDescent="0.3">
      <c r="A155" s="20" t="s">
        <v>2975</v>
      </c>
      <c r="B155" s="20">
        <v>4</v>
      </c>
      <c r="C155" s="20" t="b">
        <v>0</v>
      </c>
      <c r="D155" s="20" t="b">
        <v>1</v>
      </c>
      <c r="E155" s="20" t="b">
        <v>0</v>
      </c>
      <c r="F155" s="20" t="b">
        <v>0</v>
      </c>
      <c r="G155" s="20">
        <v>45985.489609999997</v>
      </c>
      <c r="H155" s="20">
        <v>45995</v>
      </c>
      <c r="I155" s="20">
        <v>45995.630469999996</v>
      </c>
      <c r="J155" s="20">
        <v>10.14</v>
      </c>
      <c r="K155" s="20">
        <v>-0.63</v>
      </c>
      <c r="L155" s="20" t="s">
        <v>3116</v>
      </c>
    </row>
    <row r="156" spans="1:12" x14ac:dyDescent="0.3">
      <c r="A156" s="20" t="s">
        <v>2979</v>
      </c>
      <c r="B156" s="20">
        <v>5</v>
      </c>
      <c r="C156" s="20" t="b">
        <v>0</v>
      </c>
      <c r="D156" s="20" t="b">
        <v>0</v>
      </c>
      <c r="E156" s="20" t="b">
        <v>1</v>
      </c>
      <c r="F156" s="20" t="b">
        <v>0</v>
      </c>
      <c r="G156" s="20">
        <v>45988.302750000003</v>
      </c>
      <c r="H156" s="20">
        <v>45999</v>
      </c>
      <c r="I156" s="20">
        <v>45999.749219999998</v>
      </c>
      <c r="J156" s="20">
        <v>11.45</v>
      </c>
      <c r="K156" s="20">
        <v>-0.75</v>
      </c>
      <c r="L156" s="20" t="s">
        <v>3116</v>
      </c>
    </row>
    <row r="157" spans="1:12" x14ac:dyDescent="0.3">
      <c r="A157" s="20" t="s">
        <v>2986</v>
      </c>
      <c r="B157" s="20">
        <v>5</v>
      </c>
      <c r="C157" s="20" t="b">
        <v>0</v>
      </c>
      <c r="D157" s="20" t="b">
        <v>0</v>
      </c>
      <c r="E157" s="20" t="b">
        <v>0</v>
      </c>
      <c r="F157" s="20" t="b">
        <v>0</v>
      </c>
      <c r="G157" s="20">
        <v>45990.405749999998</v>
      </c>
      <c r="H157" s="20">
        <v>45999</v>
      </c>
      <c r="I157" s="20">
        <v>45999.601490000001</v>
      </c>
      <c r="J157" s="20">
        <v>9.1999999999999993</v>
      </c>
      <c r="K157" s="20">
        <v>-0.6</v>
      </c>
      <c r="L157" s="20" t="s">
        <v>3116</v>
      </c>
    </row>
    <row r="158" spans="1:12" x14ac:dyDescent="0.3">
      <c r="A158" s="20" t="s">
        <v>2987</v>
      </c>
      <c r="B158" s="20">
        <v>5</v>
      </c>
      <c r="C158" s="20" t="b">
        <v>1</v>
      </c>
      <c r="D158" s="20" t="b">
        <v>1</v>
      </c>
      <c r="E158" s="20" t="b">
        <v>0</v>
      </c>
      <c r="F158" s="20" t="b">
        <v>0</v>
      </c>
      <c r="G158" s="20">
        <v>45990.672530000003</v>
      </c>
      <c r="H158" s="20">
        <v>45999</v>
      </c>
      <c r="I158" s="20">
        <v>45999.47582</v>
      </c>
      <c r="J158" s="20">
        <v>8.8000000000000007</v>
      </c>
      <c r="K158" s="20">
        <v>-0.48</v>
      </c>
      <c r="L158" s="20" t="s">
        <v>3116</v>
      </c>
    </row>
    <row r="159" spans="1:12" x14ac:dyDescent="0.3">
      <c r="A159" s="20" t="s">
        <v>2989</v>
      </c>
      <c r="B159" s="20">
        <v>3</v>
      </c>
      <c r="C159" s="20" t="b">
        <v>1</v>
      </c>
      <c r="D159" s="20" t="b">
        <v>0</v>
      </c>
      <c r="E159" s="20" t="b">
        <v>0</v>
      </c>
      <c r="F159" s="20" t="b">
        <v>0</v>
      </c>
      <c r="G159" s="20">
        <v>45992.732210000002</v>
      </c>
      <c r="H159" s="20">
        <v>46002</v>
      </c>
      <c r="I159" s="20">
        <v>46004.628040000003</v>
      </c>
      <c r="J159" s="20">
        <v>11.9</v>
      </c>
      <c r="K159" s="20">
        <v>-2.63</v>
      </c>
      <c r="L159" s="20" t="s">
        <v>3116</v>
      </c>
    </row>
    <row r="160" spans="1:12" x14ac:dyDescent="0.3">
      <c r="A160" s="20" t="s">
        <v>2990</v>
      </c>
      <c r="B160" s="20">
        <v>5</v>
      </c>
      <c r="C160" s="20" t="b">
        <v>0</v>
      </c>
      <c r="D160" s="20" t="b">
        <v>0</v>
      </c>
      <c r="E160" s="20" t="b">
        <v>0</v>
      </c>
      <c r="F160" s="20" t="b">
        <v>0</v>
      </c>
      <c r="G160" s="20">
        <v>45992.829469999997</v>
      </c>
      <c r="H160" s="20">
        <v>46001</v>
      </c>
      <c r="I160" s="20">
        <v>46002.483760000003</v>
      </c>
      <c r="J160" s="20">
        <v>9.65</v>
      </c>
      <c r="K160" s="20">
        <v>-1.48</v>
      </c>
      <c r="L160" s="20" t="s">
        <v>3116</v>
      </c>
    </row>
    <row r="161" spans="1:12" x14ac:dyDescent="0.3">
      <c r="A161" s="20" t="s">
        <v>2957</v>
      </c>
      <c r="B161" s="20">
        <v>2</v>
      </c>
      <c r="C161" s="20" t="b">
        <v>0</v>
      </c>
      <c r="D161" s="20" t="b">
        <v>1</v>
      </c>
      <c r="E161" s="20" t="b">
        <v>0</v>
      </c>
      <c r="F161" s="20" t="b">
        <v>0</v>
      </c>
      <c r="G161" s="20">
        <v>45977.284200000002</v>
      </c>
      <c r="H161" s="20">
        <v>45985</v>
      </c>
      <c r="I161" s="20">
        <v>45987.538979999998</v>
      </c>
      <c r="J161" s="20">
        <v>10.25</v>
      </c>
      <c r="K161" s="20">
        <v>-2.54</v>
      </c>
      <c r="L161" s="20" t="s">
        <v>3116</v>
      </c>
    </row>
    <row r="162" spans="1:12" x14ac:dyDescent="0.3">
      <c r="A162" s="20" t="s">
        <v>2997</v>
      </c>
      <c r="B162" s="20">
        <v>2</v>
      </c>
      <c r="C162" s="20" t="b">
        <v>0</v>
      </c>
      <c r="D162" s="20" t="b">
        <v>0</v>
      </c>
      <c r="E162" s="20" t="b">
        <v>0</v>
      </c>
      <c r="F162" s="20" t="b">
        <v>1</v>
      </c>
      <c r="G162" s="20">
        <v>45996.907800000001</v>
      </c>
      <c r="H162" s="20">
        <v>46005</v>
      </c>
      <c r="I162" s="20">
        <v>46006.500829999997</v>
      </c>
      <c r="J162" s="20">
        <v>9.59</v>
      </c>
      <c r="K162" s="20">
        <v>-1.5</v>
      </c>
      <c r="L162" s="20" t="s">
        <v>3116</v>
      </c>
    </row>
    <row r="163" spans="1:12" x14ac:dyDescent="0.3">
      <c r="A163" s="20" t="s">
        <v>3000</v>
      </c>
      <c r="B163" s="20">
        <v>4</v>
      </c>
      <c r="C163" s="20" t="b">
        <v>1</v>
      </c>
      <c r="D163" s="20" t="b">
        <v>1</v>
      </c>
      <c r="E163" s="20" t="b">
        <v>0</v>
      </c>
      <c r="F163" s="20" t="b">
        <v>1</v>
      </c>
      <c r="G163" s="20">
        <v>45999.08382</v>
      </c>
      <c r="H163" s="20">
        <v>46007</v>
      </c>
      <c r="I163" s="20">
        <v>46007.341769999999</v>
      </c>
      <c r="J163" s="20">
        <v>8.26</v>
      </c>
      <c r="K163" s="20">
        <v>-0.34</v>
      </c>
      <c r="L163" s="20" t="s">
        <v>3116</v>
      </c>
    </row>
    <row r="164" spans="1:12" x14ac:dyDescent="0.3">
      <c r="A164" s="20" t="s">
        <v>3002</v>
      </c>
      <c r="B164" s="20">
        <v>5</v>
      </c>
      <c r="C164" s="20" t="b">
        <v>0</v>
      </c>
      <c r="D164" s="20" t="b">
        <v>0</v>
      </c>
      <c r="E164" s="20" t="b">
        <v>0</v>
      </c>
      <c r="F164" s="20" t="b">
        <v>0</v>
      </c>
      <c r="G164" s="20">
        <v>46000.111470000003</v>
      </c>
      <c r="H164" s="20">
        <v>46012</v>
      </c>
      <c r="I164" s="20">
        <v>46011.748480000002</v>
      </c>
      <c r="J164" s="20">
        <v>11.64</v>
      </c>
      <c r="K164" s="20">
        <v>0.25</v>
      </c>
      <c r="L164" s="20" t="s">
        <v>3123</v>
      </c>
    </row>
    <row r="165" spans="1:12" x14ac:dyDescent="0.3">
      <c r="A165" s="20" t="s">
        <v>3005</v>
      </c>
      <c r="B165" s="20">
        <v>5</v>
      </c>
      <c r="C165" s="20" t="b">
        <v>0</v>
      </c>
      <c r="D165" s="20" t="b">
        <v>0</v>
      </c>
      <c r="E165" s="20" t="b">
        <v>0</v>
      </c>
      <c r="F165" s="20" t="b">
        <v>0</v>
      </c>
      <c r="G165" s="20">
        <v>46002.254110000002</v>
      </c>
      <c r="H165" s="20">
        <v>46011</v>
      </c>
      <c r="I165" s="20">
        <v>46011.621229999997</v>
      </c>
      <c r="J165" s="20">
        <v>9.3699999999999992</v>
      </c>
      <c r="K165" s="20">
        <v>-0.62</v>
      </c>
      <c r="L165" s="20" t="s">
        <v>3116</v>
      </c>
    </row>
    <row r="166" spans="1:12" x14ac:dyDescent="0.3">
      <c r="A166" s="20" t="s">
        <v>3007</v>
      </c>
      <c r="B166" s="20">
        <v>4</v>
      </c>
      <c r="C166" s="20" t="b">
        <v>0</v>
      </c>
      <c r="D166" s="20" t="b">
        <v>0</v>
      </c>
      <c r="E166" s="20" t="b">
        <v>0</v>
      </c>
      <c r="F166" s="20" t="b">
        <v>0</v>
      </c>
      <c r="G166" s="20">
        <v>46002.571539999997</v>
      </c>
      <c r="H166" s="20">
        <v>46004</v>
      </c>
      <c r="I166" s="20">
        <v>46004.536050000002</v>
      </c>
      <c r="J166" s="20">
        <v>1.96</v>
      </c>
      <c r="K166" s="20">
        <v>-0.54</v>
      </c>
      <c r="L166" s="20" t="s">
        <v>3116</v>
      </c>
    </row>
    <row r="167" spans="1:12" x14ac:dyDescent="0.3">
      <c r="A167" s="20" t="s">
        <v>3009</v>
      </c>
      <c r="B167" s="20">
        <v>2</v>
      </c>
      <c r="C167" s="20" t="b">
        <v>1</v>
      </c>
      <c r="D167" s="20" t="b">
        <v>1</v>
      </c>
      <c r="E167" s="20" t="b">
        <v>1</v>
      </c>
      <c r="F167" s="20" t="b">
        <v>1</v>
      </c>
      <c r="G167" s="20">
        <v>46004.845690000002</v>
      </c>
      <c r="H167" s="20">
        <v>46014</v>
      </c>
      <c r="I167" s="20">
        <v>46018.552649999998</v>
      </c>
      <c r="J167" s="20">
        <v>13.71</v>
      </c>
      <c r="K167" s="20">
        <v>-4.55</v>
      </c>
      <c r="L167" s="20" t="s">
        <v>3116</v>
      </c>
    </row>
    <row r="168" spans="1:12" x14ac:dyDescent="0.3">
      <c r="A168" s="20" t="s">
        <v>3010</v>
      </c>
      <c r="B168" s="20">
        <v>2</v>
      </c>
      <c r="C168" s="20" t="b">
        <v>0</v>
      </c>
      <c r="D168" s="20" t="b">
        <v>1</v>
      </c>
      <c r="E168" s="20" t="b">
        <v>0</v>
      </c>
      <c r="F168" s="20" t="b">
        <v>1</v>
      </c>
      <c r="G168" s="20">
        <v>46005.547149999999</v>
      </c>
      <c r="H168" s="20">
        <v>46014</v>
      </c>
      <c r="I168" s="20">
        <v>46021.484859999997</v>
      </c>
      <c r="J168" s="20">
        <v>15.94</v>
      </c>
      <c r="K168" s="20">
        <v>-7.48</v>
      </c>
      <c r="L168" s="20" t="s">
        <v>3116</v>
      </c>
    </row>
    <row r="169" spans="1:12" x14ac:dyDescent="0.3">
      <c r="A169" s="20" t="s">
        <v>3012</v>
      </c>
      <c r="B169" s="20">
        <v>5</v>
      </c>
      <c r="C169" s="20" t="b">
        <v>1</v>
      </c>
      <c r="D169" s="20" t="b">
        <v>0</v>
      </c>
      <c r="E169" s="20" t="b">
        <v>0</v>
      </c>
      <c r="F169" s="20" t="b">
        <v>0</v>
      </c>
      <c r="G169" s="20">
        <v>46005.769840000001</v>
      </c>
      <c r="H169" s="20">
        <v>46014</v>
      </c>
      <c r="I169" s="20">
        <v>46013.496299999999</v>
      </c>
      <c r="J169" s="20">
        <v>7.73</v>
      </c>
      <c r="K169" s="20">
        <v>0.5</v>
      </c>
      <c r="L169" s="20" t="s">
        <v>3123</v>
      </c>
    </row>
    <row r="170" spans="1:12" x14ac:dyDescent="0.3">
      <c r="A170" s="20" t="s">
        <v>3016</v>
      </c>
      <c r="B170" s="20">
        <v>2</v>
      </c>
      <c r="C170" s="20" t="b">
        <v>0</v>
      </c>
      <c r="D170" s="20" t="b">
        <v>1</v>
      </c>
      <c r="E170" s="20" t="b">
        <v>0</v>
      </c>
      <c r="F170" s="20" t="b">
        <v>0</v>
      </c>
      <c r="G170" s="20">
        <v>46007.6705</v>
      </c>
      <c r="H170" s="20">
        <v>46014</v>
      </c>
      <c r="I170" s="20">
        <v>46018.360079999999</v>
      </c>
      <c r="J170" s="20">
        <v>10.69</v>
      </c>
      <c r="K170" s="20">
        <v>-4.3600000000000003</v>
      </c>
      <c r="L170" s="20" t="s">
        <v>3116</v>
      </c>
    </row>
    <row r="171" spans="1:12" x14ac:dyDescent="0.3">
      <c r="A171" s="20" t="s">
        <v>3018</v>
      </c>
      <c r="B171" s="20">
        <v>5</v>
      </c>
      <c r="C171" s="20" t="b">
        <v>0</v>
      </c>
      <c r="D171" s="20" t="b">
        <v>1</v>
      </c>
      <c r="E171" s="20" t="b">
        <v>0</v>
      </c>
      <c r="F171" s="20" t="b">
        <v>1</v>
      </c>
      <c r="G171" s="20">
        <v>46009.07329</v>
      </c>
      <c r="H171" s="20">
        <v>46018</v>
      </c>
      <c r="I171" s="20">
        <v>46018.412499999999</v>
      </c>
      <c r="J171" s="20">
        <v>9.34</v>
      </c>
      <c r="K171" s="20">
        <v>-0.41</v>
      </c>
      <c r="L171" s="20" t="s">
        <v>3116</v>
      </c>
    </row>
    <row r="172" spans="1:12" x14ac:dyDescent="0.3">
      <c r="A172" s="20" t="s">
        <v>3019</v>
      </c>
      <c r="B172" s="20">
        <v>2</v>
      </c>
      <c r="C172" s="20" t="b">
        <v>0</v>
      </c>
      <c r="D172" s="20" t="b">
        <v>1</v>
      </c>
      <c r="E172" s="20" t="b">
        <v>0</v>
      </c>
      <c r="F172" s="20" t="b">
        <v>1</v>
      </c>
      <c r="G172" s="20">
        <v>46009.127</v>
      </c>
      <c r="H172" s="20">
        <v>46019</v>
      </c>
      <c r="I172" s="20">
        <v>46024.678780000002</v>
      </c>
      <c r="J172" s="20">
        <v>15.55</v>
      </c>
      <c r="K172" s="20">
        <v>-5.68</v>
      </c>
      <c r="L172" s="20" t="s">
        <v>3116</v>
      </c>
    </row>
    <row r="173" spans="1:12" x14ac:dyDescent="0.3">
      <c r="A173" s="20" t="s">
        <v>3021</v>
      </c>
      <c r="B173" s="20">
        <v>4</v>
      </c>
      <c r="C173" s="20" t="b">
        <v>0</v>
      </c>
      <c r="D173" s="20" t="b">
        <v>0</v>
      </c>
      <c r="E173" s="20" t="b">
        <v>0</v>
      </c>
      <c r="F173" s="20" t="b">
        <v>0</v>
      </c>
      <c r="G173" s="20">
        <v>46010.063069999997</v>
      </c>
      <c r="H173" s="20">
        <v>46020</v>
      </c>
      <c r="I173" s="20">
        <v>46020.557509999999</v>
      </c>
      <c r="J173" s="20">
        <v>10.49</v>
      </c>
      <c r="K173" s="20">
        <v>-0.56000000000000005</v>
      </c>
      <c r="L173" s="20" t="s">
        <v>3116</v>
      </c>
    </row>
    <row r="174" spans="1:12" x14ac:dyDescent="0.3">
      <c r="A174" s="20" t="s">
        <v>3023</v>
      </c>
      <c r="B174" s="20">
        <v>4</v>
      </c>
      <c r="C174" s="20" t="b">
        <v>0</v>
      </c>
      <c r="D174" s="20" t="b">
        <v>0</v>
      </c>
      <c r="E174" s="20" t="b">
        <v>0</v>
      </c>
      <c r="F174" s="20" t="b">
        <v>0</v>
      </c>
      <c r="G174" s="20">
        <v>46011.105349999998</v>
      </c>
      <c r="H174" s="20">
        <v>46020</v>
      </c>
      <c r="I174" s="20">
        <v>46020.394500000002</v>
      </c>
      <c r="J174" s="20">
        <v>9.2899999999999991</v>
      </c>
      <c r="K174" s="20">
        <v>-0.39</v>
      </c>
      <c r="L174" s="20" t="s">
        <v>3116</v>
      </c>
    </row>
    <row r="175" spans="1:12" x14ac:dyDescent="0.3">
      <c r="A175" s="20" t="s">
        <v>3025</v>
      </c>
      <c r="B175" s="20">
        <v>4</v>
      </c>
      <c r="C175" s="20" t="b">
        <v>0</v>
      </c>
      <c r="D175" s="20" t="b">
        <v>0</v>
      </c>
      <c r="E175" s="20" t="b">
        <v>0</v>
      </c>
      <c r="F175" s="20" t="b">
        <v>0</v>
      </c>
      <c r="G175" s="20">
        <v>46011.829400000002</v>
      </c>
      <c r="H175" s="20">
        <v>46014</v>
      </c>
      <c r="I175" s="20">
        <v>46013.708030000002</v>
      </c>
      <c r="J175" s="20">
        <v>1.88</v>
      </c>
      <c r="K175" s="20">
        <v>0.28999999999999998</v>
      </c>
      <c r="L175" s="20" t="s">
        <v>3123</v>
      </c>
    </row>
    <row r="176" spans="1:12" x14ac:dyDescent="0.3">
      <c r="A176" s="20" t="s">
        <v>3026</v>
      </c>
      <c r="B176" s="20">
        <v>4</v>
      </c>
      <c r="C176" s="20" t="b">
        <v>0</v>
      </c>
      <c r="D176" s="20" t="b">
        <v>0</v>
      </c>
      <c r="E176" s="20" t="b">
        <v>0</v>
      </c>
      <c r="F176" s="20" t="b">
        <v>0</v>
      </c>
      <c r="G176" s="20">
        <v>46011.840219999998</v>
      </c>
      <c r="H176" s="20">
        <v>46018</v>
      </c>
      <c r="I176" s="20">
        <v>46018.741529999999</v>
      </c>
      <c r="J176" s="20">
        <v>6.9</v>
      </c>
      <c r="K176" s="20">
        <v>-0.74</v>
      </c>
      <c r="L176" s="20" t="s">
        <v>3116</v>
      </c>
    </row>
    <row r="177" spans="1:12" x14ac:dyDescent="0.3">
      <c r="A177" s="20" t="s">
        <v>3027</v>
      </c>
      <c r="B177" s="20">
        <v>2</v>
      </c>
      <c r="C177" s="20" t="b">
        <v>0</v>
      </c>
      <c r="D177" s="20" t="b">
        <v>1</v>
      </c>
      <c r="E177" s="20" t="b">
        <v>0</v>
      </c>
      <c r="F177" s="20" t="b">
        <v>0</v>
      </c>
      <c r="G177" s="20">
        <v>46012.255230000002</v>
      </c>
      <c r="H177" s="20">
        <v>46014</v>
      </c>
      <c r="I177" s="20">
        <v>46018.398840000002</v>
      </c>
      <c r="J177" s="20">
        <v>6.14</v>
      </c>
      <c r="K177" s="20">
        <v>-4.4000000000000004</v>
      </c>
      <c r="L177" s="20" t="s">
        <v>3116</v>
      </c>
    </row>
    <row r="178" spans="1:12" x14ac:dyDescent="0.3">
      <c r="A178" s="20" t="s">
        <v>3030</v>
      </c>
      <c r="B178" s="20">
        <v>2</v>
      </c>
      <c r="C178" s="20" t="b">
        <v>0</v>
      </c>
      <c r="D178" s="20" t="b">
        <v>1</v>
      </c>
      <c r="E178" s="20" t="b">
        <v>0</v>
      </c>
      <c r="F178" s="20" t="b">
        <v>0</v>
      </c>
      <c r="G178" s="20">
        <v>46013.165999999997</v>
      </c>
      <c r="H178" s="20">
        <v>46020</v>
      </c>
      <c r="I178" s="20">
        <v>46021.449659999998</v>
      </c>
      <c r="J178" s="20">
        <v>8.2799999999999994</v>
      </c>
      <c r="K178" s="20">
        <v>-1.45</v>
      </c>
      <c r="L178" s="20" t="s">
        <v>3116</v>
      </c>
    </row>
    <row r="179" spans="1:12" x14ac:dyDescent="0.3">
      <c r="A179" s="20" t="s">
        <v>3031</v>
      </c>
      <c r="B179" s="20">
        <v>3</v>
      </c>
      <c r="C179" s="20" t="b">
        <v>1</v>
      </c>
      <c r="D179" s="20" t="b">
        <v>1</v>
      </c>
      <c r="E179" s="20" t="b">
        <v>0</v>
      </c>
      <c r="F179" s="20" t="b">
        <v>1</v>
      </c>
      <c r="G179" s="20">
        <v>46013.620779999997</v>
      </c>
      <c r="H179" s="20">
        <v>46019</v>
      </c>
      <c r="I179" s="20">
        <v>46019.475270000003</v>
      </c>
      <c r="J179" s="20">
        <v>5.85</v>
      </c>
      <c r="K179" s="20">
        <v>-0.48</v>
      </c>
      <c r="L179" s="20" t="s">
        <v>3116</v>
      </c>
    </row>
    <row r="180" spans="1:12" x14ac:dyDescent="0.3">
      <c r="A180" s="20" t="s">
        <v>3032</v>
      </c>
      <c r="B180" s="20">
        <v>2</v>
      </c>
      <c r="C180" s="20" t="b">
        <v>1</v>
      </c>
      <c r="D180" s="20" t="b">
        <v>1</v>
      </c>
      <c r="E180" s="20" t="b">
        <v>0</v>
      </c>
      <c r="F180" s="20" t="b">
        <v>0</v>
      </c>
      <c r="G180" s="20">
        <v>46014.446470000003</v>
      </c>
      <c r="H180" s="20">
        <v>46019</v>
      </c>
      <c r="I180" s="20">
        <v>46021.726860000002</v>
      </c>
      <c r="J180" s="20">
        <v>7.28</v>
      </c>
      <c r="K180" s="20">
        <v>-2.73</v>
      </c>
      <c r="L180" s="20" t="s">
        <v>3116</v>
      </c>
    </row>
    <row r="181" spans="1:12" x14ac:dyDescent="0.3">
      <c r="A181" s="20" t="s">
        <v>3033</v>
      </c>
      <c r="B181" s="20">
        <v>5</v>
      </c>
      <c r="C181" s="20" t="b">
        <v>0</v>
      </c>
      <c r="D181" s="20" t="b">
        <v>0</v>
      </c>
      <c r="E181" s="20" t="b">
        <v>0</v>
      </c>
      <c r="F181" s="20" t="b">
        <v>0</v>
      </c>
      <c r="G181" s="20">
        <v>46014.750820000001</v>
      </c>
      <c r="H181" s="20">
        <v>46019</v>
      </c>
      <c r="I181" s="20">
        <v>46019.66332</v>
      </c>
      <c r="J181" s="20">
        <v>4.91</v>
      </c>
      <c r="K181" s="20">
        <v>-0.66</v>
      </c>
      <c r="L181" s="20" t="s">
        <v>3116</v>
      </c>
    </row>
    <row r="182" spans="1:12" x14ac:dyDescent="0.3">
      <c r="A182" s="20" t="s">
        <v>3038</v>
      </c>
      <c r="B182" s="20">
        <v>4</v>
      </c>
      <c r="C182" s="20" t="b">
        <v>0</v>
      </c>
      <c r="D182" s="20" t="b">
        <v>1</v>
      </c>
      <c r="E182" s="20" t="b">
        <v>0</v>
      </c>
      <c r="F182" s="20" t="b">
        <v>1</v>
      </c>
      <c r="G182" s="20">
        <v>46018.652990000002</v>
      </c>
      <c r="H182" s="20">
        <v>46021</v>
      </c>
      <c r="I182" s="20">
        <v>46020.449780000003</v>
      </c>
      <c r="J182" s="20">
        <v>1.8</v>
      </c>
      <c r="K182" s="20">
        <v>0.55000000000000004</v>
      </c>
      <c r="L182" s="20" t="s">
        <v>3123</v>
      </c>
    </row>
    <row r="183" spans="1:12" x14ac:dyDescent="0.3">
      <c r="A183" s="20" t="s">
        <v>3039</v>
      </c>
      <c r="B183" s="20">
        <v>5</v>
      </c>
      <c r="C183" s="20" t="b">
        <v>0</v>
      </c>
      <c r="D183" s="20" t="b">
        <v>1</v>
      </c>
      <c r="E183" s="20" t="b">
        <v>0</v>
      </c>
      <c r="F183" s="20" t="b">
        <v>0</v>
      </c>
      <c r="G183" s="20">
        <v>46018.877330000003</v>
      </c>
      <c r="H183" s="20">
        <v>46028</v>
      </c>
      <c r="I183" s="20">
        <v>46027.336940000001</v>
      </c>
      <c r="J183" s="20">
        <v>8.4600000000000009</v>
      </c>
      <c r="K183" s="20">
        <v>0.66</v>
      </c>
      <c r="L183" s="20" t="s">
        <v>3123</v>
      </c>
    </row>
    <row r="184" spans="1:12" x14ac:dyDescent="0.3">
      <c r="A184" s="20" t="s">
        <v>3041</v>
      </c>
      <c r="B184" s="20">
        <v>4</v>
      </c>
      <c r="C184" s="20" t="b">
        <v>0</v>
      </c>
      <c r="D184" s="20" t="b">
        <v>0</v>
      </c>
      <c r="E184" s="20" t="b">
        <v>0</v>
      </c>
      <c r="F184" s="20" t="b">
        <v>0</v>
      </c>
      <c r="G184" s="20">
        <v>46019.609479999999</v>
      </c>
      <c r="H184" s="20">
        <v>46024</v>
      </c>
      <c r="I184" s="20">
        <v>46024.622040000002</v>
      </c>
      <c r="J184" s="20">
        <v>5.01</v>
      </c>
      <c r="K184" s="20">
        <v>-0.62</v>
      </c>
      <c r="L184" s="20" t="s">
        <v>3116</v>
      </c>
    </row>
    <row r="185" spans="1:12" x14ac:dyDescent="0.3">
      <c r="A185" s="20" t="s">
        <v>3042</v>
      </c>
      <c r="B185" s="20">
        <v>2</v>
      </c>
      <c r="C185" s="20" t="b">
        <v>1</v>
      </c>
      <c r="D185" s="20" t="b">
        <v>1</v>
      </c>
      <c r="E185" s="20" t="b">
        <v>0</v>
      </c>
      <c r="F185" s="20" t="b">
        <v>1</v>
      </c>
      <c r="G185" s="20">
        <v>46020.801039999998</v>
      </c>
      <c r="H185" s="20">
        <v>46030</v>
      </c>
      <c r="I185" s="20">
        <v>46033.699280000001</v>
      </c>
      <c r="J185" s="20">
        <v>12.9</v>
      </c>
      <c r="K185" s="20">
        <v>-3.7</v>
      </c>
      <c r="L185" s="20" t="s">
        <v>3116</v>
      </c>
    </row>
    <row r="186" spans="1:12" x14ac:dyDescent="0.3">
      <c r="A186" s="20" t="s">
        <v>3044</v>
      </c>
      <c r="B186" s="20">
        <v>5</v>
      </c>
      <c r="C186" s="20" t="b">
        <v>0</v>
      </c>
      <c r="D186" s="20" t="b">
        <v>0</v>
      </c>
      <c r="E186" s="20" t="b">
        <v>0</v>
      </c>
      <c r="F186" s="20" t="b">
        <v>0</v>
      </c>
      <c r="G186" s="20">
        <v>46021.783839999996</v>
      </c>
      <c r="H186" s="20">
        <v>46029</v>
      </c>
      <c r="I186" s="20">
        <v>46029.388209999997</v>
      </c>
      <c r="J186" s="20">
        <v>7.6</v>
      </c>
      <c r="K186" s="20">
        <v>-0.39</v>
      </c>
      <c r="L186" s="20" t="s">
        <v>3116</v>
      </c>
    </row>
    <row r="187" spans="1:12" x14ac:dyDescent="0.3">
      <c r="A187" s="20" t="s">
        <v>3046</v>
      </c>
      <c r="B187" s="20">
        <v>5</v>
      </c>
      <c r="C187" s="20" t="b">
        <v>0</v>
      </c>
      <c r="D187" s="20" t="b">
        <v>1</v>
      </c>
      <c r="E187" s="20" t="b">
        <v>0</v>
      </c>
      <c r="F187" s="20" t="b">
        <v>0</v>
      </c>
      <c r="G187" s="20">
        <v>46026.120300000002</v>
      </c>
      <c r="H187" s="20">
        <v>46032</v>
      </c>
      <c r="I187" s="20">
        <v>46031.364479999997</v>
      </c>
      <c r="J187" s="20">
        <v>5.24</v>
      </c>
      <c r="K187" s="20">
        <v>0.64</v>
      </c>
      <c r="L187" s="20" t="s">
        <v>3123</v>
      </c>
    </row>
    <row r="188" spans="1:12" x14ac:dyDescent="0.3">
      <c r="A188" s="20" t="s">
        <v>3047</v>
      </c>
      <c r="B188" s="20">
        <v>4</v>
      </c>
      <c r="C188" s="20" t="b">
        <v>0</v>
      </c>
      <c r="D188" s="20" t="b">
        <v>0</v>
      </c>
      <c r="E188" s="20" t="b">
        <v>0</v>
      </c>
      <c r="F188" s="20" t="b">
        <v>0</v>
      </c>
      <c r="G188" s="20">
        <v>46027.074489999999</v>
      </c>
      <c r="H188" s="20">
        <v>46034</v>
      </c>
      <c r="I188" s="20">
        <v>46033.442790000001</v>
      </c>
      <c r="J188" s="20">
        <v>6.37</v>
      </c>
      <c r="K188" s="20">
        <v>0.56000000000000005</v>
      </c>
      <c r="L188" s="20" t="s">
        <v>3123</v>
      </c>
    </row>
    <row r="189" spans="1:12" x14ac:dyDescent="0.3">
      <c r="A189" s="20" t="s">
        <v>3048</v>
      </c>
      <c r="B189" s="20">
        <v>5</v>
      </c>
      <c r="C189" s="20" t="b">
        <v>1</v>
      </c>
      <c r="D189" s="20" t="b">
        <v>1</v>
      </c>
      <c r="E189" s="20" t="b">
        <v>0</v>
      </c>
      <c r="F189" s="20" t="b">
        <v>0</v>
      </c>
      <c r="G189" s="20">
        <v>46031.308940000003</v>
      </c>
      <c r="H189" s="20">
        <v>46036</v>
      </c>
      <c r="I189" s="20">
        <v>46036.400150000001</v>
      </c>
      <c r="J189" s="20">
        <v>5.09</v>
      </c>
      <c r="K189" s="20">
        <v>-0.4</v>
      </c>
      <c r="L189" s="20" t="s">
        <v>3116</v>
      </c>
    </row>
    <row r="190" spans="1:12" x14ac:dyDescent="0.3">
      <c r="A190" s="20" t="s">
        <v>3052</v>
      </c>
      <c r="B190" s="20">
        <v>4</v>
      </c>
      <c r="C190" s="20" t="b">
        <v>1</v>
      </c>
      <c r="D190" s="20" t="b">
        <v>1</v>
      </c>
      <c r="E190" s="20" t="b">
        <v>0</v>
      </c>
      <c r="F190" s="20" t="b">
        <v>0</v>
      </c>
      <c r="G190" s="20">
        <v>46044.1633</v>
      </c>
      <c r="H190" s="20">
        <v>46048</v>
      </c>
      <c r="I190" s="20">
        <v>46046.627650000002</v>
      </c>
      <c r="J190" s="20">
        <v>2.46</v>
      </c>
      <c r="K190" s="20">
        <v>1.37</v>
      </c>
      <c r="L190" s="20" t="s">
        <v>3124</v>
      </c>
    </row>
    <row r="191" spans="1:12" x14ac:dyDescent="0.3">
      <c r="A191" s="20" t="s">
        <v>3057</v>
      </c>
      <c r="B191" s="20">
        <v>4</v>
      </c>
      <c r="C191" s="20" t="b">
        <v>0</v>
      </c>
      <c r="D191" s="20" t="b">
        <v>0</v>
      </c>
      <c r="E191" s="20" t="b">
        <v>0</v>
      </c>
      <c r="F191" s="20" t="b">
        <v>0</v>
      </c>
      <c r="G191" s="20">
        <v>46068.009239999999</v>
      </c>
      <c r="H191" s="20">
        <v>46076</v>
      </c>
      <c r="I191" s="20">
        <v>46075.36851</v>
      </c>
      <c r="J191" s="20">
        <v>7.36</v>
      </c>
      <c r="K191" s="20">
        <v>0.63</v>
      </c>
      <c r="L191" s="20" t="s">
        <v>3123</v>
      </c>
    </row>
    <row r="192" spans="1:12" x14ac:dyDescent="0.3">
      <c r="A192" s="20" t="s">
        <v>3058</v>
      </c>
      <c r="B192" s="20">
        <v>2</v>
      </c>
      <c r="C192" s="20" t="b">
        <v>1</v>
      </c>
      <c r="D192" s="20" t="b">
        <v>1</v>
      </c>
      <c r="E192" s="20" t="b">
        <v>0</v>
      </c>
      <c r="F192" s="20" t="b">
        <v>0</v>
      </c>
      <c r="G192" s="20">
        <v>46073.226159999998</v>
      </c>
      <c r="H192" s="20">
        <v>46080</v>
      </c>
      <c r="I192" s="20">
        <v>46085.43131</v>
      </c>
      <c r="J192" s="20">
        <v>12.21</v>
      </c>
      <c r="K192" s="20">
        <v>-5.43</v>
      </c>
      <c r="L192" s="20" t="s">
        <v>3116</v>
      </c>
    </row>
    <row r="193" spans="1:12" x14ac:dyDescent="0.3">
      <c r="A193" s="20" t="s">
        <v>3059</v>
      </c>
      <c r="B193" s="20">
        <v>4</v>
      </c>
      <c r="C193" s="20" t="b">
        <v>0</v>
      </c>
      <c r="D193" s="20" t="b">
        <v>1</v>
      </c>
      <c r="E193" s="20" t="b">
        <v>0</v>
      </c>
      <c r="F193" s="20" t="b">
        <v>0</v>
      </c>
      <c r="G193" s="20">
        <v>46077.723619999997</v>
      </c>
      <c r="H193" s="20">
        <v>46083</v>
      </c>
      <c r="I193" s="20">
        <v>46082.606630000002</v>
      </c>
      <c r="J193" s="20">
        <v>4.88</v>
      </c>
      <c r="K193" s="20">
        <v>0.39</v>
      </c>
      <c r="L193" s="20" t="s">
        <v>3123</v>
      </c>
    </row>
    <row r="194" spans="1:12" x14ac:dyDescent="0.3">
      <c r="A194" s="20" t="s">
        <v>3062</v>
      </c>
      <c r="B194" s="20">
        <v>3</v>
      </c>
      <c r="C194" s="20" t="b">
        <v>0</v>
      </c>
      <c r="D194" s="20" t="b">
        <v>0</v>
      </c>
      <c r="E194" s="20" t="b">
        <v>0</v>
      </c>
      <c r="F194" s="20" t="b">
        <v>0</v>
      </c>
      <c r="G194" s="20">
        <v>46079.034099999997</v>
      </c>
      <c r="H194" s="20">
        <v>46083</v>
      </c>
      <c r="I194" s="20">
        <v>46085.722849999998</v>
      </c>
      <c r="J194" s="20">
        <v>6.69</v>
      </c>
      <c r="K194" s="20">
        <v>-2.72</v>
      </c>
      <c r="L194" s="20" t="s">
        <v>3116</v>
      </c>
    </row>
    <row r="195" spans="1:12" x14ac:dyDescent="0.3">
      <c r="A195" s="20" t="s">
        <v>3064</v>
      </c>
      <c r="B195" s="20">
        <v>2</v>
      </c>
      <c r="C195" s="20" t="b">
        <v>0</v>
      </c>
      <c r="D195" s="20" t="b">
        <v>0</v>
      </c>
      <c r="E195" s="20" t="b">
        <v>0</v>
      </c>
      <c r="F195" s="20" t="b">
        <v>0</v>
      </c>
      <c r="G195" s="20">
        <v>46079.530489999997</v>
      </c>
      <c r="H195" s="20">
        <v>46088</v>
      </c>
      <c r="I195" s="20">
        <v>46089.491159999998</v>
      </c>
      <c r="J195" s="20">
        <v>9.9600000000000009</v>
      </c>
      <c r="K195" s="20">
        <v>-1.49</v>
      </c>
      <c r="L195" s="20" t="s">
        <v>3116</v>
      </c>
    </row>
    <row r="196" spans="1:12" x14ac:dyDescent="0.3">
      <c r="A196" s="20" t="s">
        <v>3066</v>
      </c>
      <c r="B196" s="20">
        <v>5</v>
      </c>
      <c r="C196" s="20" t="b">
        <v>0</v>
      </c>
      <c r="D196" s="20" t="b">
        <v>0</v>
      </c>
      <c r="E196" s="20" t="b">
        <v>0</v>
      </c>
      <c r="F196" s="20" t="b">
        <v>0</v>
      </c>
      <c r="G196" s="20">
        <v>46080.673390000004</v>
      </c>
      <c r="H196" s="20">
        <v>46086</v>
      </c>
      <c r="I196" s="20">
        <v>46085.624830000001</v>
      </c>
      <c r="J196" s="20">
        <v>4.95</v>
      </c>
      <c r="K196" s="20">
        <v>0.38</v>
      </c>
      <c r="L196" s="20" t="s">
        <v>3123</v>
      </c>
    </row>
    <row r="197" spans="1:12" x14ac:dyDescent="0.3">
      <c r="A197" s="20" t="s">
        <v>3067</v>
      </c>
      <c r="B197" s="20">
        <v>5</v>
      </c>
      <c r="C197" s="20" t="b">
        <v>0</v>
      </c>
      <c r="D197" s="20" t="b">
        <v>0</v>
      </c>
      <c r="E197" s="20" t="b">
        <v>0</v>
      </c>
      <c r="F197" s="20" t="b">
        <v>0</v>
      </c>
      <c r="G197" s="20">
        <v>46081.030409999999</v>
      </c>
      <c r="H197" s="20">
        <v>46088</v>
      </c>
      <c r="I197" s="20">
        <v>46088.739589999997</v>
      </c>
      <c r="J197" s="20">
        <v>7.71</v>
      </c>
      <c r="K197" s="20">
        <v>-0.74</v>
      </c>
      <c r="L197" s="20" t="s">
        <v>3116</v>
      </c>
    </row>
    <row r="198" spans="1:12" x14ac:dyDescent="0.3">
      <c r="A198" s="20" t="s">
        <v>3069</v>
      </c>
      <c r="B198" s="20">
        <v>5</v>
      </c>
      <c r="C198" s="20" t="b">
        <v>0</v>
      </c>
      <c r="D198" s="20" t="b">
        <v>0</v>
      </c>
      <c r="E198" s="20" t="b">
        <v>0</v>
      </c>
      <c r="F198" s="20" t="b">
        <v>0</v>
      </c>
      <c r="G198" s="20">
        <v>46081.60858</v>
      </c>
      <c r="H198" s="20">
        <v>46086</v>
      </c>
      <c r="I198" s="20">
        <v>46086.670830000003</v>
      </c>
      <c r="J198" s="20">
        <v>5.0599999999999996</v>
      </c>
      <c r="K198" s="20">
        <v>-0.67</v>
      </c>
      <c r="L198" s="20" t="s">
        <v>3116</v>
      </c>
    </row>
    <row r="199" spans="1:12" x14ac:dyDescent="0.3">
      <c r="A199" s="20" t="s">
        <v>3072</v>
      </c>
      <c r="B199" s="20">
        <v>5</v>
      </c>
      <c r="C199" s="20" t="b">
        <v>0</v>
      </c>
      <c r="D199" s="20" t="b">
        <v>0</v>
      </c>
      <c r="E199" s="20" t="b">
        <v>0</v>
      </c>
      <c r="F199" s="20" t="b">
        <v>0</v>
      </c>
      <c r="G199" s="20">
        <v>46088.604509999997</v>
      </c>
      <c r="H199" s="20">
        <v>46096</v>
      </c>
      <c r="I199" s="20">
        <v>46095.453390000002</v>
      </c>
      <c r="J199" s="20">
        <v>6.85</v>
      </c>
      <c r="K199" s="20">
        <v>0.55000000000000004</v>
      </c>
      <c r="L199" s="20" t="s">
        <v>3123</v>
      </c>
    </row>
    <row r="200" spans="1:12" x14ac:dyDescent="0.3">
      <c r="A200" s="20" t="s">
        <v>3073</v>
      </c>
      <c r="B200" s="20">
        <v>5</v>
      </c>
      <c r="C200" s="20" t="b">
        <v>0</v>
      </c>
      <c r="D200" s="20" t="b">
        <v>1</v>
      </c>
      <c r="E200" s="20" t="b">
        <v>0</v>
      </c>
      <c r="F200" s="20" t="b">
        <v>0</v>
      </c>
      <c r="G200" s="20">
        <v>46089.056219999999</v>
      </c>
      <c r="H200" s="20">
        <v>46096</v>
      </c>
      <c r="I200" s="20">
        <v>46096.74813</v>
      </c>
      <c r="J200" s="20">
        <v>7.69</v>
      </c>
      <c r="K200" s="20">
        <v>-0.75</v>
      </c>
      <c r="L200" s="20" t="s">
        <v>3116</v>
      </c>
    </row>
    <row r="201" spans="1:12" x14ac:dyDescent="0.3">
      <c r="A201" s="20" t="s">
        <v>3078</v>
      </c>
      <c r="B201" s="20">
        <v>5</v>
      </c>
      <c r="C201" s="20" t="b">
        <v>0</v>
      </c>
      <c r="D201" s="20" t="b">
        <v>1</v>
      </c>
      <c r="E201" s="20" t="b">
        <v>0</v>
      </c>
      <c r="F201" s="20" t="b">
        <v>0</v>
      </c>
      <c r="G201" s="20">
        <v>46092.413159999996</v>
      </c>
      <c r="H201" s="20">
        <v>46098</v>
      </c>
      <c r="I201" s="20">
        <v>46098.459499999997</v>
      </c>
      <c r="J201" s="20">
        <v>6.05</v>
      </c>
      <c r="K201" s="20">
        <v>-0.46</v>
      </c>
      <c r="L201" s="20" t="s">
        <v>3116</v>
      </c>
    </row>
    <row r="202" spans="1:12" x14ac:dyDescent="0.3">
      <c r="A202" s="20" t="s">
        <v>3079</v>
      </c>
      <c r="B202" s="20">
        <v>5</v>
      </c>
      <c r="C202" s="20" t="b">
        <v>0</v>
      </c>
      <c r="D202" s="20" t="b">
        <v>0</v>
      </c>
      <c r="E202" s="20" t="b">
        <v>0</v>
      </c>
      <c r="F202" s="20" t="b">
        <v>0</v>
      </c>
      <c r="G202" s="20">
        <v>46092.697399999997</v>
      </c>
      <c r="H202" s="20">
        <v>46099</v>
      </c>
      <c r="I202" s="20">
        <v>46098.592479999999</v>
      </c>
      <c r="J202" s="20">
        <v>5.9</v>
      </c>
      <c r="K202" s="20">
        <v>0.41</v>
      </c>
      <c r="L202" s="20" t="s">
        <v>3123</v>
      </c>
    </row>
    <row r="203" spans="1:12" x14ac:dyDescent="0.3">
      <c r="A203" s="20" t="s">
        <v>3080</v>
      </c>
      <c r="B203" s="20">
        <v>2</v>
      </c>
      <c r="C203" s="20" t="b">
        <v>0</v>
      </c>
      <c r="D203" s="20" t="b">
        <v>1</v>
      </c>
      <c r="E203" s="20" t="b">
        <v>0</v>
      </c>
      <c r="F203" s="20" t="b">
        <v>0</v>
      </c>
      <c r="G203" s="20">
        <v>46094.16648</v>
      </c>
      <c r="H203" s="20">
        <v>46098</v>
      </c>
      <c r="I203" s="20">
        <v>46099.567369999997</v>
      </c>
      <c r="J203" s="20">
        <v>5.4</v>
      </c>
      <c r="K203" s="20">
        <v>-1.57</v>
      </c>
      <c r="L203" s="20" t="s">
        <v>3116</v>
      </c>
    </row>
    <row r="204" spans="1:12" x14ac:dyDescent="0.3">
      <c r="A204" s="20" t="s">
        <v>3083</v>
      </c>
      <c r="B204" s="20">
        <v>5</v>
      </c>
      <c r="C204" s="20" t="b">
        <v>0</v>
      </c>
      <c r="D204" s="20" t="b">
        <v>0</v>
      </c>
      <c r="E204" s="20" t="b">
        <v>0</v>
      </c>
      <c r="F204" s="20" t="b">
        <v>0</v>
      </c>
      <c r="G204" s="20">
        <v>46095.857400000001</v>
      </c>
      <c r="H204" s="20">
        <v>46100</v>
      </c>
      <c r="I204" s="20">
        <v>46099.694069999998</v>
      </c>
      <c r="J204" s="20">
        <v>3.84</v>
      </c>
      <c r="K204" s="20">
        <v>0.31</v>
      </c>
      <c r="L204" s="20" t="s">
        <v>3123</v>
      </c>
    </row>
    <row r="205" spans="1:12" x14ac:dyDescent="0.3">
      <c r="A205" s="20" t="s">
        <v>3086</v>
      </c>
      <c r="B205" s="20">
        <v>5</v>
      </c>
      <c r="C205" s="20" t="b">
        <v>1</v>
      </c>
      <c r="D205" s="20" t="b">
        <v>1</v>
      </c>
      <c r="E205" s="20" t="b">
        <v>0</v>
      </c>
      <c r="F205" s="20" t="b">
        <v>1</v>
      </c>
      <c r="G205" s="20">
        <v>46097.367209999997</v>
      </c>
      <c r="H205" s="20">
        <v>46102</v>
      </c>
      <c r="I205" s="20">
        <v>46102.491889999998</v>
      </c>
      <c r="J205" s="20">
        <v>5.12</v>
      </c>
      <c r="K205" s="20">
        <v>-0.49</v>
      </c>
      <c r="L205" s="20" t="s">
        <v>3116</v>
      </c>
    </row>
    <row r="206" spans="1:12" x14ac:dyDescent="0.3">
      <c r="A206" s="20" t="s">
        <v>3087</v>
      </c>
      <c r="B206" s="20">
        <v>5</v>
      </c>
      <c r="C206" s="20" t="b">
        <v>0</v>
      </c>
      <c r="D206" s="20" t="b">
        <v>0</v>
      </c>
      <c r="E206" s="20" t="b">
        <v>0</v>
      </c>
      <c r="F206" s="20" t="b">
        <v>0</v>
      </c>
      <c r="G206" s="20">
        <v>46097.814980000003</v>
      </c>
      <c r="H206" s="20">
        <v>46106</v>
      </c>
      <c r="I206" s="20">
        <v>46105.39662</v>
      </c>
      <c r="J206" s="20">
        <v>7.58</v>
      </c>
      <c r="K206" s="20">
        <v>0.6</v>
      </c>
      <c r="L206" s="20" t="s">
        <v>3123</v>
      </c>
    </row>
    <row r="207" spans="1:12" x14ac:dyDescent="0.3">
      <c r="A207" s="20" t="s">
        <v>3089</v>
      </c>
      <c r="B207" s="20">
        <v>2</v>
      </c>
      <c r="C207" s="20" t="b">
        <v>0</v>
      </c>
      <c r="D207" s="20" t="b">
        <v>1</v>
      </c>
      <c r="E207" s="20" t="b">
        <v>0</v>
      </c>
      <c r="F207" s="20" t="b">
        <v>1</v>
      </c>
      <c r="G207" s="20">
        <v>46098.499320000003</v>
      </c>
      <c r="H207" s="20">
        <v>46103</v>
      </c>
      <c r="I207" s="20">
        <v>46104.741220000004</v>
      </c>
      <c r="J207" s="20">
        <v>6.24</v>
      </c>
      <c r="K207" s="20">
        <v>-1.74</v>
      </c>
      <c r="L207" s="20" t="s">
        <v>3116</v>
      </c>
    </row>
    <row r="208" spans="1:12" x14ac:dyDescent="0.3">
      <c r="A208" s="20" t="s">
        <v>3091</v>
      </c>
      <c r="B208" s="20">
        <v>2</v>
      </c>
      <c r="C208" s="20" t="b">
        <v>0</v>
      </c>
      <c r="D208" s="20" t="b">
        <v>1</v>
      </c>
      <c r="E208" s="20" t="b">
        <v>0</v>
      </c>
      <c r="F208" s="20" t="b">
        <v>1</v>
      </c>
      <c r="G208" s="20">
        <v>46099.297919999997</v>
      </c>
      <c r="H208" s="20">
        <v>46105</v>
      </c>
      <c r="I208" s="20">
        <v>46108.51586</v>
      </c>
      <c r="J208" s="20">
        <v>9.2200000000000006</v>
      </c>
      <c r="K208" s="20">
        <v>-3.52</v>
      </c>
      <c r="L208" s="20" t="s">
        <v>3116</v>
      </c>
    </row>
    <row r="209" spans="1:12" x14ac:dyDescent="0.3">
      <c r="A209" s="20" t="s">
        <v>3092</v>
      </c>
      <c r="B209" s="20">
        <v>5</v>
      </c>
      <c r="C209" s="20" t="b">
        <v>0</v>
      </c>
      <c r="D209" s="20" t="b">
        <v>1</v>
      </c>
      <c r="E209" s="20" t="b">
        <v>0</v>
      </c>
      <c r="F209" s="20" t="b">
        <v>0</v>
      </c>
      <c r="G209" s="20">
        <v>46100.523730000001</v>
      </c>
      <c r="H209" s="20">
        <v>46110</v>
      </c>
      <c r="I209" s="20">
        <v>46108.582419999999</v>
      </c>
      <c r="J209" s="20">
        <v>8.06</v>
      </c>
      <c r="K209" s="20">
        <v>1.42</v>
      </c>
      <c r="L209" s="20" t="s">
        <v>3124</v>
      </c>
    </row>
    <row r="210" spans="1:12" x14ac:dyDescent="0.3">
      <c r="A210" s="20" t="s">
        <v>3093</v>
      </c>
      <c r="B210" s="20">
        <v>5</v>
      </c>
      <c r="C210" s="20" t="b">
        <v>1</v>
      </c>
      <c r="D210" s="20" t="b">
        <v>1</v>
      </c>
      <c r="E210" s="20" t="b">
        <v>1</v>
      </c>
      <c r="F210" s="20" t="b">
        <v>0</v>
      </c>
      <c r="G210" s="20">
        <v>46100.829830000002</v>
      </c>
      <c r="H210" s="20">
        <v>46112</v>
      </c>
      <c r="I210" s="20">
        <v>46112.665809999999</v>
      </c>
      <c r="J210" s="20">
        <v>11.84</v>
      </c>
      <c r="K210" s="20">
        <v>-0.67</v>
      </c>
      <c r="L210" s="20" t="s">
        <v>3116</v>
      </c>
    </row>
    <row r="211" spans="1:12" x14ac:dyDescent="0.3">
      <c r="A211" s="20" t="s">
        <v>3094</v>
      </c>
      <c r="B211" s="20">
        <v>4</v>
      </c>
      <c r="C211" s="20" t="b">
        <v>0</v>
      </c>
      <c r="D211" s="20" t="b">
        <v>0</v>
      </c>
      <c r="E211" s="20" t="b">
        <v>0</v>
      </c>
      <c r="F211" s="20" t="b">
        <v>0</v>
      </c>
      <c r="G211" s="20">
        <v>46101.093800000002</v>
      </c>
      <c r="H211" s="20">
        <v>46108</v>
      </c>
      <c r="I211" s="20">
        <v>46109.400320000001</v>
      </c>
      <c r="J211" s="20">
        <v>8.31</v>
      </c>
      <c r="K211" s="20">
        <v>-1.4</v>
      </c>
      <c r="L211" s="20" t="s">
        <v>3116</v>
      </c>
    </row>
    <row r="212" spans="1:12" x14ac:dyDescent="0.3">
      <c r="A212" s="20" t="s">
        <v>3095</v>
      </c>
      <c r="B212" s="20">
        <v>3</v>
      </c>
      <c r="C212" s="20" t="b">
        <v>1</v>
      </c>
      <c r="D212" s="20" t="b">
        <v>1</v>
      </c>
      <c r="E212" s="20" t="b">
        <v>0</v>
      </c>
      <c r="F212" s="20" t="b">
        <v>0</v>
      </c>
      <c r="G212" s="20">
        <v>46101.568780000001</v>
      </c>
      <c r="H212" s="20">
        <v>46108</v>
      </c>
      <c r="I212" s="20">
        <v>46110.606899999999</v>
      </c>
      <c r="J212" s="20">
        <v>9.0399999999999991</v>
      </c>
      <c r="K212" s="20">
        <v>-2.61</v>
      </c>
      <c r="L212" s="20" t="s">
        <v>3116</v>
      </c>
    </row>
    <row r="213" spans="1:12" x14ac:dyDescent="0.3">
      <c r="A213" s="20" t="s">
        <v>3096</v>
      </c>
      <c r="B213" s="20">
        <v>5</v>
      </c>
      <c r="C213" s="20" t="b">
        <v>0</v>
      </c>
      <c r="D213" s="20" t="b">
        <v>1</v>
      </c>
      <c r="E213" s="20" t="b">
        <v>0</v>
      </c>
      <c r="F213" s="20" t="b">
        <v>0</v>
      </c>
      <c r="G213" s="20">
        <v>46101.718110000002</v>
      </c>
      <c r="H213" s="20">
        <v>46113</v>
      </c>
      <c r="I213" s="20">
        <v>46113.4712</v>
      </c>
      <c r="J213" s="20">
        <v>11.75</v>
      </c>
      <c r="K213" s="20">
        <v>-0.47</v>
      </c>
      <c r="L213" s="20" t="s">
        <v>3116</v>
      </c>
    </row>
    <row r="214" spans="1:12" x14ac:dyDescent="0.3">
      <c r="A214" s="20" t="s">
        <v>3098</v>
      </c>
      <c r="B214" s="20">
        <v>4</v>
      </c>
      <c r="C214" s="20" t="b">
        <v>0</v>
      </c>
      <c r="D214" s="20" t="b">
        <v>0</v>
      </c>
      <c r="E214" s="20" t="b">
        <v>0</v>
      </c>
      <c r="F214" s="20" t="b">
        <v>0</v>
      </c>
      <c r="G214" s="20">
        <v>46105.236620000003</v>
      </c>
      <c r="H214" s="20">
        <v>46114</v>
      </c>
      <c r="I214" s="20">
        <v>46113.747259999996</v>
      </c>
      <c r="J214" s="20">
        <v>8.51</v>
      </c>
      <c r="K214" s="20">
        <v>0.25</v>
      </c>
      <c r="L214" s="20" t="s">
        <v>3123</v>
      </c>
    </row>
    <row r="215" spans="1:12" x14ac:dyDescent="0.3">
      <c r="A215" s="20" t="s">
        <v>3102</v>
      </c>
      <c r="B215" s="20">
        <v>5</v>
      </c>
      <c r="C215" s="20" t="b">
        <v>0</v>
      </c>
      <c r="D215" s="20" t="b">
        <v>0</v>
      </c>
      <c r="E215" s="20" t="b">
        <v>0</v>
      </c>
      <c r="F215" s="20" t="b">
        <v>0</v>
      </c>
      <c r="G215" s="20">
        <v>46109.003230000002</v>
      </c>
      <c r="H215" s="20">
        <v>46119</v>
      </c>
      <c r="I215" s="20">
        <v>46118.631889999997</v>
      </c>
      <c r="J215" s="20">
        <v>9.6300000000000008</v>
      </c>
      <c r="K215" s="20">
        <v>0.37</v>
      </c>
      <c r="L215" s="20" t="s">
        <v>3123</v>
      </c>
    </row>
    <row r="216" spans="1:12" x14ac:dyDescent="0.3">
      <c r="A216" s="20" t="s">
        <v>3103</v>
      </c>
      <c r="B216" s="20">
        <v>3</v>
      </c>
      <c r="C216" s="20" t="b">
        <v>0</v>
      </c>
      <c r="D216" s="20" t="b">
        <v>0</v>
      </c>
      <c r="E216" s="20" t="b">
        <v>0</v>
      </c>
      <c r="F216" s="20" t="b">
        <v>0</v>
      </c>
      <c r="G216" s="20">
        <v>46109.809000000001</v>
      </c>
      <c r="H216" s="20">
        <v>46120</v>
      </c>
      <c r="I216" s="20">
        <v>46121.497499999998</v>
      </c>
      <c r="J216" s="20">
        <v>11.69</v>
      </c>
      <c r="K216" s="20">
        <v>-1.5</v>
      </c>
      <c r="L216" s="20" t="s">
        <v>3116</v>
      </c>
    </row>
    <row r="217" spans="1:12" x14ac:dyDescent="0.3">
      <c r="A217" s="20" t="s">
        <v>3107</v>
      </c>
      <c r="B217" s="20">
        <v>4</v>
      </c>
      <c r="C217" s="20" t="b">
        <v>1</v>
      </c>
      <c r="D217" s="20" t="b">
        <v>0</v>
      </c>
      <c r="E217" s="20" t="b">
        <v>0</v>
      </c>
      <c r="F217" s="20" t="b">
        <v>0</v>
      </c>
      <c r="G217" s="20">
        <v>46112.5124</v>
      </c>
      <c r="H217" s="20">
        <v>46122</v>
      </c>
      <c r="I217" s="20">
        <v>46123.424789999997</v>
      </c>
      <c r="J217" s="20">
        <v>10.91</v>
      </c>
      <c r="K217" s="20">
        <v>-1.42</v>
      </c>
      <c r="L217" s="20" t="s">
        <v>3116</v>
      </c>
    </row>
    <row r="219" spans="1:12" x14ac:dyDescent="0.3">
      <c r="J219" s="13">
        <f>AVERAGE(Reviews[rev_delivery_duration])</f>
        <v>7.4831481481481523</v>
      </c>
      <c r="K219" s="13">
        <f>AVERAGE(Reviews[rev_delay_on_time])</f>
        <v>-0.82606481481481497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products_2026</vt:lpstr>
      <vt:lpstr>Rough data</vt:lpstr>
      <vt:lpstr>PT FOR Q3</vt:lpstr>
      <vt:lpstr>sellers_2026</vt:lpstr>
      <vt:lpstr>customers</vt:lpstr>
      <vt:lpstr>orders</vt:lpstr>
      <vt:lpstr>order_items</vt:lpstr>
      <vt:lpstr>seller_delivery_status</vt:lpstr>
      <vt:lpstr>Sheet1</vt:lpstr>
      <vt:lpstr>Reviews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Roshni Shah</cp:lastModifiedBy>
  <cp:revision/>
  <dcterms:created xsi:type="dcterms:W3CDTF">2026-04-21T11:29:56Z</dcterms:created>
  <dcterms:modified xsi:type="dcterms:W3CDTF">2026-06-02T15:15:11Z</dcterms:modified>
  <cp:category/>
  <cp:contentStatus/>
</cp:coreProperties>
</file>